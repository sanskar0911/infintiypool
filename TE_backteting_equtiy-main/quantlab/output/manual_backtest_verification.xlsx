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INPUT" sheetId="1" state="visible" r:id="rId1"/>
    <sheet xmlns:r="http://schemas.openxmlformats.org/officeDocument/2006/relationships" name="TRADE_CALCULATION" sheetId="2" state="visible" r:id="rId2"/>
    <sheet xmlns:r="http://schemas.openxmlformats.org/officeDocument/2006/relationships" name="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b val="1"/>
      <sz val="10"/>
    </font>
    <font>
      <name val="Courier New"/>
      <color rgb="004B5563"/>
      <sz val="9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0" borderId="1" pivotButton="0" quotePrefix="0" xfId="0"/>
    <xf numFmtId="0" fontId="0" fillId="0" borderId="1" applyAlignment="1" pivotButton="0" quotePrefix="0" xfId="0">
      <alignment horizontal="right" vertical="center"/>
    </xf>
    <xf numFmtId="0" fontId="4" fillId="0" borderId="1" pivotButton="0" quotePrefix="0" xfId="0"/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1"/>
  <sheetViews>
    <sheetView showGridLines="1"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4" customWidth="1" min="3" max="3"/>
    <col width="14" customWidth="1" min="4" max="4"/>
    <col width="14" customWidth="1" min="5" max="5"/>
    <col width="20" customWidth="1" min="6" max="6"/>
  </cols>
  <sheetData>
    <row r="1">
      <c r="A1" s="1" t="inlineStr">
        <is>
          <t>RAW TRADE SIGNALS IMPORT</t>
        </is>
      </c>
    </row>
    <row r="2">
      <c r="A2" s="2" t="inlineStr">
        <is>
          <t>Stock</t>
        </is>
      </c>
      <c r="B2" s="2" t="inlineStr">
        <is>
          <t>Entry Date</t>
        </is>
      </c>
      <c r="C2" s="2" t="inlineStr">
        <is>
          <t>Entry Price</t>
        </is>
      </c>
      <c r="D2" s="2" t="inlineStr">
        <is>
          <t>Exit Date</t>
        </is>
      </c>
      <c r="E2" s="2" t="inlineStr">
        <is>
          <t>Close Price</t>
        </is>
      </c>
      <c r="F2" s="2" t="inlineStr">
        <is>
          <t>Provided Return %</t>
        </is>
      </c>
    </row>
    <row r="3">
      <c r="A3" s="3" t="inlineStr">
        <is>
          <t>Gujarat Alkalies &amp; C..</t>
        </is>
      </c>
      <c r="B3" s="3" t="inlineStr">
        <is>
          <t>2013-03-28</t>
        </is>
      </c>
      <c r="C3" s="3" t="n">
        <v>215</v>
      </c>
      <c r="D3" s="3" t="inlineStr">
        <is>
          <t>2013-06-28</t>
        </is>
      </c>
      <c r="E3" s="3" t="n">
        <v>178.05</v>
      </c>
      <c r="F3" s="3" t="n">
        <v>-17.19</v>
      </c>
    </row>
    <row r="4">
      <c r="A4" s="3" t="inlineStr">
        <is>
          <t>Rain Industries Ltd.</t>
        </is>
      </c>
      <c r="B4" s="3" t="inlineStr">
        <is>
          <t>2013-03-28</t>
        </is>
      </c>
      <c r="C4" s="3" t="n">
        <v>47.5</v>
      </c>
      <c r="D4" s="3" t="inlineStr">
        <is>
          <t>2013-06-28</t>
        </is>
      </c>
      <c r="E4" s="3" t="n">
        <v>40</v>
      </c>
      <c r="F4" s="3" t="n">
        <v>-15.79</v>
      </c>
    </row>
    <row r="5">
      <c r="A5" s="3" t="inlineStr">
        <is>
          <t>CIE Automotive India..</t>
        </is>
      </c>
      <c r="B5" s="3" t="inlineStr">
        <is>
          <t>2013-06-28</t>
        </is>
      </c>
      <c r="C5" s="3" t="n">
        <v>59.45</v>
      </c>
      <c r="D5" s="3" t="inlineStr">
        <is>
          <t>2013-09-30</t>
        </is>
      </c>
      <c r="E5" s="3" t="n">
        <v>66.8</v>
      </c>
      <c r="F5" s="3" t="n">
        <v>12.36</v>
      </c>
    </row>
    <row r="6">
      <c r="A6" s="3" t="inlineStr">
        <is>
          <t>Suven Life Sciences ..</t>
        </is>
      </c>
      <c r="B6" s="3" t="inlineStr">
        <is>
          <t>2013-09-30</t>
        </is>
      </c>
      <c r="C6" s="3" t="n">
        <v>42.95</v>
      </c>
      <c r="D6" s="3" t="inlineStr">
        <is>
          <t>2013-12-31</t>
        </is>
      </c>
      <c r="E6" s="3" t="n">
        <v>72.34999999999999</v>
      </c>
      <c r="F6" s="3" t="n">
        <v>68.45</v>
      </c>
    </row>
    <row r="7">
      <c r="A7" s="3" t="inlineStr">
        <is>
          <t>Alembic Ltd.</t>
        </is>
      </c>
      <c r="B7" s="3" t="inlineStr">
        <is>
          <t>2013-09-30</t>
        </is>
      </c>
      <c r="C7" s="3" t="n">
        <v>13.45</v>
      </c>
      <c r="D7" s="3" t="inlineStr">
        <is>
          <t>2013-12-31</t>
        </is>
      </c>
      <c r="E7" s="3" t="n">
        <v>14.95</v>
      </c>
      <c r="F7" s="3" t="n">
        <v>11.15</v>
      </c>
    </row>
    <row r="8">
      <c r="A8" s="3" t="inlineStr">
        <is>
          <t>Nucleus Software Exp..</t>
        </is>
      </c>
      <c r="B8" s="3" t="inlineStr">
        <is>
          <t>2013-09-30</t>
        </is>
      </c>
      <c r="C8" s="3" t="n">
        <v>95.05</v>
      </c>
      <c r="D8" s="3" t="inlineStr">
        <is>
          <t>2014-03-31</t>
        </is>
      </c>
      <c r="E8" s="3" t="n">
        <v>217.9</v>
      </c>
      <c r="F8" s="3" t="n">
        <v>129.25</v>
      </c>
    </row>
    <row r="9">
      <c r="A9" s="3" t="inlineStr">
        <is>
          <t>Himatsingka Seide Ltd.</t>
        </is>
      </c>
      <c r="B9" s="3" t="inlineStr">
        <is>
          <t>2013-12-31</t>
        </is>
      </c>
      <c r="C9" s="3" t="n">
        <v>54.65</v>
      </c>
      <c r="D9" s="3" t="inlineStr">
        <is>
          <t>2014-03-31</t>
        </is>
      </c>
      <c r="E9" s="3" t="n">
        <v>57.4</v>
      </c>
      <c r="F9" s="3" t="n">
        <v>5.03</v>
      </c>
    </row>
    <row r="10">
      <c r="A10" s="3" t="inlineStr">
        <is>
          <t>Vinati Organics Ltd.</t>
        </is>
      </c>
      <c r="B10" s="3" t="inlineStr">
        <is>
          <t>2013-12-31</t>
        </is>
      </c>
      <c r="C10" s="3" t="n">
        <v>95.34999999999999</v>
      </c>
      <c r="D10" s="3" t="inlineStr">
        <is>
          <t>2014-03-31</t>
        </is>
      </c>
      <c r="E10" s="3" t="n">
        <v>140.52</v>
      </c>
      <c r="F10" s="3" t="n">
        <v>47.37</v>
      </c>
    </row>
    <row r="11">
      <c r="A11" s="3" t="inlineStr">
        <is>
          <t>Ashiana Housing Ltd.</t>
        </is>
      </c>
      <c r="B11" s="3" t="inlineStr">
        <is>
          <t>2013-12-31</t>
        </is>
      </c>
      <c r="C11" s="3" t="n">
        <v>70</v>
      </c>
      <c r="D11" s="3" t="inlineStr">
        <is>
          <t>2014-03-31</t>
        </is>
      </c>
      <c r="E11" s="3" t="n">
        <v>88.8</v>
      </c>
      <c r="F11" s="3" t="n">
        <v>26.86</v>
      </c>
    </row>
    <row r="12">
      <c r="A12" s="3" t="inlineStr">
        <is>
          <t>FIEM Industries Ltd.</t>
        </is>
      </c>
      <c r="B12" s="3" t="inlineStr">
        <is>
          <t>2013-12-31</t>
        </is>
      </c>
      <c r="C12" s="3" t="n">
        <v>172.15</v>
      </c>
      <c r="D12" s="3" t="inlineStr">
        <is>
          <t>2014-03-31</t>
        </is>
      </c>
      <c r="E12" s="3" t="n">
        <v>206.25</v>
      </c>
      <c r="F12" s="3" t="n">
        <v>19.81</v>
      </c>
    </row>
    <row r="13">
      <c r="A13" s="3" t="inlineStr">
        <is>
          <t>Hindustan Composites..</t>
        </is>
      </c>
      <c r="B13" s="3" t="inlineStr">
        <is>
          <t>2013-12-31</t>
        </is>
      </c>
      <c r="C13" s="3" t="n">
        <v>133.33</v>
      </c>
      <c r="D13" s="3" t="inlineStr">
        <is>
          <t>2014-03-31</t>
        </is>
      </c>
      <c r="E13" s="3" t="n">
        <v>136.67</v>
      </c>
      <c r="F13" s="3" t="n">
        <v>2.51</v>
      </c>
    </row>
    <row r="14">
      <c r="A14" s="3" t="inlineStr">
        <is>
          <t>Igarashi Motors Indi..</t>
        </is>
      </c>
      <c r="B14" s="3" t="inlineStr">
        <is>
          <t>2013-12-31</t>
        </is>
      </c>
      <c r="C14" s="3" t="n">
        <v>74.75</v>
      </c>
      <c r="D14" s="3" t="inlineStr">
        <is>
          <t>2014-03-31</t>
        </is>
      </c>
      <c r="E14" s="3" t="n">
        <v>152.17</v>
      </c>
      <c r="F14" s="3" t="n">
        <v>103.57</v>
      </c>
    </row>
    <row r="15">
      <c r="A15" s="3" t="inlineStr">
        <is>
          <t>Kabra Extrusion Tech..</t>
        </is>
      </c>
      <c r="B15" s="3" t="inlineStr">
        <is>
          <t>2013-12-31</t>
        </is>
      </c>
      <c r="C15" s="3" t="n">
        <v>35.6</v>
      </c>
      <c r="D15" s="3" t="inlineStr">
        <is>
          <t>2014-03-31</t>
        </is>
      </c>
      <c r="E15" s="3" t="n">
        <v>31.45</v>
      </c>
      <c r="F15" s="3" t="n">
        <v>-11.66</v>
      </c>
    </row>
    <row r="16">
      <c r="A16" s="3" t="inlineStr">
        <is>
          <t>Kohinoor Foods Ltd.</t>
        </is>
      </c>
      <c r="B16" s="3" t="inlineStr">
        <is>
          <t>2013-12-31</t>
        </is>
      </c>
      <c r="C16" s="3" t="n">
        <v>45.55</v>
      </c>
      <c r="D16" s="3" t="inlineStr">
        <is>
          <t>2014-03-31</t>
        </is>
      </c>
      <c r="E16" s="3" t="n">
        <v>43</v>
      </c>
      <c r="F16" s="3" t="n">
        <v>-5.6</v>
      </c>
    </row>
    <row r="17">
      <c r="A17" s="3" t="inlineStr">
        <is>
          <t>Manaksia Ltd.</t>
        </is>
      </c>
      <c r="B17" s="3" t="inlineStr">
        <is>
          <t>2013-12-31</t>
        </is>
      </c>
      <c r="C17" s="3" t="n">
        <v>71.59999999999999</v>
      </c>
      <c r="D17" s="3" t="inlineStr">
        <is>
          <t>2014-03-31</t>
        </is>
      </c>
      <c r="E17" s="3" t="n">
        <v>67.3</v>
      </c>
      <c r="F17" s="3" t="n">
        <v>-6.01</v>
      </c>
    </row>
    <row r="18">
      <c r="A18" s="3" t="inlineStr">
        <is>
          <t>Mirza International ..</t>
        </is>
      </c>
      <c r="B18" s="3" t="inlineStr">
        <is>
          <t>2013-12-31</t>
        </is>
      </c>
      <c r="C18" s="3" t="n">
        <v>30.2</v>
      </c>
      <c r="D18" s="3" t="inlineStr">
        <is>
          <t>2014-03-31</t>
        </is>
      </c>
      <c r="E18" s="3" t="n">
        <v>28.05</v>
      </c>
      <c r="F18" s="3" t="n">
        <v>-7.12</v>
      </c>
    </row>
    <row r="19">
      <c r="A19" s="3" t="inlineStr">
        <is>
          <t>RHI Magnesita India ..</t>
        </is>
      </c>
      <c r="B19" s="3" t="inlineStr">
        <is>
          <t>2013-12-31</t>
        </is>
      </c>
      <c r="C19" s="3" t="n">
        <v>42.1</v>
      </c>
      <c r="D19" s="3" t="inlineStr">
        <is>
          <t>2014-03-31</t>
        </is>
      </c>
      <c r="E19" s="3" t="n">
        <v>62.75</v>
      </c>
      <c r="F19" s="3" t="n">
        <v>49.05</v>
      </c>
    </row>
    <row r="20">
      <c r="A20" s="3" t="inlineStr">
        <is>
          <t>RS Software (India) ..</t>
        </is>
      </c>
      <c r="B20" s="3" t="inlineStr">
        <is>
          <t>2013-12-31</t>
        </is>
      </c>
      <c r="C20" s="3" t="n">
        <v>98.90000000000001</v>
      </c>
      <c r="D20" s="3" t="inlineStr">
        <is>
          <t>2014-03-31</t>
        </is>
      </c>
      <c r="E20" s="3" t="n">
        <v>86.40000000000001</v>
      </c>
      <c r="F20" s="3" t="n">
        <v>-12.64</v>
      </c>
    </row>
    <row r="21">
      <c r="A21" s="3" t="inlineStr">
        <is>
          <t>Sasken Technologies ..</t>
        </is>
      </c>
      <c r="B21" s="3" t="inlineStr">
        <is>
          <t>2013-12-31</t>
        </is>
      </c>
      <c r="C21" s="3" t="n">
        <v>191.7</v>
      </c>
      <c r="D21" s="3" t="inlineStr">
        <is>
          <t>2014-03-31</t>
        </is>
      </c>
      <c r="E21" s="3" t="n">
        <v>183</v>
      </c>
      <c r="F21" s="3" t="n">
        <v>-4.54</v>
      </c>
    </row>
    <row r="22">
      <c r="A22" s="3" t="inlineStr">
        <is>
          <t>Country Club Hospita..</t>
        </is>
      </c>
      <c r="B22" s="3" t="inlineStr">
        <is>
          <t>2013-12-31</t>
        </is>
      </c>
      <c r="C22" s="3" t="n">
        <v>9.449999999999999</v>
      </c>
      <c r="D22" s="3" t="inlineStr">
        <is>
          <t>2014-03-31</t>
        </is>
      </c>
      <c r="E22" s="3" t="n">
        <v>7.75</v>
      </c>
      <c r="F22" s="3" t="n">
        <v>-17.99</v>
      </c>
    </row>
    <row r="23">
      <c r="A23" s="3" t="inlineStr">
        <is>
          <t>Warren Tea Ltd.</t>
        </is>
      </c>
      <c r="B23" s="3" t="inlineStr">
        <is>
          <t>2013-12-31</t>
        </is>
      </c>
      <c r="C23" s="3" t="n">
        <v>285</v>
      </c>
      <c r="D23" s="3" t="inlineStr">
        <is>
          <t>2014-03-31</t>
        </is>
      </c>
      <c r="E23" s="3" t="n">
        <v>181</v>
      </c>
      <c r="F23" s="3" t="n">
        <v>-36.49</v>
      </c>
    </row>
    <row r="24">
      <c r="A24" s="3" t="inlineStr">
        <is>
          <t>JK Tyre &amp; Industries..</t>
        </is>
      </c>
      <c r="B24" s="3" t="inlineStr">
        <is>
          <t>2013-12-31</t>
        </is>
      </c>
      <c r="C24" s="3" t="n">
        <v>34.65</v>
      </c>
      <c r="D24" s="3" t="inlineStr">
        <is>
          <t>2014-06-30</t>
        </is>
      </c>
      <c r="E24" s="3" t="n">
        <v>64.76000000000001</v>
      </c>
      <c r="F24" s="3" t="n">
        <v>86.90000000000001</v>
      </c>
    </row>
    <row r="25">
      <c r="A25" s="3" t="inlineStr">
        <is>
          <t>Alembic Ltd.</t>
        </is>
      </c>
      <c r="B25" s="3" t="inlineStr">
        <is>
          <t>2014-03-31</t>
        </is>
      </c>
      <c r="C25" s="3" t="n">
        <v>17.85</v>
      </c>
      <c r="D25" s="3" t="inlineStr">
        <is>
          <t>2014-06-30</t>
        </is>
      </c>
      <c r="E25" s="3" t="n">
        <v>25.8</v>
      </c>
      <c r="F25" s="3" t="n">
        <v>44.54</v>
      </c>
    </row>
    <row r="26">
      <c r="A26" s="3" t="inlineStr">
        <is>
          <t>Kolte-Patil Develope..</t>
        </is>
      </c>
      <c r="B26" s="3" t="inlineStr">
        <is>
          <t>2014-03-31</t>
        </is>
      </c>
      <c r="C26" s="3" t="n">
        <v>104</v>
      </c>
      <c r="D26" s="3" t="inlineStr">
        <is>
          <t>2014-06-30</t>
        </is>
      </c>
      <c r="E26" s="3" t="n">
        <v>149.15</v>
      </c>
      <c r="F26" s="3" t="n">
        <v>43.41</v>
      </c>
    </row>
    <row r="27">
      <c r="A27" s="3" t="inlineStr">
        <is>
          <t>Metalyst Forgings Ltd.</t>
        </is>
      </c>
      <c r="B27" s="3" t="inlineStr">
        <is>
          <t>2014-03-31</t>
        </is>
      </c>
      <c r="C27" s="3" t="n">
        <v>124.8</v>
      </c>
      <c r="D27" s="3" t="inlineStr">
        <is>
          <t>2014-06-30</t>
        </is>
      </c>
      <c r="E27" s="3" t="n">
        <v>321.25</v>
      </c>
      <c r="F27" s="3" t="n">
        <v>157.41</v>
      </c>
    </row>
    <row r="28">
      <c r="A28" s="3" t="inlineStr">
        <is>
          <t>Tata Steel Long Prod..</t>
        </is>
      </c>
      <c r="B28" s="3" t="inlineStr">
        <is>
          <t>2014-03-31</t>
        </is>
      </c>
      <c r="C28" s="3" t="n">
        <v>507</v>
      </c>
      <c r="D28" s="3" t="inlineStr">
        <is>
          <t>2014-06-30</t>
        </is>
      </c>
      <c r="E28" s="3" t="n">
        <v>655.6</v>
      </c>
      <c r="F28" s="3" t="n">
        <v>29.31</v>
      </c>
    </row>
    <row r="29">
      <c r="A29" s="3" t="inlineStr">
        <is>
          <t>BF Investment Ltd.</t>
        </is>
      </c>
      <c r="B29" s="3" t="inlineStr">
        <is>
          <t>2014-03-31</t>
        </is>
      </c>
      <c r="C29" s="3" t="n">
        <v>66.05</v>
      </c>
      <c r="D29" s="3" t="inlineStr">
        <is>
          <t>2014-06-30</t>
        </is>
      </c>
      <c r="E29" s="3" t="n">
        <v>86</v>
      </c>
      <c r="F29" s="3" t="n">
        <v>30.2</v>
      </c>
    </row>
    <row r="30">
      <c r="A30" s="3" t="inlineStr">
        <is>
          <t>EIH Associated Hotel..</t>
        </is>
      </c>
      <c r="B30" s="3" t="inlineStr">
        <is>
          <t>2014-03-31</t>
        </is>
      </c>
      <c r="C30" s="3" t="n">
        <v>79.43000000000001</v>
      </c>
      <c r="D30" s="3" t="inlineStr">
        <is>
          <t>2014-06-30</t>
        </is>
      </c>
      <c r="E30" s="3" t="n">
        <v>92.2</v>
      </c>
      <c r="F30" s="3" t="n">
        <v>16.08</v>
      </c>
    </row>
    <row r="31">
      <c r="A31" s="3" t="inlineStr">
        <is>
          <t>Himadri Speciality C..</t>
        </is>
      </c>
      <c r="B31" s="3" t="inlineStr">
        <is>
          <t>2014-03-31</t>
        </is>
      </c>
      <c r="C31" s="3" t="n">
        <v>20.7</v>
      </c>
      <c r="D31" s="3" t="inlineStr">
        <is>
          <t>2014-06-30</t>
        </is>
      </c>
      <c r="E31" s="3" t="n">
        <v>29.15</v>
      </c>
      <c r="F31" s="3" t="n">
        <v>40.82</v>
      </c>
    </row>
    <row r="32">
      <c r="A32" s="3" t="inlineStr">
        <is>
          <t>Leel Electricals Ltd.</t>
        </is>
      </c>
      <c r="B32" s="3" t="inlineStr">
        <is>
          <t>2014-03-31</t>
        </is>
      </c>
      <c r="C32" s="3" t="n">
        <v>56</v>
      </c>
      <c r="D32" s="3" t="inlineStr">
        <is>
          <t>2014-06-30</t>
        </is>
      </c>
      <c r="E32" s="3" t="n">
        <v>111</v>
      </c>
      <c r="F32" s="3" t="n">
        <v>98.20999999999999</v>
      </c>
    </row>
    <row r="33">
      <c r="A33" s="3" t="inlineStr">
        <is>
          <t>M M Forgings Ltd.</t>
        </is>
      </c>
      <c r="B33" s="3" t="inlineStr">
        <is>
          <t>2014-03-31</t>
        </is>
      </c>
      <c r="C33" s="3" t="n">
        <v>29.73</v>
      </c>
      <c r="D33" s="3" t="inlineStr">
        <is>
          <t>2014-06-30</t>
        </is>
      </c>
      <c r="E33" s="3" t="n">
        <v>56.19</v>
      </c>
      <c r="F33" s="3" t="n">
        <v>89</v>
      </c>
    </row>
    <row r="34">
      <c r="A34" s="3" t="inlineStr">
        <is>
          <t>Nectar Lifesciences ..</t>
        </is>
      </c>
      <c r="B34" s="3" t="inlineStr">
        <is>
          <t>2014-03-31</t>
        </is>
      </c>
      <c r="C34" s="3" t="n">
        <v>24.15</v>
      </c>
      <c r="D34" s="3" t="inlineStr">
        <is>
          <t>2014-06-30</t>
        </is>
      </c>
      <c r="E34" s="3" t="n">
        <v>29.5</v>
      </c>
      <c r="F34" s="3" t="n">
        <v>22.15</v>
      </c>
    </row>
    <row r="35">
      <c r="A35" s="3" t="inlineStr">
        <is>
          <t>Omkar Speciality Che..</t>
        </is>
      </c>
      <c r="B35" s="3" t="inlineStr">
        <is>
          <t>2014-03-31</t>
        </is>
      </c>
      <c r="C35" s="3" t="n">
        <v>149</v>
      </c>
      <c r="D35" s="3" t="inlineStr">
        <is>
          <t>2014-06-30</t>
        </is>
      </c>
      <c r="E35" s="3" t="n">
        <v>128.05</v>
      </c>
      <c r="F35" s="3" t="n">
        <v>-14.06</v>
      </c>
    </row>
    <row r="36">
      <c r="A36" s="3" t="inlineStr">
        <is>
          <t>Rane Holdings Ltd.</t>
        </is>
      </c>
      <c r="B36" s="3" t="inlineStr">
        <is>
          <t>2014-03-31</t>
        </is>
      </c>
      <c r="C36" s="3" t="n">
        <v>187.75</v>
      </c>
      <c r="D36" s="3" t="inlineStr">
        <is>
          <t>2014-06-30</t>
        </is>
      </c>
      <c r="E36" s="3" t="n">
        <v>407</v>
      </c>
      <c r="F36" s="3" t="n">
        <v>116.78</v>
      </c>
    </row>
    <row r="37">
      <c r="A37" s="3" t="inlineStr">
        <is>
          <t>Swelect Energy Syste..</t>
        </is>
      </c>
      <c r="B37" s="3" t="inlineStr">
        <is>
          <t>2014-03-31</t>
        </is>
      </c>
      <c r="C37" s="3" t="n">
        <v>151.03</v>
      </c>
      <c r="D37" s="3" t="inlineStr">
        <is>
          <t>2014-06-30</t>
        </is>
      </c>
      <c r="E37" s="3" t="n">
        <v>288.97</v>
      </c>
      <c r="F37" s="3" t="n">
        <v>91.33</v>
      </c>
    </row>
    <row r="38">
      <c r="A38" s="3" t="inlineStr">
        <is>
          <t>AG Ventures Ltd.</t>
        </is>
      </c>
      <c r="B38" s="3" t="inlineStr">
        <is>
          <t>2014-03-31</t>
        </is>
      </c>
      <c r="C38" s="3" t="n">
        <v>162.95</v>
      </c>
      <c r="D38" s="3" t="inlineStr">
        <is>
          <t>2014-06-30</t>
        </is>
      </c>
      <c r="E38" s="3" t="n">
        <v>274.5</v>
      </c>
      <c r="F38" s="3" t="n">
        <v>68.45999999999999</v>
      </c>
    </row>
    <row r="39">
      <c r="A39" s="3" t="inlineStr">
        <is>
          <t>ZF Steering Gear (In..</t>
        </is>
      </c>
      <c r="B39" s="3" t="inlineStr">
        <is>
          <t>2014-03-31</t>
        </is>
      </c>
      <c r="C39" s="3" t="n">
        <v>280.1</v>
      </c>
      <c r="D39" s="3" t="inlineStr">
        <is>
          <t>2014-06-30</t>
        </is>
      </c>
      <c r="E39" s="3" t="n">
        <v>443.9</v>
      </c>
      <c r="F39" s="3" t="n">
        <v>58.48</v>
      </c>
    </row>
    <row r="40">
      <c r="A40" s="3" t="inlineStr">
        <is>
          <t>Wim Plast Ltd.</t>
        </is>
      </c>
      <c r="B40" s="3" t="inlineStr">
        <is>
          <t>2014-03-31</t>
        </is>
      </c>
      <c r="C40" s="3" t="n">
        <v>299.82</v>
      </c>
      <c r="D40" s="3" t="inlineStr">
        <is>
          <t>2014-06-30</t>
        </is>
      </c>
      <c r="E40" s="3" t="n">
        <v>446.9</v>
      </c>
      <c r="F40" s="3" t="n">
        <v>49.06</v>
      </c>
    </row>
    <row r="41">
      <c r="A41" s="3" t="inlineStr">
        <is>
          <t>KPR Mill Ltd.</t>
        </is>
      </c>
      <c r="B41" s="3" t="inlineStr">
        <is>
          <t>2014-06-30</t>
        </is>
      </c>
      <c r="C41" s="3" t="n">
        <v>24.8</v>
      </c>
      <c r="D41" s="3" t="inlineStr">
        <is>
          <t>2014-09-30</t>
        </is>
      </c>
      <c r="E41" s="3" t="n">
        <v>31.17</v>
      </c>
      <c r="F41" s="3" t="n">
        <v>25.69</v>
      </c>
    </row>
    <row r="42">
      <c r="A42" s="3" t="inlineStr">
        <is>
          <t>Reliance Power Ltd.</t>
        </is>
      </c>
      <c r="B42" s="3" t="inlineStr">
        <is>
          <t>2014-06-30</t>
        </is>
      </c>
      <c r="C42" s="3" t="n">
        <v>108.35</v>
      </c>
      <c r="D42" s="3" t="inlineStr">
        <is>
          <t>2014-09-30</t>
        </is>
      </c>
      <c r="E42" s="3" t="n">
        <v>70.3</v>
      </c>
      <c r="F42" s="3" t="n">
        <v>-35.12</v>
      </c>
    </row>
    <row r="43">
      <c r="A43" s="3" t="inlineStr">
        <is>
          <t>Vedanta Ltd.</t>
        </is>
      </c>
      <c r="B43" s="3" t="inlineStr">
        <is>
          <t>2014-06-30</t>
        </is>
      </c>
      <c r="C43" s="3" t="n">
        <v>292.35</v>
      </c>
      <c r="D43" s="3" t="inlineStr">
        <is>
          <t>2014-09-30</t>
        </is>
      </c>
      <c r="E43" s="3" t="n">
        <v>272.5</v>
      </c>
      <c r="F43" s="3" t="n">
        <v>-6.79</v>
      </c>
    </row>
    <row r="44">
      <c r="A44" s="3" t="inlineStr">
        <is>
          <t>Aksh Optifibre Ltd.</t>
        </is>
      </c>
      <c r="B44" s="3" t="inlineStr">
        <is>
          <t>2014-06-30</t>
        </is>
      </c>
      <c r="C44" s="3" t="n">
        <v>22.45</v>
      </c>
      <c r="D44" s="3" t="inlineStr">
        <is>
          <t>2014-09-30</t>
        </is>
      </c>
      <c r="E44" s="3" t="n">
        <v>18.9</v>
      </c>
      <c r="F44" s="3" t="n">
        <v>-15.81</v>
      </c>
    </row>
    <row r="45">
      <c r="A45" s="3" t="inlineStr">
        <is>
          <t>Bimetal Bearings Ltd.</t>
        </is>
      </c>
      <c r="B45" s="3" t="inlineStr">
        <is>
          <t>2014-06-30</t>
        </is>
      </c>
      <c r="C45" s="3" t="n">
        <v>292.6</v>
      </c>
      <c r="D45" s="3" t="inlineStr">
        <is>
          <t>2014-09-30</t>
        </is>
      </c>
      <c r="E45" s="3" t="n">
        <v>296.05</v>
      </c>
      <c r="F45" s="3" t="n">
        <v>1.18</v>
      </c>
    </row>
    <row r="46">
      <c r="A46" s="3" t="inlineStr">
        <is>
          <t>Cosmo First Ltd.</t>
        </is>
      </c>
      <c r="B46" s="3" t="inlineStr">
        <is>
          <t>2014-06-30</t>
        </is>
      </c>
      <c r="C46" s="3" t="n">
        <v>50.63</v>
      </c>
      <c r="D46" s="3" t="inlineStr">
        <is>
          <t>2014-09-30</t>
        </is>
      </c>
      <c r="E46" s="3" t="n">
        <v>70.63</v>
      </c>
      <c r="F46" s="3" t="n">
        <v>39.5</v>
      </c>
    </row>
    <row r="47">
      <c r="A47" s="3" t="inlineStr">
        <is>
          <t>Deccan Cements Ltd.</t>
        </is>
      </c>
      <c r="B47" s="3" t="inlineStr">
        <is>
          <t>2014-06-30</t>
        </is>
      </c>
      <c r="C47" s="3" t="n">
        <v>144.95</v>
      </c>
      <c r="D47" s="3" t="inlineStr">
        <is>
          <t>2014-09-30</t>
        </is>
      </c>
      <c r="E47" s="3" t="n">
        <v>196</v>
      </c>
      <c r="F47" s="3" t="n">
        <v>35.22</v>
      </c>
    </row>
    <row r="48">
      <c r="A48" s="3" t="inlineStr">
        <is>
          <t>Indiabulls Ltd.</t>
        </is>
      </c>
      <c r="B48" s="3" t="inlineStr">
        <is>
          <t>2014-06-30</t>
        </is>
      </c>
      <c r="C48" s="3" t="n">
        <v>27.75</v>
      </c>
      <c r="D48" s="3" t="inlineStr">
        <is>
          <t>2014-09-30</t>
        </is>
      </c>
      <c r="E48" s="3" t="n">
        <v>21</v>
      </c>
      <c r="F48" s="3" t="n">
        <v>-24.32</v>
      </c>
    </row>
    <row r="49">
      <c r="A49" s="3" t="inlineStr">
        <is>
          <t>Industrial Investmen..</t>
        </is>
      </c>
      <c r="B49" s="3" t="inlineStr">
        <is>
          <t>2014-06-30</t>
        </is>
      </c>
      <c r="C49" s="3" t="n">
        <v>105.55</v>
      </c>
      <c r="D49" s="3" t="inlineStr">
        <is>
          <t>2014-09-30</t>
        </is>
      </c>
      <c r="E49" s="3" t="n">
        <v>88.95</v>
      </c>
      <c r="F49" s="3" t="n">
        <v>-15.73</v>
      </c>
    </row>
    <row r="50">
      <c r="A50" s="3" t="inlineStr">
        <is>
          <t>Kovai Medical Center..</t>
        </is>
      </c>
      <c r="B50" s="3" t="inlineStr">
        <is>
          <t>2014-06-30</t>
        </is>
      </c>
      <c r="C50" s="3" t="n">
        <v>254.45</v>
      </c>
      <c r="D50" s="3" t="inlineStr">
        <is>
          <t>2014-09-30</t>
        </is>
      </c>
      <c r="E50" s="3" t="n">
        <v>390.1</v>
      </c>
      <c r="F50" s="3" t="n">
        <v>53.31</v>
      </c>
    </row>
    <row r="51">
      <c r="A51" s="3" t="inlineStr">
        <is>
          <t>Maithan Alloys Ltd.</t>
        </is>
      </c>
      <c r="B51" s="3" t="inlineStr">
        <is>
          <t>2014-06-30</t>
        </is>
      </c>
      <c r="C51" s="3" t="n">
        <v>54.42</v>
      </c>
      <c r="D51" s="3" t="inlineStr">
        <is>
          <t>2014-09-30</t>
        </is>
      </c>
      <c r="E51" s="3" t="n">
        <v>91.18000000000001</v>
      </c>
      <c r="F51" s="3" t="n">
        <v>67.55</v>
      </c>
    </row>
    <row r="52">
      <c r="A52" s="3" t="inlineStr">
        <is>
          <t>Nahar Industrial Ent..</t>
        </is>
      </c>
      <c r="B52" s="3" t="inlineStr">
        <is>
          <t>2014-06-30</t>
        </is>
      </c>
      <c r="C52" s="3" t="n">
        <v>81</v>
      </c>
      <c r="D52" s="3" t="inlineStr">
        <is>
          <t>2014-09-30</t>
        </is>
      </c>
      <c r="E52" s="3" t="n">
        <v>61</v>
      </c>
      <c r="F52" s="3" t="n">
        <v>-24.69</v>
      </c>
    </row>
    <row r="53">
      <c r="A53" s="3" t="inlineStr">
        <is>
          <t>Nitin Spinners Ltd.</t>
        </is>
      </c>
      <c r="B53" s="3" t="inlineStr">
        <is>
          <t>2014-06-30</t>
        </is>
      </c>
      <c r="C53" s="3" t="n">
        <v>23.35</v>
      </c>
      <c r="D53" s="3" t="inlineStr">
        <is>
          <t>2014-09-30</t>
        </is>
      </c>
      <c r="E53" s="3" t="n">
        <v>27</v>
      </c>
      <c r="F53" s="3" t="n">
        <v>15.63</v>
      </c>
    </row>
    <row r="54">
      <c r="A54" s="3" t="inlineStr">
        <is>
          <t>Oil Country Tubular ..</t>
        </is>
      </c>
      <c r="B54" s="3" t="inlineStr">
        <is>
          <t>2014-06-30</t>
        </is>
      </c>
      <c r="C54" s="3" t="n">
        <v>64.5</v>
      </c>
      <c r="D54" s="3" t="inlineStr">
        <is>
          <t>2014-09-30</t>
        </is>
      </c>
      <c r="E54" s="3" t="n">
        <v>46.65</v>
      </c>
      <c r="F54" s="3" t="n">
        <v>-27.67</v>
      </c>
    </row>
    <row r="55">
      <c r="A55" s="3" t="inlineStr">
        <is>
          <t>Rajapalayam Mills Ltd.</t>
        </is>
      </c>
      <c r="B55" s="3" t="inlineStr">
        <is>
          <t>2014-06-30</t>
        </is>
      </c>
      <c r="C55" s="3" t="n">
        <v>335.6</v>
      </c>
      <c r="D55" s="3" t="inlineStr">
        <is>
          <t>2014-09-30</t>
        </is>
      </c>
      <c r="E55" s="3" t="n">
        <v>336.1</v>
      </c>
      <c r="F55" s="3" t="n">
        <v>0.15</v>
      </c>
    </row>
    <row r="56">
      <c r="A56" s="3" t="inlineStr">
        <is>
          <t>RPG Life Sciences Ltd.</t>
        </is>
      </c>
      <c r="B56" s="3" t="inlineStr">
        <is>
          <t>2014-06-30</t>
        </is>
      </c>
      <c r="C56" s="3" t="n">
        <v>108.35</v>
      </c>
      <c r="D56" s="3" t="inlineStr">
        <is>
          <t>2014-09-30</t>
        </is>
      </c>
      <c r="E56" s="3" t="n">
        <v>121</v>
      </c>
      <c r="F56" s="3" t="n">
        <v>11.68</v>
      </c>
    </row>
    <row r="57">
      <c r="A57" s="3" t="inlineStr">
        <is>
          <t>RSWM Ltd.</t>
        </is>
      </c>
      <c r="B57" s="3" t="inlineStr">
        <is>
          <t>2014-06-30</t>
        </is>
      </c>
      <c r="C57" s="3" t="n">
        <v>212.85</v>
      </c>
      <c r="D57" s="3" t="inlineStr">
        <is>
          <t>2014-09-30</t>
        </is>
      </c>
      <c r="E57" s="3" t="n">
        <v>191.65</v>
      </c>
      <c r="F57" s="3" t="n">
        <v>-9.960000000000001</v>
      </c>
    </row>
    <row r="58">
      <c r="A58" s="3" t="inlineStr">
        <is>
          <t>Ruby Mills Ltd.</t>
        </is>
      </c>
      <c r="B58" s="3" t="inlineStr">
        <is>
          <t>2014-06-30</t>
        </is>
      </c>
      <c r="C58" s="3" t="n">
        <v>70.5</v>
      </c>
      <c r="D58" s="3" t="inlineStr">
        <is>
          <t>2014-09-30</t>
        </is>
      </c>
      <c r="E58" s="3" t="n">
        <v>71.3</v>
      </c>
      <c r="F58" s="3" t="n">
        <v>1.13</v>
      </c>
    </row>
    <row r="59">
      <c r="A59" s="3" t="inlineStr">
        <is>
          <t>Sangam (India) Ltd.</t>
        </is>
      </c>
      <c r="B59" s="3" t="inlineStr">
        <is>
          <t>2014-06-30</t>
        </is>
      </c>
      <c r="C59" s="3" t="n">
        <v>54</v>
      </c>
      <c r="D59" s="3" t="inlineStr">
        <is>
          <t>2014-09-30</t>
        </is>
      </c>
      <c r="E59" s="3" t="n">
        <v>84</v>
      </c>
      <c r="F59" s="3" t="n">
        <v>55.56</v>
      </c>
    </row>
    <row r="60">
      <c r="A60" s="3" t="inlineStr">
        <is>
          <t>SMS Pharmaceuticals ..</t>
        </is>
      </c>
      <c r="B60" s="3" t="inlineStr">
        <is>
          <t>2014-06-30</t>
        </is>
      </c>
      <c r="C60" s="3" t="n">
        <v>32.86</v>
      </c>
      <c r="D60" s="3" t="inlineStr">
        <is>
          <t>2014-09-30</t>
        </is>
      </c>
      <c r="E60" s="3" t="n">
        <v>54.76</v>
      </c>
      <c r="F60" s="3" t="n">
        <v>66.65000000000001</v>
      </c>
    </row>
    <row r="61">
      <c r="A61" s="3" t="inlineStr">
        <is>
          <t>Sterling Tools Ltd.</t>
        </is>
      </c>
      <c r="B61" s="3" t="inlineStr">
        <is>
          <t>2014-06-30</t>
        </is>
      </c>
      <c r="C61" s="3" t="n">
        <v>44</v>
      </c>
      <c r="D61" s="3" t="inlineStr">
        <is>
          <t>2014-09-30</t>
        </is>
      </c>
      <c r="E61" s="3" t="n">
        <v>73.28</v>
      </c>
      <c r="F61" s="3" t="n">
        <v>66.55</v>
      </c>
    </row>
    <row r="62">
      <c r="A62" s="3" t="inlineStr">
        <is>
          <t>SORIL Infra Resource..</t>
        </is>
      </c>
      <c r="B62" s="3" t="inlineStr">
        <is>
          <t>2014-06-30</t>
        </is>
      </c>
      <c r="C62" s="3" t="n">
        <v>44.5</v>
      </c>
      <c r="D62" s="3" t="inlineStr">
        <is>
          <t>2014-09-30</t>
        </is>
      </c>
      <c r="E62" s="3" t="n">
        <v>58.5</v>
      </c>
      <c r="F62" s="3" t="n">
        <v>31.46</v>
      </c>
    </row>
    <row r="63">
      <c r="A63" s="3" t="inlineStr">
        <is>
          <t>Visaka Industries Ltd.</t>
        </is>
      </c>
      <c r="B63" s="3" t="inlineStr">
        <is>
          <t>2014-06-30</t>
        </is>
      </c>
      <c r="C63" s="3" t="n">
        <v>23.5</v>
      </c>
      <c r="D63" s="3" t="inlineStr">
        <is>
          <t>2014-09-30</t>
        </is>
      </c>
      <c r="E63" s="3" t="n">
        <v>23.65</v>
      </c>
      <c r="F63" s="3" t="n">
        <v>0.64</v>
      </c>
    </row>
    <row r="64">
      <c r="A64" s="3" t="inlineStr">
        <is>
          <t>Wendt (India) Ltd.</t>
        </is>
      </c>
      <c r="B64" s="3" t="inlineStr">
        <is>
          <t>2014-06-30</t>
        </is>
      </c>
      <c r="C64" s="3" t="n">
        <v>1576.95</v>
      </c>
      <c r="D64" s="3" t="inlineStr">
        <is>
          <t>2014-09-30</t>
        </is>
      </c>
      <c r="E64" s="3" t="n">
        <v>1585</v>
      </c>
      <c r="F64" s="3" t="n">
        <v>0.51</v>
      </c>
    </row>
    <row r="65">
      <c r="A65" s="3" t="inlineStr">
        <is>
          <t>Hester Biosciences L..</t>
        </is>
      </c>
      <c r="B65" s="3" t="inlineStr">
        <is>
          <t>2014-06-30</t>
        </is>
      </c>
      <c r="C65" s="3" t="n">
        <v>172.95</v>
      </c>
      <c r="D65" s="3" t="inlineStr">
        <is>
          <t>2014-09-30</t>
        </is>
      </c>
      <c r="E65" s="3" t="n">
        <v>398.75</v>
      </c>
      <c r="F65" s="3" t="n">
        <v>130.56</v>
      </c>
    </row>
    <row r="66">
      <c r="A66" s="3" t="inlineStr">
        <is>
          <t>Oswal Agro Mills Ltd.</t>
        </is>
      </c>
      <c r="B66" s="3" t="inlineStr">
        <is>
          <t>2014-06-30</t>
        </is>
      </c>
      <c r="C66" s="3" t="n">
        <v>16.8</v>
      </c>
      <c r="D66" s="3" t="inlineStr">
        <is>
          <t>2014-09-30</t>
        </is>
      </c>
      <c r="E66" s="3" t="n">
        <v>14.62</v>
      </c>
      <c r="F66" s="3" t="n">
        <v>-12.98</v>
      </c>
    </row>
    <row r="67">
      <c r="A67" s="3" t="inlineStr">
        <is>
          <t>Stovec Industries Ltd.</t>
        </is>
      </c>
      <c r="B67" s="3" t="inlineStr">
        <is>
          <t>2014-06-30</t>
        </is>
      </c>
      <c r="C67" s="3" t="n">
        <v>633.75</v>
      </c>
      <c r="D67" s="3" t="inlineStr">
        <is>
          <t>2014-09-30</t>
        </is>
      </c>
      <c r="E67" s="3" t="n">
        <v>1000</v>
      </c>
      <c r="F67" s="3" t="n">
        <v>57.79</v>
      </c>
    </row>
    <row r="68">
      <c r="A68" s="3" t="inlineStr">
        <is>
          <t>ABC Bearings Ltd.</t>
        </is>
      </c>
      <c r="B68" s="3" t="inlineStr">
        <is>
          <t>2014-06-30</t>
        </is>
      </c>
      <c r="C68" s="3" t="n">
        <v>95.75</v>
      </c>
      <c r="D68" s="3" t="inlineStr">
        <is>
          <t>2014-09-30</t>
        </is>
      </c>
      <c r="E68" s="3" t="n">
        <v>117.65</v>
      </c>
      <c r="F68" s="3" t="n">
        <v>22.87</v>
      </c>
    </row>
    <row r="69">
      <c r="A69" s="3" t="inlineStr">
        <is>
          <t>Ultramarine &amp; Pigmen..</t>
        </is>
      </c>
      <c r="B69" s="3" t="inlineStr">
        <is>
          <t>2014-06-30</t>
        </is>
      </c>
      <c r="C69" s="3" t="n">
        <v>73.45</v>
      </c>
      <c r="D69" s="3" t="inlineStr">
        <is>
          <t>2014-09-30</t>
        </is>
      </c>
      <c r="E69" s="3" t="n">
        <v>70.75</v>
      </c>
      <c r="F69" s="3" t="n">
        <v>-3.68</v>
      </c>
    </row>
    <row r="70">
      <c r="A70" s="3" t="inlineStr">
        <is>
          <t>TCPL Packaging Ltd.</t>
        </is>
      </c>
      <c r="B70" s="3" t="inlineStr">
        <is>
          <t>2014-06-30</t>
        </is>
      </c>
      <c r="C70" s="3" t="n">
        <v>125</v>
      </c>
      <c r="D70" s="3" t="inlineStr">
        <is>
          <t>2014-09-30</t>
        </is>
      </c>
      <c r="E70" s="3" t="n">
        <v>247.05</v>
      </c>
      <c r="F70" s="3" t="n">
        <v>97.64</v>
      </c>
    </row>
    <row r="71">
      <c r="A71" s="3" t="inlineStr">
        <is>
          <t>Emami Paper Mills Ltd.</t>
        </is>
      </c>
      <c r="B71" s="3" t="inlineStr">
        <is>
          <t>2014-06-30</t>
        </is>
      </c>
      <c r="C71" s="3" t="n">
        <v>37</v>
      </c>
      <c r="D71" s="3" t="inlineStr">
        <is>
          <t>2014-09-30</t>
        </is>
      </c>
      <c r="E71" s="3" t="n">
        <v>45.65</v>
      </c>
      <c r="F71" s="3" t="n">
        <v>23.38</v>
      </c>
    </row>
    <row r="72">
      <c r="A72" s="3" t="inlineStr">
        <is>
          <t>GPT Infraprojects Ltd.</t>
        </is>
      </c>
      <c r="B72" s="3" t="inlineStr">
        <is>
          <t>2014-06-30</t>
        </is>
      </c>
      <c r="C72" s="3" t="n">
        <v>13.63</v>
      </c>
      <c r="D72" s="3" t="inlineStr">
        <is>
          <t>2014-09-30</t>
        </is>
      </c>
      <c r="E72" s="3" t="n">
        <v>17.32</v>
      </c>
      <c r="F72" s="3" t="n">
        <v>27.07</v>
      </c>
    </row>
    <row r="73">
      <c r="A73" s="3" t="inlineStr">
        <is>
          <t>Venky's (India) Ltd.</t>
        </is>
      </c>
      <c r="B73" s="3" t="inlineStr">
        <is>
          <t>2014-09-30</t>
        </is>
      </c>
      <c r="C73" s="3" t="n">
        <v>391.34</v>
      </c>
      <c r="D73" s="3" t="inlineStr">
        <is>
          <t>2014-12-31</t>
        </is>
      </c>
      <c r="E73" s="3" t="n">
        <v>260.34</v>
      </c>
      <c r="F73" s="3" t="n">
        <v>-33.47</v>
      </c>
    </row>
    <row r="74">
      <c r="A74" s="3" t="inlineStr">
        <is>
          <t>Fomento Resorts &amp; Ho..</t>
        </is>
      </c>
      <c r="B74" s="3" t="inlineStr">
        <is>
          <t>2014-09-30</t>
        </is>
      </c>
      <c r="C74" s="3" t="n">
        <v>105</v>
      </c>
      <c r="D74" s="3" t="inlineStr">
        <is>
          <t>2014-12-31</t>
        </is>
      </c>
      <c r="E74" s="3" t="n">
        <v>88</v>
      </c>
      <c r="F74" s="3" t="n">
        <v>-16.19</v>
      </c>
    </row>
    <row r="75">
      <c r="A75" s="3" t="inlineStr">
        <is>
          <t>J L Morison (India) ..</t>
        </is>
      </c>
      <c r="B75" s="3" t="inlineStr">
        <is>
          <t>2014-09-30</t>
        </is>
      </c>
      <c r="C75" s="3" t="n">
        <v>750</v>
      </c>
      <c r="D75" s="3" t="inlineStr">
        <is>
          <t>2014-12-31</t>
        </is>
      </c>
      <c r="E75" s="3" t="n">
        <v>903</v>
      </c>
      <c r="F75" s="3" t="n">
        <v>20.4</v>
      </c>
    </row>
    <row r="76">
      <c r="A76" s="3" t="inlineStr">
        <is>
          <t>TAKE Ltd.</t>
        </is>
      </c>
      <c r="B76" s="3" t="inlineStr">
        <is>
          <t>2014-12-31</t>
        </is>
      </c>
      <c r="C76" s="3" t="n">
        <v>55.9</v>
      </c>
      <c r="D76" s="3" t="inlineStr">
        <is>
          <t>2015-03-31</t>
        </is>
      </c>
      <c r="E76" s="3" t="n">
        <v>128.6</v>
      </c>
      <c r="F76" s="3" t="n">
        <v>130.05</v>
      </c>
    </row>
    <row r="77">
      <c r="A77" s="3" t="inlineStr">
        <is>
          <t>Empire Industries Ltd.</t>
        </is>
      </c>
      <c r="B77" s="3" t="inlineStr">
        <is>
          <t>2014-12-31</t>
        </is>
      </c>
      <c r="C77" s="3" t="n">
        <v>1063.9</v>
      </c>
      <c r="D77" s="3" t="inlineStr">
        <is>
          <t>2015-03-31</t>
        </is>
      </c>
      <c r="E77" s="3" t="n">
        <v>1697.5</v>
      </c>
      <c r="F77" s="3" t="n">
        <v>59.55</v>
      </c>
    </row>
    <row r="78">
      <c r="A78" s="3" t="inlineStr">
        <is>
          <t>Kohinoor Foods Ltd.</t>
        </is>
      </c>
      <c r="B78" s="3" t="inlineStr">
        <is>
          <t>2015-03-31</t>
        </is>
      </c>
      <c r="C78" s="3" t="n">
        <v>53.75</v>
      </c>
      <c r="D78" s="3" t="inlineStr">
        <is>
          <t>2015-06-30</t>
        </is>
      </c>
      <c r="E78" s="3" t="n">
        <v>42.15</v>
      </c>
      <c r="F78" s="3" t="n">
        <v>-21.58</v>
      </c>
    </row>
    <row r="79">
      <c r="A79" s="3" t="inlineStr">
        <is>
          <t>Hexaware Technologie..</t>
        </is>
      </c>
      <c r="B79" s="3" t="inlineStr">
        <is>
          <t>2015-03-31</t>
        </is>
      </c>
      <c r="C79" s="3" t="n">
        <v>311.7</v>
      </c>
      <c r="D79" s="3" t="inlineStr">
        <is>
          <t>2015-06-30</t>
        </is>
      </c>
      <c r="E79" s="3" t="n">
        <v>257.2</v>
      </c>
      <c r="F79" s="3" t="n">
        <v>-17.48</v>
      </c>
    </row>
    <row r="80">
      <c r="A80" s="3" t="inlineStr">
        <is>
          <t>Himatsingka Seide Ltd.</t>
        </is>
      </c>
      <c r="B80" s="3" t="inlineStr">
        <is>
          <t>2015-06-30</t>
        </is>
      </c>
      <c r="C80" s="3" t="n">
        <v>93.55</v>
      </c>
      <c r="D80" s="3" t="inlineStr">
        <is>
          <t>2015-09-30</t>
        </is>
      </c>
      <c r="E80" s="3" t="n">
        <v>208.1</v>
      </c>
      <c r="F80" s="3" t="n">
        <v>122.45</v>
      </c>
    </row>
    <row r="81">
      <c r="A81" s="3" t="inlineStr">
        <is>
          <t>Stovec Industries Ltd.</t>
        </is>
      </c>
      <c r="B81" s="3" t="inlineStr">
        <is>
          <t>2015-06-30</t>
        </is>
      </c>
      <c r="C81" s="3" t="n">
        <v>1233</v>
      </c>
      <c r="D81" s="3" t="inlineStr">
        <is>
          <t>2015-09-30</t>
        </is>
      </c>
      <c r="E81" s="3" t="n">
        <v>1630</v>
      </c>
      <c r="F81" s="3" t="n">
        <v>32.2</v>
      </c>
    </row>
    <row r="82">
      <c r="A82" s="3" t="inlineStr">
        <is>
          <t>Coromandel Engineeri..</t>
        </is>
      </c>
      <c r="B82" s="3" t="inlineStr">
        <is>
          <t>2015-06-30</t>
        </is>
      </c>
      <c r="C82" s="3" t="n">
        <v>74.05</v>
      </c>
      <c r="D82" s="3" t="inlineStr">
        <is>
          <t>2015-09-30</t>
        </is>
      </c>
      <c r="E82" s="3" t="n">
        <v>56.5</v>
      </c>
      <c r="F82" s="3" t="n">
        <v>-23.7</v>
      </c>
    </row>
    <row r="83">
      <c r="A83" s="3" t="inlineStr">
        <is>
          <t>Deep Energy Resource..</t>
        </is>
      </c>
      <c r="B83" s="3" t="inlineStr">
        <is>
          <t>2015-06-30</t>
        </is>
      </c>
      <c r="C83" s="3" t="n">
        <v>89.2</v>
      </c>
      <c r="D83" s="3" t="inlineStr">
        <is>
          <t>2015-09-30</t>
        </is>
      </c>
      <c r="E83" s="3" t="n">
        <v>157</v>
      </c>
      <c r="F83" s="3" t="n">
        <v>76.01000000000001</v>
      </c>
    </row>
    <row r="84">
      <c r="A84" s="3" t="inlineStr">
        <is>
          <t>GeeCee Ventures Ltd.</t>
        </is>
      </c>
      <c r="B84" s="3" t="inlineStr">
        <is>
          <t>2015-06-30</t>
        </is>
      </c>
      <c r="C84" s="3" t="n">
        <v>71.90000000000001</v>
      </c>
      <c r="D84" s="3" t="inlineStr">
        <is>
          <t>2015-09-30</t>
        </is>
      </c>
      <c r="E84" s="3" t="n">
        <v>74.5</v>
      </c>
      <c r="F84" s="3" t="n">
        <v>3.62</v>
      </c>
    </row>
    <row r="85">
      <c r="A85" s="3" t="inlineStr">
        <is>
          <t>Manali Petrochemical..</t>
        </is>
      </c>
      <c r="B85" s="3" t="inlineStr">
        <is>
          <t>2015-06-30</t>
        </is>
      </c>
      <c r="C85" s="3" t="n">
        <v>21.75</v>
      </c>
      <c r="D85" s="3" t="inlineStr">
        <is>
          <t>2015-09-30</t>
        </is>
      </c>
      <c r="E85" s="3" t="n">
        <v>24.4</v>
      </c>
      <c r="F85" s="3" t="n">
        <v>12.18</v>
      </c>
    </row>
    <row r="86">
      <c r="A86" s="3" t="inlineStr">
        <is>
          <t>Haldyn Glass Ltd.</t>
        </is>
      </c>
      <c r="B86" s="3" t="inlineStr">
        <is>
          <t>2015-06-30</t>
        </is>
      </c>
      <c r="C86" s="3" t="n">
        <v>33.5</v>
      </c>
      <c r="D86" s="3" t="inlineStr">
        <is>
          <t>2015-09-30</t>
        </is>
      </c>
      <c r="E86" s="3" t="n">
        <v>31.2</v>
      </c>
      <c r="F86" s="3" t="n">
        <v>-6.87</v>
      </c>
    </row>
    <row r="87">
      <c r="A87" s="3" t="inlineStr">
        <is>
          <t>Mazda Ltd.</t>
        </is>
      </c>
      <c r="B87" s="3" t="inlineStr">
        <is>
          <t>2015-06-30</t>
        </is>
      </c>
      <c r="C87" s="3" t="n">
        <v>59.28</v>
      </c>
      <c r="D87" s="3" t="inlineStr">
        <is>
          <t>2015-09-30</t>
        </is>
      </c>
      <c r="E87" s="3" t="n">
        <v>52.22</v>
      </c>
      <c r="F87" s="3" t="n">
        <v>-11.91</v>
      </c>
    </row>
    <row r="88">
      <c r="A88" s="3" t="inlineStr">
        <is>
          <t>Premier Explosives L..</t>
        </is>
      </c>
      <c r="B88" s="3" t="inlineStr">
        <is>
          <t>2015-06-30</t>
        </is>
      </c>
      <c r="C88" s="3" t="n">
        <v>57.8</v>
      </c>
      <c r="D88" s="3" t="inlineStr">
        <is>
          <t>2015-09-30</t>
        </is>
      </c>
      <c r="E88" s="3" t="n">
        <v>65.31999999999999</v>
      </c>
      <c r="F88" s="3" t="n">
        <v>13.01</v>
      </c>
    </row>
    <row r="89">
      <c r="A89" s="3" t="inlineStr">
        <is>
          <t>Cheviot Company Ltd.</t>
        </is>
      </c>
      <c r="B89" s="3" t="inlineStr">
        <is>
          <t>2015-06-30</t>
        </is>
      </c>
      <c r="C89" s="3" t="n">
        <v>369.34</v>
      </c>
      <c r="D89" s="3" t="inlineStr">
        <is>
          <t>2015-09-30</t>
        </is>
      </c>
      <c r="E89" s="3" t="n">
        <v>360.34</v>
      </c>
      <c r="F89" s="3" t="n">
        <v>-2.44</v>
      </c>
    </row>
    <row r="90">
      <c r="A90" s="3" t="inlineStr">
        <is>
          <t>Asian Granito India ..</t>
        </is>
      </c>
      <c r="B90" s="3" t="inlineStr">
        <is>
          <t>2015-09-30</t>
        </is>
      </c>
      <c r="C90" s="3" t="n">
        <v>126.2</v>
      </c>
      <c r="D90" s="3" t="inlineStr">
        <is>
          <t>2015-12-31</t>
        </is>
      </c>
      <c r="E90" s="3" t="n">
        <v>180.55</v>
      </c>
      <c r="F90" s="3" t="n">
        <v>43.07</v>
      </c>
    </row>
    <row r="91">
      <c r="A91" s="3" t="inlineStr">
        <is>
          <t>Balaji Telefilms Ltd.</t>
        </is>
      </c>
      <c r="B91" s="3" t="inlineStr">
        <is>
          <t>2015-09-30</t>
        </is>
      </c>
      <c r="C91" s="3" t="n">
        <v>103.15</v>
      </c>
      <c r="D91" s="3" t="inlineStr">
        <is>
          <t>2015-12-31</t>
        </is>
      </c>
      <c r="E91" s="3" t="n">
        <v>140.4</v>
      </c>
      <c r="F91" s="3" t="n">
        <v>36.11</v>
      </c>
    </row>
    <row r="92">
      <c r="A92" s="3" t="inlineStr">
        <is>
          <t>Om Infra Ltd.</t>
        </is>
      </c>
      <c r="B92" s="3" t="inlineStr">
        <is>
          <t>2015-09-30</t>
        </is>
      </c>
      <c r="C92" s="3" t="n">
        <v>56.4</v>
      </c>
      <c r="D92" s="3" t="inlineStr">
        <is>
          <t>2015-12-31</t>
        </is>
      </c>
      <c r="E92" s="3" t="n">
        <v>56.55</v>
      </c>
      <c r="F92" s="3" t="n">
        <v>0.27</v>
      </c>
    </row>
    <row r="93">
      <c r="A93" s="3" t="inlineStr">
        <is>
          <t>Pradeep Metals Ltd.</t>
        </is>
      </c>
      <c r="B93" s="3" t="inlineStr">
        <is>
          <t>2015-09-30</t>
        </is>
      </c>
      <c r="C93" s="3" t="n">
        <v>70.25</v>
      </c>
      <c r="D93" s="3" t="inlineStr">
        <is>
          <t>2015-12-31</t>
        </is>
      </c>
      <c r="E93" s="3" t="n">
        <v>68.15000000000001</v>
      </c>
      <c r="F93" s="3" t="n">
        <v>-2.99</v>
      </c>
    </row>
    <row r="94">
      <c r="A94" s="3" t="inlineStr">
        <is>
          <t>Bhagyanagar India Ltd.</t>
        </is>
      </c>
      <c r="B94" s="3" t="inlineStr">
        <is>
          <t>2015-09-30</t>
        </is>
      </c>
      <c r="C94" s="3" t="n">
        <v>20.55</v>
      </c>
      <c r="D94" s="3" t="inlineStr">
        <is>
          <t>2015-12-31</t>
        </is>
      </c>
      <c r="E94" s="3" t="n">
        <v>19.95</v>
      </c>
      <c r="F94" s="3" t="n">
        <v>-2.92</v>
      </c>
    </row>
    <row r="95">
      <c r="A95" s="3" t="inlineStr">
        <is>
          <t>Deccan Cements Ltd.</t>
        </is>
      </c>
      <c r="B95" s="3" t="inlineStr">
        <is>
          <t>2015-12-31</t>
        </is>
      </c>
      <c r="C95" s="3" t="n">
        <v>370.45</v>
      </c>
      <c r="D95" s="3" t="inlineStr">
        <is>
          <t>2016-03-31</t>
        </is>
      </c>
      <c r="E95" s="3" t="n">
        <v>290.72</v>
      </c>
      <c r="F95" s="3" t="n">
        <v>-21.52</v>
      </c>
    </row>
    <row r="96">
      <c r="A96" s="3" t="inlineStr">
        <is>
          <t>RSWM Ltd.</t>
        </is>
      </c>
      <c r="B96" s="3" t="inlineStr">
        <is>
          <t>2015-12-31</t>
        </is>
      </c>
      <c r="C96" s="3" t="n">
        <v>360.15</v>
      </c>
      <c r="D96" s="3" t="inlineStr">
        <is>
          <t>2016-03-31</t>
        </is>
      </c>
      <c r="E96" s="3" t="n">
        <v>305</v>
      </c>
      <c r="F96" s="3" t="n">
        <v>-15.31</v>
      </c>
    </row>
    <row r="97">
      <c r="A97" s="3" t="inlineStr">
        <is>
          <t>Mazda Ltd.</t>
        </is>
      </c>
      <c r="B97" s="3" t="inlineStr">
        <is>
          <t>2015-12-31</t>
        </is>
      </c>
      <c r="C97" s="3" t="n">
        <v>73.8</v>
      </c>
      <c r="D97" s="3" t="inlineStr">
        <is>
          <t>2016-03-31</t>
        </is>
      </c>
      <c r="E97" s="3" t="n">
        <v>67.2</v>
      </c>
      <c r="F97" s="3" t="n">
        <v>-8.94</v>
      </c>
    </row>
    <row r="98">
      <c r="A98" s="3" t="inlineStr">
        <is>
          <t>Banswara Syntex Ltd.</t>
        </is>
      </c>
      <c r="B98" s="3" t="inlineStr">
        <is>
          <t>2015-12-31</t>
        </is>
      </c>
      <c r="C98" s="3" t="n">
        <v>63.18</v>
      </c>
      <c r="D98" s="3" t="inlineStr">
        <is>
          <t>2016-03-31</t>
        </is>
      </c>
      <c r="E98" s="3" t="n">
        <v>44.75</v>
      </c>
      <c r="F98" s="3" t="n">
        <v>-29.17</v>
      </c>
    </row>
    <row r="99">
      <c r="A99" s="3" t="inlineStr">
        <is>
          <t>Morarjee Textiles Ltd.</t>
        </is>
      </c>
      <c r="B99" s="3" t="inlineStr">
        <is>
          <t>2015-12-31</t>
        </is>
      </c>
      <c r="C99" s="3" t="n">
        <v>51.2</v>
      </c>
      <c r="D99" s="3" t="inlineStr">
        <is>
          <t>2016-03-31</t>
        </is>
      </c>
      <c r="E99" s="3" t="n">
        <v>33.7</v>
      </c>
      <c r="F99" s="3" t="n">
        <v>-34.18</v>
      </c>
    </row>
    <row r="100">
      <c r="A100" s="3" t="inlineStr">
        <is>
          <t>Super Sales India Ltd.</t>
        </is>
      </c>
      <c r="B100" s="3" t="inlineStr">
        <is>
          <t>2015-12-31</t>
        </is>
      </c>
      <c r="C100" s="3" t="n">
        <v>489</v>
      </c>
      <c r="D100" s="3" t="inlineStr">
        <is>
          <t>2016-03-31</t>
        </is>
      </c>
      <c r="E100" s="3" t="n">
        <v>379.5</v>
      </c>
      <c r="F100" s="3" t="n">
        <v>-22.39</v>
      </c>
    </row>
    <row r="101">
      <c r="A101" s="3" t="inlineStr">
        <is>
          <t>Voltamp Transformers..</t>
        </is>
      </c>
      <c r="B101" s="3" t="inlineStr">
        <is>
          <t>2015-12-31</t>
        </is>
      </c>
      <c r="C101" s="3" t="n">
        <v>929.1</v>
      </c>
      <c r="D101" s="3" t="inlineStr">
        <is>
          <t>2016-03-31</t>
        </is>
      </c>
      <c r="E101" s="3" t="n">
        <v>800</v>
      </c>
      <c r="F101" s="3" t="n">
        <v>-13.9</v>
      </c>
    </row>
    <row r="102">
      <c r="A102" s="3" t="inlineStr">
        <is>
          <t>Mac Charles (India) ..</t>
        </is>
      </c>
      <c r="B102" s="3" t="inlineStr">
        <is>
          <t>2015-12-31</t>
        </is>
      </c>
      <c r="C102" s="3" t="n">
        <v>248.4</v>
      </c>
      <c r="D102" s="3" t="inlineStr">
        <is>
          <t>2016-06-30</t>
        </is>
      </c>
      <c r="E102" s="3" t="n">
        <v>399.6</v>
      </c>
      <c r="F102" s="3" t="n">
        <v>60.87</v>
      </c>
    </row>
    <row r="103">
      <c r="A103" s="3" t="inlineStr">
        <is>
          <t>Indian Toners &amp; Deve..</t>
        </is>
      </c>
      <c r="B103" s="3" t="inlineStr">
        <is>
          <t>2015-12-31</t>
        </is>
      </c>
      <c r="C103" s="3" t="n">
        <v>26.02</v>
      </c>
      <c r="D103" s="3" t="inlineStr">
        <is>
          <t>2016-06-30</t>
        </is>
      </c>
      <c r="E103" s="3" t="n">
        <v>27.2</v>
      </c>
      <c r="F103" s="3" t="n">
        <v>4.53</v>
      </c>
    </row>
    <row r="104">
      <c r="A104" s="3" t="inlineStr">
        <is>
          <t>Ashok Leyland Ltd.</t>
        </is>
      </c>
      <c r="B104" s="3" t="inlineStr">
        <is>
          <t>2016-03-31</t>
        </is>
      </c>
      <c r="C104" s="3" t="n">
        <v>55.13</v>
      </c>
      <c r="D104" s="3" t="inlineStr">
        <is>
          <t>2016-06-30</t>
        </is>
      </c>
      <c r="E104" s="3" t="n">
        <v>49.7</v>
      </c>
      <c r="F104" s="3" t="n">
        <v>-9.85</v>
      </c>
    </row>
    <row r="105">
      <c r="A105" s="3" t="inlineStr">
        <is>
          <t>NHPC Ltd.</t>
        </is>
      </c>
      <c r="B105" s="3" t="inlineStr">
        <is>
          <t>2016-03-31</t>
        </is>
      </c>
      <c r="C105" s="3" t="n">
        <v>24</v>
      </c>
      <c r="D105" s="3" t="inlineStr">
        <is>
          <t>2016-06-30</t>
        </is>
      </c>
      <c r="E105" s="3" t="n">
        <v>24.9</v>
      </c>
      <c r="F105" s="3" t="n">
        <v>3.75</v>
      </c>
    </row>
    <row r="106">
      <c r="A106" s="3" t="inlineStr">
        <is>
          <t>DCM Shriram Industri..</t>
        </is>
      </c>
      <c r="B106" s="3" t="inlineStr">
        <is>
          <t>2016-03-31</t>
        </is>
      </c>
      <c r="C106" s="3" t="n">
        <v>26.9</v>
      </c>
      <c r="D106" s="3" t="inlineStr">
        <is>
          <t>2016-06-30</t>
        </is>
      </c>
      <c r="E106" s="3" t="n">
        <v>32.85</v>
      </c>
      <c r="F106" s="3" t="n">
        <v>22.12</v>
      </c>
    </row>
    <row r="107">
      <c r="A107" s="3" t="inlineStr">
        <is>
          <t>India Tourism Develo..</t>
        </is>
      </c>
      <c r="B107" s="3" t="inlineStr">
        <is>
          <t>2016-03-31</t>
        </is>
      </c>
      <c r="C107" s="3" t="n">
        <v>250.7</v>
      </c>
      <c r="D107" s="3" t="inlineStr">
        <is>
          <t>2016-06-30</t>
        </is>
      </c>
      <c r="E107" s="3" t="n">
        <v>248.95</v>
      </c>
      <c r="F107" s="3" t="n">
        <v>-0.7</v>
      </c>
    </row>
    <row r="108">
      <c r="A108" s="3" t="inlineStr">
        <is>
          <t>FIEM Industries Ltd.</t>
        </is>
      </c>
      <c r="B108" s="3" t="inlineStr">
        <is>
          <t>2016-06-30</t>
        </is>
      </c>
      <c r="C108" s="3" t="n">
        <v>480</v>
      </c>
      <c r="D108" s="3" t="inlineStr">
        <is>
          <t>2016-09-30</t>
        </is>
      </c>
      <c r="E108" s="3" t="n">
        <v>555</v>
      </c>
      <c r="F108" s="3" t="n">
        <v>15.63</v>
      </c>
    </row>
    <row r="109">
      <c r="A109" s="3" t="inlineStr">
        <is>
          <t>Kabra Extrusion Tech..</t>
        </is>
      </c>
      <c r="B109" s="3" t="inlineStr">
        <is>
          <t>2016-06-30</t>
        </is>
      </c>
      <c r="C109" s="3" t="n">
        <v>114.45</v>
      </c>
      <c r="D109" s="3" t="inlineStr">
        <is>
          <t>2016-09-30</t>
        </is>
      </c>
      <c r="E109" s="3" t="n">
        <v>118.65</v>
      </c>
      <c r="F109" s="3" t="n">
        <v>3.67</v>
      </c>
    </row>
    <row r="110">
      <c r="A110" s="3" t="inlineStr">
        <is>
          <t>Hester Biosciences L..</t>
        </is>
      </c>
      <c r="B110" s="3" t="inlineStr">
        <is>
          <t>2016-06-30</t>
        </is>
      </c>
      <c r="C110" s="3" t="n">
        <v>735.7</v>
      </c>
      <c r="D110" s="3" t="inlineStr">
        <is>
          <t>2016-09-30</t>
        </is>
      </c>
      <c r="E110" s="3" t="n">
        <v>761.75</v>
      </c>
      <c r="F110" s="3" t="n">
        <v>3.54</v>
      </c>
    </row>
    <row r="111">
      <c r="A111" s="3" t="inlineStr">
        <is>
          <t>TCPL Packaging Ltd.</t>
        </is>
      </c>
      <c r="B111" s="3" t="inlineStr">
        <is>
          <t>2016-06-30</t>
        </is>
      </c>
      <c r="C111" s="3" t="n">
        <v>726.05</v>
      </c>
      <c r="D111" s="3" t="inlineStr">
        <is>
          <t>2016-09-30</t>
        </is>
      </c>
      <c r="E111" s="3" t="n">
        <v>641</v>
      </c>
      <c r="F111" s="3" t="n">
        <v>-11.71</v>
      </c>
    </row>
    <row r="112">
      <c r="A112" s="3" t="inlineStr">
        <is>
          <t>DLF Ltd.</t>
        </is>
      </c>
      <c r="B112" s="3" t="inlineStr">
        <is>
          <t>2016-06-30</t>
        </is>
      </c>
      <c r="C112" s="3" t="n">
        <v>151.5</v>
      </c>
      <c r="D112" s="3" t="inlineStr">
        <is>
          <t>2016-09-30</t>
        </is>
      </c>
      <c r="E112" s="3" t="n">
        <v>146.25</v>
      </c>
      <c r="F112" s="3" t="n">
        <v>-3.47</v>
      </c>
    </row>
    <row r="113">
      <c r="A113" s="3" t="inlineStr">
        <is>
          <t>Hindalco Industries ..</t>
        </is>
      </c>
      <c r="B113" s="3" t="inlineStr">
        <is>
          <t>2016-06-30</t>
        </is>
      </c>
      <c r="C113" s="3" t="n">
        <v>124.75</v>
      </c>
      <c r="D113" s="3" t="inlineStr">
        <is>
          <t>2016-09-30</t>
        </is>
      </c>
      <c r="E113" s="3" t="n">
        <v>152.7</v>
      </c>
      <c r="F113" s="3" t="n">
        <v>22.4</v>
      </c>
    </row>
    <row r="114">
      <c r="A114" s="3" t="inlineStr">
        <is>
          <t>NAVA Ltd.</t>
        </is>
      </c>
      <c r="B114" s="3" t="inlineStr">
        <is>
          <t>2016-06-30</t>
        </is>
      </c>
      <c r="C114" s="3" t="n">
        <v>58.85</v>
      </c>
      <c r="D114" s="3" t="inlineStr">
        <is>
          <t>2016-09-30</t>
        </is>
      </c>
      <c r="E114" s="3" t="n">
        <v>66.15000000000001</v>
      </c>
      <c r="F114" s="3" t="n">
        <v>12.4</v>
      </c>
    </row>
    <row r="115">
      <c r="A115" s="3" t="inlineStr">
        <is>
          <t>PVR INOX Ltd.</t>
        </is>
      </c>
      <c r="B115" s="3" t="inlineStr">
        <is>
          <t>2016-06-30</t>
        </is>
      </c>
      <c r="C115" s="3" t="n">
        <v>1028</v>
      </c>
      <c r="D115" s="3" t="inlineStr">
        <is>
          <t>2016-09-30</t>
        </is>
      </c>
      <c r="E115" s="3" t="n">
        <v>1192</v>
      </c>
      <c r="F115" s="3" t="n">
        <v>15.95</v>
      </c>
    </row>
    <row r="116">
      <c r="A116" s="3" t="inlineStr">
        <is>
          <t>Alkyl Amines Chemica..</t>
        </is>
      </c>
      <c r="B116" s="3" t="inlineStr">
        <is>
          <t>2016-06-30</t>
        </is>
      </c>
      <c r="C116" s="3" t="n">
        <v>149.84</v>
      </c>
      <c r="D116" s="3" t="inlineStr">
        <is>
          <t>2016-09-30</t>
        </is>
      </c>
      <c r="E116" s="3" t="n">
        <v>124.6</v>
      </c>
      <c r="F116" s="3" t="n">
        <v>-16.84</v>
      </c>
    </row>
    <row r="117">
      <c r="A117" s="3" t="inlineStr">
        <is>
          <t>Apcotex Industries L..</t>
        </is>
      </c>
      <c r="B117" s="3" t="inlineStr">
        <is>
          <t>2016-06-30</t>
        </is>
      </c>
      <c r="C117" s="3" t="n">
        <v>153.48</v>
      </c>
      <c r="D117" s="3" t="inlineStr">
        <is>
          <t>2016-09-30</t>
        </is>
      </c>
      <c r="E117" s="3" t="n">
        <v>150.74</v>
      </c>
      <c r="F117" s="3" t="n">
        <v>-1.79</v>
      </c>
    </row>
    <row r="118">
      <c r="A118" s="3" t="inlineStr">
        <is>
          <t>Asahi Songwon Colors..</t>
        </is>
      </c>
      <c r="B118" s="3" t="inlineStr">
        <is>
          <t>2016-06-30</t>
        </is>
      </c>
      <c r="C118" s="3" t="n">
        <v>225.4</v>
      </c>
      <c r="D118" s="3" t="inlineStr">
        <is>
          <t>2016-09-30</t>
        </is>
      </c>
      <c r="E118" s="3" t="n">
        <v>222</v>
      </c>
      <c r="F118" s="3" t="n">
        <v>-1.51</v>
      </c>
    </row>
    <row r="119">
      <c r="A119" s="3" t="inlineStr">
        <is>
          <t>Cera Sanitaryware Ltd.</t>
        </is>
      </c>
      <c r="B119" s="3" t="inlineStr">
        <is>
          <t>2016-06-30</t>
        </is>
      </c>
      <c r="C119" s="3" t="n">
        <v>2409.2</v>
      </c>
      <c r="D119" s="3" t="inlineStr">
        <is>
          <t>2016-09-30</t>
        </is>
      </c>
      <c r="E119" s="3" t="n">
        <v>2379.85</v>
      </c>
      <c r="F119" s="3" t="n">
        <v>-1.22</v>
      </c>
    </row>
    <row r="120">
      <c r="A120" s="3" t="inlineStr">
        <is>
          <t>Huhtamaki India Ltd.</t>
        </is>
      </c>
      <c r="B120" s="3" t="inlineStr">
        <is>
          <t>2016-06-30</t>
        </is>
      </c>
      <c r="C120" s="3" t="n">
        <v>302.75</v>
      </c>
      <c r="D120" s="3" t="inlineStr">
        <is>
          <t>2016-09-30</t>
        </is>
      </c>
      <c r="E120" s="3" t="n">
        <v>257.15</v>
      </c>
      <c r="F120" s="3" t="n">
        <v>-15.06</v>
      </c>
    </row>
    <row r="121">
      <c r="A121" s="3" t="inlineStr">
        <is>
          <t>Shilpa Medicare Ltd.</t>
        </is>
      </c>
      <c r="B121" s="3" t="inlineStr">
        <is>
          <t>2016-06-30</t>
        </is>
      </c>
      <c r="C121" s="3" t="n">
        <v>279.03</v>
      </c>
      <c r="D121" s="3" t="inlineStr">
        <is>
          <t>2016-09-30</t>
        </is>
      </c>
      <c r="E121" s="3" t="n">
        <v>270.03</v>
      </c>
      <c r="F121" s="3" t="n">
        <v>-3.23</v>
      </c>
    </row>
    <row r="122">
      <c r="A122" s="3" t="inlineStr">
        <is>
          <t>Privi Speciality Che..</t>
        </is>
      </c>
      <c r="B122" s="3" t="inlineStr">
        <is>
          <t>2016-06-30</t>
        </is>
      </c>
      <c r="C122" s="3" t="n">
        <v>348</v>
      </c>
      <c r="D122" s="3" t="inlineStr">
        <is>
          <t>2016-09-30</t>
        </is>
      </c>
      <c r="E122" s="3" t="n">
        <v>426.75</v>
      </c>
      <c r="F122" s="3" t="n">
        <v>22.63</v>
      </c>
    </row>
    <row r="123">
      <c r="A123" s="3" t="inlineStr">
        <is>
          <t>South India Paper Mi..</t>
        </is>
      </c>
      <c r="B123" s="3" t="inlineStr">
        <is>
          <t>2016-06-30</t>
        </is>
      </c>
      <c r="C123" s="3" t="n">
        <v>160.85</v>
      </c>
      <c r="D123" s="3" t="inlineStr">
        <is>
          <t>2016-09-30</t>
        </is>
      </c>
      <c r="E123" s="3" t="n">
        <v>150</v>
      </c>
      <c r="F123" s="3" t="n">
        <v>-6.75</v>
      </c>
    </row>
    <row r="124">
      <c r="A124" s="3" t="inlineStr">
        <is>
          <t>Bengal &amp; Assam Compa..</t>
        </is>
      </c>
      <c r="B124" s="3" t="inlineStr">
        <is>
          <t>2016-06-30</t>
        </is>
      </c>
      <c r="C124" s="3" t="n">
        <v>682.65</v>
      </c>
      <c r="D124" s="3" t="inlineStr">
        <is>
          <t>2016-09-30</t>
        </is>
      </c>
      <c r="E124" s="3" t="n">
        <v>1110</v>
      </c>
      <c r="F124" s="3" t="n">
        <v>62.6</v>
      </c>
    </row>
    <row r="125">
      <c r="A125" s="3" t="inlineStr">
        <is>
          <t>Flex Foods Ltd.</t>
        </is>
      </c>
      <c r="B125" s="3" t="inlineStr">
        <is>
          <t>2016-06-30</t>
        </is>
      </c>
      <c r="C125" s="3" t="n">
        <v>90.2</v>
      </c>
      <c r="D125" s="3" t="inlineStr">
        <is>
          <t>2016-12-30</t>
        </is>
      </c>
      <c r="E125" s="3" t="n">
        <v>102.05</v>
      </c>
      <c r="F125" s="3" t="n">
        <v>13.14</v>
      </c>
    </row>
    <row r="126">
      <c r="A126" s="3" t="inlineStr">
        <is>
          <t>JK Tyre &amp; Industries..</t>
        </is>
      </c>
      <c r="B126" s="3" t="inlineStr">
        <is>
          <t>2016-09-30</t>
        </is>
      </c>
      <c r="C126" s="3" t="n">
        <v>148.45</v>
      </c>
      <c r="D126" s="3" t="inlineStr">
        <is>
          <t>2016-12-30</t>
        </is>
      </c>
      <c r="E126" s="3" t="n">
        <v>113.45</v>
      </c>
      <c r="F126" s="3" t="n">
        <v>-23.58</v>
      </c>
    </row>
    <row r="127">
      <c r="A127" s="3" t="inlineStr">
        <is>
          <t>Hindustan Composites..</t>
        </is>
      </c>
      <c r="B127" s="3" t="inlineStr">
        <is>
          <t>2016-09-30</t>
        </is>
      </c>
      <c r="C127" s="3" t="n">
        <v>571.29</v>
      </c>
      <c r="D127" s="3" t="inlineStr">
        <is>
          <t>2016-12-30</t>
        </is>
      </c>
      <c r="E127" s="3" t="n">
        <v>515.6900000000001</v>
      </c>
      <c r="F127" s="3" t="n">
        <v>-9.73</v>
      </c>
    </row>
    <row r="128">
      <c r="A128" s="3" t="inlineStr">
        <is>
          <t>Deep Energy Resource..</t>
        </is>
      </c>
      <c r="B128" s="3" t="inlineStr">
        <is>
          <t>2016-09-30</t>
        </is>
      </c>
      <c r="C128" s="3" t="n">
        <v>226</v>
      </c>
      <c r="D128" s="3" t="inlineStr">
        <is>
          <t>2016-12-30</t>
        </is>
      </c>
      <c r="E128" s="3" t="n">
        <v>280</v>
      </c>
      <c r="F128" s="3" t="n">
        <v>23.89</v>
      </c>
    </row>
    <row r="129">
      <c r="A129" s="3" t="inlineStr">
        <is>
          <t>Cheviot Company Ltd.</t>
        </is>
      </c>
      <c r="B129" s="3" t="inlineStr">
        <is>
          <t>2016-09-30</t>
        </is>
      </c>
      <c r="C129" s="3" t="n">
        <v>678.84</v>
      </c>
      <c r="D129" s="3" t="inlineStr">
        <is>
          <t>2016-12-30</t>
        </is>
      </c>
      <c r="E129" s="3" t="n">
        <v>589.9400000000001</v>
      </c>
      <c r="F129" s="3" t="n">
        <v>-13.1</v>
      </c>
    </row>
    <row r="130">
      <c r="A130" s="3" t="inlineStr">
        <is>
          <t>Super Sales India Ltd.</t>
        </is>
      </c>
      <c r="B130" s="3" t="inlineStr">
        <is>
          <t>2016-09-30</t>
        </is>
      </c>
      <c r="C130" s="3" t="n">
        <v>610</v>
      </c>
      <c r="D130" s="3" t="inlineStr">
        <is>
          <t>2016-12-30</t>
        </is>
      </c>
      <c r="E130" s="3" t="n">
        <v>547</v>
      </c>
      <c r="F130" s="3" t="n">
        <v>-10.33</v>
      </c>
    </row>
    <row r="131">
      <c r="A131" s="3" t="inlineStr">
        <is>
          <t>Balkrishna Industrie..</t>
        </is>
      </c>
      <c r="B131" s="3" t="inlineStr">
        <is>
          <t>2016-09-30</t>
        </is>
      </c>
      <c r="C131" s="3" t="n">
        <v>506.95</v>
      </c>
      <c r="D131" s="3" t="inlineStr">
        <is>
          <t>2016-12-30</t>
        </is>
      </c>
      <c r="E131" s="3" t="n">
        <v>551.25</v>
      </c>
      <c r="F131" s="3" t="n">
        <v>8.74</v>
      </c>
    </row>
    <row r="132">
      <c r="A132" s="3" t="inlineStr">
        <is>
          <t>Entertainment Networ..</t>
        </is>
      </c>
      <c r="B132" s="3" t="inlineStr">
        <is>
          <t>2016-09-30</t>
        </is>
      </c>
      <c r="C132" s="3" t="n">
        <v>880</v>
      </c>
      <c r="D132" s="3" t="inlineStr">
        <is>
          <t>2016-12-30</t>
        </is>
      </c>
      <c r="E132" s="3" t="n">
        <v>830</v>
      </c>
      <c r="F132" s="3" t="n">
        <v>-5.68</v>
      </c>
    </row>
    <row r="133">
      <c r="A133" s="3" t="inlineStr">
        <is>
          <t>Jubilant Pharmova Ltd.</t>
        </is>
      </c>
      <c r="B133" s="3" t="inlineStr">
        <is>
          <t>2016-09-30</t>
        </is>
      </c>
      <c r="C133" s="3" t="n">
        <v>614.3</v>
      </c>
      <c r="D133" s="3" t="inlineStr">
        <is>
          <t>2016-12-30</t>
        </is>
      </c>
      <c r="E133" s="3" t="n">
        <v>632.2</v>
      </c>
      <c r="F133" s="3" t="n">
        <v>2.91</v>
      </c>
    </row>
    <row r="134">
      <c r="A134" s="3" t="inlineStr">
        <is>
          <t>MRF Ltd.</t>
        </is>
      </c>
      <c r="B134" s="3" t="inlineStr">
        <is>
          <t>2016-09-30</t>
        </is>
      </c>
      <c r="C134" s="3" t="n">
        <v>51100.05</v>
      </c>
      <c r="D134" s="3" t="inlineStr">
        <is>
          <t>2016-12-30</t>
        </is>
      </c>
      <c r="E134" s="3" t="n">
        <v>48725</v>
      </c>
      <c r="F134" s="3" t="n">
        <v>-4.65</v>
      </c>
    </row>
    <row r="135">
      <c r="A135" s="3" t="inlineStr">
        <is>
          <t>Aarti Drugs Ltd.</t>
        </is>
      </c>
      <c r="B135" s="3" t="inlineStr">
        <is>
          <t>2016-09-30</t>
        </is>
      </c>
      <c r="C135" s="3" t="n">
        <v>155.24</v>
      </c>
      <c r="D135" s="3" t="inlineStr">
        <is>
          <t>2016-12-30</t>
        </is>
      </c>
      <c r="E135" s="3" t="n">
        <v>151.41</v>
      </c>
      <c r="F135" s="3" t="n">
        <v>-2.47</v>
      </c>
    </row>
    <row r="136">
      <c r="A136" s="3" t="inlineStr">
        <is>
          <t>AVT Natural Products..</t>
        </is>
      </c>
      <c r="B136" s="3" t="inlineStr">
        <is>
          <t>2016-09-30</t>
        </is>
      </c>
      <c r="C136" s="3" t="n">
        <v>37.75</v>
      </c>
      <c r="D136" s="3" t="inlineStr">
        <is>
          <t>2016-12-30</t>
        </is>
      </c>
      <c r="E136" s="3" t="n">
        <v>30.35</v>
      </c>
      <c r="F136" s="3" t="n">
        <v>-19.6</v>
      </c>
    </row>
    <row r="137">
      <c r="A137" s="3" t="inlineStr">
        <is>
          <t>Hikal Ltd.</t>
        </is>
      </c>
      <c r="B137" s="3" t="inlineStr">
        <is>
          <t>2016-09-30</t>
        </is>
      </c>
      <c r="C137" s="3" t="n">
        <v>145.73</v>
      </c>
      <c r="D137" s="3" t="inlineStr">
        <is>
          <t>2016-12-30</t>
        </is>
      </c>
      <c r="E137" s="3" t="n">
        <v>142.97</v>
      </c>
      <c r="F137" s="3" t="n">
        <v>-1.89</v>
      </c>
    </row>
    <row r="138">
      <c r="A138" s="3" t="inlineStr">
        <is>
          <t>Murudeshwar Ceramics..</t>
        </is>
      </c>
      <c r="B138" s="3" t="inlineStr">
        <is>
          <t>2016-09-30</t>
        </is>
      </c>
      <c r="C138" s="3" t="n">
        <v>36.2</v>
      </c>
      <c r="D138" s="3" t="inlineStr">
        <is>
          <t>2016-12-30</t>
        </is>
      </c>
      <c r="E138" s="3" t="n">
        <v>28.45</v>
      </c>
      <c r="F138" s="3" t="n">
        <v>-21.41</v>
      </c>
    </row>
    <row r="139">
      <c r="A139" s="3" t="inlineStr">
        <is>
          <t>Time Technoplast Ltd.</t>
        </is>
      </c>
      <c r="B139" s="3" t="inlineStr">
        <is>
          <t>2016-09-30</t>
        </is>
      </c>
      <c r="C139" s="3" t="n">
        <v>49.1</v>
      </c>
      <c r="D139" s="3" t="inlineStr">
        <is>
          <t>2016-12-30</t>
        </is>
      </c>
      <c r="E139" s="3" t="n">
        <v>45.8</v>
      </c>
      <c r="F139" s="3" t="n">
        <v>-6.72</v>
      </c>
    </row>
    <row r="140">
      <c r="A140" s="3" t="inlineStr">
        <is>
          <t>TVS Srichakra Ltd.</t>
        </is>
      </c>
      <c r="B140" s="3" t="inlineStr">
        <is>
          <t>2016-09-30</t>
        </is>
      </c>
      <c r="C140" s="3" t="n">
        <v>4030</v>
      </c>
      <c r="D140" s="3" t="inlineStr">
        <is>
          <t>2016-12-30</t>
        </is>
      </c>
      <c r="E140" s="3" t="n">
        <v>3191.5</v>
      </c>
      <c r="F140" s="3" t="n">
        <v>-20.81</v>
      </c>
    </row>
    <row r="141">
      <c r="A141" s="3" t="inlineStr">
        <is>
          <t>Oriental Aromatics L..</t>
        </is>
      </c>
      <c r="B141" s="3" t="inlineStr">
        <is>
          <t>2016-09-30</t>
        </is>
      </c>
      <c r="C141" s="3" t="n">
        <v>190</v>
      </c>
      <c r="D141" s="3" t="inlineStr">
        <is>
          <t>2016-12-30</t>
        </is>
      </c>
      <c r="E141" s="3" t="n">
        <v>175</v>
      </c>
      <c r="F141" s="3" t="n">
        <v>-7.89</v>
      </c>
    </row>
    <row r="142">
      <c r="A142" s="3" t="inlineStr">
        <is>
          <t>Fermenta Biotech Ltd.</t>
        </is>
      </c>
      <c r="B142" s="3" t="inlineStr">
        <is>
          <t>2016-09-30</t>
        </is>
      </c>
      <c r="C142" s="3" t="n">
        <v>70.33</v>
      </c>
      <c r="D142" s="3" t="inlineStr">
        <is>
          <t>2016-12-30</t>
        </is>
      </c>
      <c r="E142" s="3" t="n">
        <v>61.25</v>
      </c>
      <c r="F142" s="3" t="n">
        <v>-12.91</v>
      </c>
    </row>
    <row r="143">
      <c r="A143" s="3" t="inlineStr">
        <is>
          <t>Samkrg Pistons &amp; Rin..</t>
        </is>
      </c>
      <c r="B143" s="3" t="inlineStr">
        <is>
          <t>2016-09-30</t>
        </is>
      </c>
      <c r="C143" s="3" t="n">
        <v>227</v>
      </c>
      <c r="D143" s="3" t="inlineStr">
        <is>
          <t>2016-12-30</t>
        </is>
      </c>
      <c r="E143" s="3" t="n">
        <v>182</v>
      </c>
      <c r="F143" s="3" t="n">
        <v>-19.82</v>
      </c>
    </row>
    <row r="144">
      <c r="A144" s="3" t="inlineStr">
        <is>
          <t>Innovative Tech Pack..</t>
        </is>
      </c>
      <c r="B144" s="3" t="inlineStr">
        <is>
          <t>2016-09-30</t>
        </is>
      </c>
      <c r="C144" s="3" t="n">
        <v>49.85</v>
      </c>
      <c r="D144" s="3" t="inlineStr">
        <is>
          <t>2016-12-30</t>
        </is>
      </c>
      <c r="E144" s="3" t="n">
        <v>57.05</v>
      </c>
      <c r="F144" s="3" t="n">
        <v>14.44</v>
      </c>
    </row>
    <row r="145">
      <c r="A145" s="3" t="inlineStr">
        <is>
          <t>ABM Knowledgeware Ltd.</t>
        </is>
      </c>
      <c r="B145" s="3" t="inlineStr">
        <is>
          <t>2016-09-30</t>
        </is>
      </c>
      <c r="C145" s="3" t="n">
        <v>143.8</v>
      </c>
      <c r="D145" s="3" t="inlineStr">
        <is>
          <t>2016-12-30</t>
        </is>
      </c>
      <c r="E145" s="3" t="n">
        <v>148.55</v>
      </c>
      <c r="F145" s="3" t="n">
        <v>3.3</v>
      </c>
    </row>
    <row r="146">
      <c r="A146" s="3" t="inlineStr">
        <is>
          <t>Pix Transmissions Ltd.</t>
        </is>
      </c>
      <c r="B146" s="3" t="inlineStr">
        <is>
          <t>2016-12-30</t>
        </is>
      </c>
      <c r="C146" s="3" t="n">
        <v>82.5</v>
      </c>
      <c r="D146" s="3" t="inlineStr">
        <is>
          <t>2017-03-31</t>
        </is>
      </c>
      <c r="E146" s="3" t="n">
        <v>132.45</v>
      </c>
      <c r="F146" s="3" t="n">
        <v>60.55</v>
      </c>
    </row>
    <row r="147">
      <c r="A147" s="3" t="inlineStr">
        <is>
          <t>Alkyl Amines Chemica..</t>
        </is>
      </c>
      <c r="B147" s="3" t="inlineStr">
        <is>
          <t>2017-03-31</t>
        </is>
      </c>
      <c r="C147" s="3" t="n">
        <v>180.96</v>
      </c>
      <c r="D147" s="3" t="inlineStr">
        <is>
          <t>2017-06-30</t>
        </is>
      </c>
      <c r="E147" s="3" t="n">
        <v>151.28</v>
      </c>
      <c r="F147" s="3" t="n">
        <v>-16.4</v>
      </c>
    </row>
    <row r="148">
      <c r="A148" s="3" t="inlineStr">
        <is>
          <t>Cera Sanitaryware Ltd.</t>
        </is>
      </c>
      <c r="B148" s="3" t="inlineStr">
        <is>
          <t>2017-03-31</t>
        </is>
      </c>
      <c r="C148" s="3" t="n">
        <v>3016.25</v>
      </c>
      <c r="D148" s="3" t="inlineStr">
        <is>
          <t>2017-06-30</t>
        </is>
      </c>
      <c r="E148" s="3" t="n">
        <v>2894.2</v>
      </c>
      <c r="F148" s="3" t="n">
        <v>-4.05</v>
      </c>
    </row>
    <row r="149">
      <c r="A149" s="3" t="inlineStr">
        <is>
          <t>Murudeshwar Ceramics..</t>
        </is>
      </c>
      <c r="B149" s="3" t="inlineStr">
        <is>
          <t>2017-03-31</t>
        </is>
      </c>
      <c r="C149" s="3" t="n">
        <v>43.5</v>
      </c>
      <c r="D149" s="3" t="inlineStr">
        <is>
          <t>2017-06-30</t>
        </is>
      </c>
      <c r="E149" s="3" t="n">
        <v>41</v>
      </c>
      <c r="F149" s="3" t="n">
        <v>-5.75</v>
      </c>
    </row>
    <row r="150">
      <c r="A150" s="3" t="inlineStr">
        <is>
          <t>Astral Ltd.</t>
        </is>
      </c>
      <c r="B150" s="3" t="inlineStr">
        <is>
          <t>2017-03-31</t>
        </is>
      </c>
      <c r="C150" s="3" t="n">
        <v>246.44</v>
      </c>
      <c r="D150" s="3" t="inlineStr">
        <is>
          <t>2017-06-30</t>
        </is>
      </c>
      <c r="E150" s="3" t="n">
        <v>309.13</v>
      </c>
      <c r="F150" s="3" t="n">
        <v>25.44</v>
      </c>
    </row>
    <row r="151">
      <c r="A151" s="3" t="inlineStr">
        <is>
          <t>Brigade Enterprises ..</t>
        </is>
      </c>
      <c r="B151" s="3" t="inlineStr">
        <is>
          <t>2017-03-31</t>
        </is>
      </c>
      <c r="C151" s="3" t="n">
        <v>114.88</v>
      </c>
      <c r="D151" s="3" t="inlineStr">
        <is>
          <t>2017-06-30</t>
        </is>
      </c>
      <c r="E151" s="3" t="n">
        <v>129</v>
      </c>
      <c r="F151" s="3" t="n">
        <v>12.29</v>
      </c>
    </row>
    <row r="152">
      <c r="A152" s="3" t="inlineStr">
        <is>
          <t>Housing Development ..</t>
        </is>
      </c>
      <c r="B152" s="3" t="inlineStr">
        <is>
          <t>2017-03-31</t>
        </is>
      </c>
      <c r="C152" s="3" t="n">
        <v>81.95</v>
      </c>
      <c r="D152" s="3" t="inlineStr">
        <is>
          <t>2017-06-30</t>
        </is>
      </c>
      <c r="E152" s="3" t="n">
        <v>85.15000000000001</v>
      </c>
      <c r="F152" s="3" t="n">
        <v>3.9</v>
      </c>
    </row>
    <row r="153">
      <c r="A153" s="3" t="inlineStr">
        <is>
          <t>Navneet Education Ltd.</t>
        </is>
      </c>
      <c r="B153" s="3" t="inlineStr">
        <is>
          <t>2017-03-31</t>
        </is>
      </c>
      <c r="C153" s="3" t="n">
        <v>162.45</v>
      </c>
      <c r="D153" s="3" t="inlineStr">
        <is>
          <t>2017-06-30</t>
        </is>
      </c>
      <c r="E153" s="3" t="n">
        <v>179.25</v>
      </c>
      <c r="F153" s="3" t="n">
        <v>10.34</v>
      </c>
    </row>
    <row r="154">
      <c r="A154" s="3" t="inlineStr">
        <is>
          <t>Srikalahasthi Pipes ..</t>
        </is>
      </c>
      <c r="B154" s="3" t="inlineStr">
        <is>
          <t>2017-03-31</t>
        </is>
      </c>
      <c r="C154" s="3" t="n">
        <v>388.2</v>
      </c>
      <c r="D154" s="3" t="inlineStr">
        <is>
          <t>2017-06-30</t>
        </is>
      </c>
      <c r="E154" s="3" t="n">
        <v>339.35</v>
      </c>
      <c r="F154" s="3" t="n">
        <v>-12.58</v>
      </c>
    </row>
    <row r="155">
      <c r="A155" s="3" t="inlineStr">
        <is>
          <t>Sun TV Network Ltd.</t>
        </is>
      </c>
      <c r="B155" s="3" t="inlineStr">
        <is>
          <t>2017-03-31</t>
        </is>
      </c>
      <c r="C155" s="3" t="n">
        <v>790.65</v>
      </c>
      <c r="D155" s="3" t="inlineStr">
        <is>
          <t>2017-06-30</t>
        </is>
      </c>
      <c r="E155" s="3" t="n">
        <v>816.4</v>
      </c>
      <c r="F155" s="3" t="n">
        <v>3.26</v>
      </c>
    </row>
    <row r="156">
      <c r="A156" s="3" t="inlineStr">
        <is>
          <t>Thomas Cook (India) ..</t>
        </is>
      </c>
      <c r="B156" s="3" t="inlineStr">
        <is>
          <t>2017-03-31</t>
        </is>
      </c>
      <c r="C156" s="3" t="n">
        <v>232.9</v>
      </c>
      <c r="D156" s="3" t="inlineStr">
        <is>
          <t>2017-06-30</t>
        </is>
      </c>
      <c r="E156" s="3" t="n">
        <v>247.8</v>
      </c>
      <c r="F156" s="3" t="n">
        <v>6.4</v>
      </c>
    </row>
    <row r="157">
      <c r="A157" s="3" t="inlineStr">
        <is>
          <t>Trident Ltd.</t>
        </is>
      </c>
      <c r="B157" s="3" t="inlineStr">
        <is>
          <t>2017-03-31</t>
        </is>
      </c>
      <c r="C157" s="3" t="n">
        <v>8.630000000000001</v>
      </c>
      <c r="D157" s="3" t="inlineStr">
        <is>
          <t>2017-06-30</t>
        </is>
      </c>
      <c r="E157" s="3" t="n">
        <v>7.36</v>
      </c>
      <c r="F157" s="3" t="n">
        <v>-14.72</v>
      </c>
    </row>
    <row r="158">
      <c r="A158" s="3" t="inlineStr">
        <is>
          <t>Bodal Chemicals Ltd.</t>
        </is>
      </c>
      <c r="B158" s="3" t="inlineStr">
        <is>
          <t>2017-03-31</t>
        </is>
      </c>
      <c r="C158" s="3" t="n">
        <v>160.5</v>
      </c>
      <c r="D158" s="3" t="inlineStr">
        <is>
          <t>2017-06-30</t>
        </is>
      </c>
      <c r="E158" s="3" t="n">
        <v>158.2</v>
      </c>
      <c r="F158" s="3" t="n">
        <v>-1.43</v>
      </c>
    </row>
    <row r="159">
      <c r="A159" s="3" t="inlineStr">
        <is>
          <t>Rupa &amp; Company Ltd.</t>
        </is>
      </c>
      <c r="B159" s="3" t="inlineStr">
        <is>
          <t>2017-03-31</t>
        </is>
      </c>
      <c r="C159" s="3" t="n">
        <v>326.85</v>
      </c>
      <c r="D159" s="3" t="inlineStr">
        <is>
          <t>2017-06-30</t>
        </is>
      </c>
      <c r="E159" s="3" t="n">
        <v>461</v>
      </c>
      <c r="F159" s="3" t="n">
        <v>41.04</v>
      </c>
    </row>
    <row r="160">
      <c r="A160" s="3" t="inlineStr">
        <is>
          <t>Triveni Turbine Ltd.</t>
        </is>
      </c>
      <c r="B160" s="3" t="inlineStr">
        <is>
          <t>2017-03-31</t>
        </is>
      </c>
      <c r="C160" s="3" t="n">
        <v>144.9</v>
      </c>
      <c r="D160" s="3" t="inlineStr">
        <is>
          <t>2017-06-30</t>
        </is>
      </c>
      <c r="E160" s="3" t="n">
        <v>140</v>
      </c>
      <c r="F160" s="3" t="n">
        <v>-3.38</v>
      </c>
    </row>
    <row r="161">
      <c r="A161" s="3" t="inlineStr">
        <is>
          <t>Kirloskar Pneumatic ..</t>
        </is>
      </c>
      <c r="B161" s="3" t="inlineStr">
        <is>
          <t>2017-03-31</t>
        </is>
      </c>
      <c r="C161" s="3" t="n">
        <v>118.8</v>
      </c>
      <c r="D161" s="3" t="inlineStr">
        <is>
          <t>2017-06-30</t>
        </is>
      </c>
      <c r="E161" s="3" t="n">
        <v>109.21</v>
      </c>
      <c r="F161" s="3" t="n">
        <v>-8.07</v>
      </c>
    </row>
    <row r="162">
      <c r="A162" s="3" t="inlineStr">
        <is>
          <t>Polson Ltd.</t>
        </is>
      </c>
      <c r="B162" s="3" t="inlineStr">
        <is>
          <t>2017-03-31</t>
        </is>
      </c>
      <c r="C162" s="3" t="n">
        <v>11068.5</v>
      </c>
      <c r="D162" s="3" t="inlineStr">
        <is>
          <t>2017-06-30</t>
        </is>
      </c>
      <c r="E162" s="3" t="n">
        <v>19975.25</v>
      </c>
      <c r="F162" s="3" t="n">
        <v>80.47</v>
      </c>
    </row>
    <row r="163">
      <c r="A163" s="3" t="inlineStr">
        <is>
          <t>Himadri Speciality C..</t>
        </is>
      </c>
      <c r="B163" s="3" t="inlineStr">
        <is>
          <t>2017-06-30</t>
        </is>
      </c>
      <c r="C163" s="3" t="n">
        <v>78.59999999999999</v>
      </c>
      <c r="D163" s="3" t="inlineStr">
        <is>
          <t>2017-09-29</t>
        </is>
      </c>
      <c r="E163" s="3" t="n">
        <v>139.75</v>
      </c>
      <c r="F163" s="3" t="n">
        <v>77.8</v>
      </c>
    </row>
    <row r="164">
      <c r="A164" s="3" t="inlineStr">
        <is>
          <t>Indian Toners &amp; Deve..</t>
        </is>
      </c>
      <c r="B164" s="3" t="inlineStr">
        <is>
          <t>2017-06-30</t>
        </is>
      </c>
      <c r="C164" s="3" t="n">
        <v>51.42</v>
      </c>
      <c r="D164" s="3" t="inlineStr">
        <is>
          <t>2017-09-29</t>
        </is>
      </c>
      <c r="E164" s="3" t="n">
        <v>51</v>
      </c>
      <c r="F164" s="3" t="n">
        <v>-0.82</v>
      </c>
    </row>
    <row r="165">
      <c r="A165" s="3" t="inlineStr">
        <is>
          <t>Graphite India Ltd.</t>
        </is>
      </c>
      <c r="B165" s="3" t="inlineStr">
        <is>
          <t>2017-06-30</t>
        </is>
      </c>
      <c r="C165" s="3" t="n">
        <v>164.15</v>
      </c>
      <c r="D165" s="3" t="inlineStr">
        <is>
          <t>2017-09-29</t>
        </is>
      </c>
      <c r="E165" s="3" t="n">
        <v>371.7</v>
      </c>
      <c r="F165" s="3" t="n">
        <v>126.44</v>
      </c>
    </row>
    <row r="166">
      <c r="A166" s="3" t="inlineStr">
        <is>
          <t>Swaraj Engines Ltd.</t>
        </is>
      </c>
      <c r="B166" s="3" t="inlineStr">
        <is>
          <t>2017-06-30</t>
        </is>
      </c>
      <c r="C166" s="3" t="n">
        <v>2345.9</v>
      </c>
      <c r="D166" s="3" t="inlineStr">
        <is>
          <t>2017-09-29</t>
        </is>
      </c>
      <c r="E166" s="3" t="n">
        <v>2032.7</v>
      </c>
      <c r="F166" s="3" t="n">
        <v>-13.35</v>
      </c>
    </row>
    <row r="167">
      <c r="A167" s="3" t="inlineStr">
        <is>
          <t>BirlaNu Ltd.</t>
        </is>
      </c>
      <c r="B167" s="3" t="inlineStr">
        <is>
          <t>2017-06-30</t>
        </is>
      </c>
      <c r="C167" s="3" t="n">
        <v>980.05</v>
      </c>
      <c r="D167" s="3" t="inlineStr">
        <is>
          <t>2017-09-29</t>
        </is>
      </c>
      <c r="E167" s="3" t="n">
        <v>1249.7</v>
      </c>
      <c r="F167" s="3" t="n">
        <v>27.51</v>
      </c>
    </row>
    <row r="168">
      <c r="A168" s="3" t="inlineStr">
        <is>
          <t>Orbit Exports Ltd.</t>
        </is>
      </c>
      <c r="B168" s="3" t="inlineStr">
        <is>
          <t>2017-06-30</t>
        </is>
      </c>
      <c r="C168" s="3" t="n">
        <v>162.15</v>
      </c>
      <c r="D168" s="3" t="inlineStr">
        <is>
          <t>2017-09-29</t>
        </is>
      </c>
      <c r="E168" s="3" t="n">
        <v>137.8</v>
      </c>
      <c r="F168" s="3" t="n">
        <v>-15.02</v>
      </c>
    </row>
    <row r="169">
      <c r="A169" s="3" t="inlineStr">
        <is>
          <t>Suprajit Engineering..</t>
        </is>
      </c>
      <c r="B169" s="3" t="inlineStr">
        <is>
          <t>2017-06-30</t>
        </is>
      </c>
      <c r="C169" s="3" t="n">
        <v>318.9</v>
      </c>
      <c r="D169" s="3" t="inlineStr">
        <is>
          <t>2017-09-29</t>
        </is>
      </c>
      <c r="E169" s="3" t="n">
        <v>286</v>
      </c>
      <c r="F169" s="3" t="n">
        <v>-10.32</v>
      </c>
    </row>
    <row r="170">
      <c r="A170" s="3" t="inlineStr">
        <is>
          <t>Welspun Enterprises ..</t>
        </is>
      </c>
      <c r="B170" s="3" t="inlineStr">
        <is>
          <t>2017-06-30</t>
        </is>
      </c>
      <c r="C170" s="3" t="n">
        <v>111</v>
      </c>
      <c r="D170" s="3" t="inlineStr">
        <is>
          <t>2017-09-29</t>
        </is>
      </c>
      <c r="E170" s="3" t="n">
        <v>143.5</v>
      </c>
      <c r="F170" s="3" t="n">
        <v>29.28</v>
      </c>
    </row>
    <row r="171">
      <c r="A171" s="3" t="inlineStr">
        <is>
          <t>Alankit Ltd.</t>
        </is>
      </c>
      <c r="B171" s="3" t="inlineStr">
        <is>
          <t>2017-06-30</t>
        </is>
      </c>
      <c r="C171" s="3" t="n">
        <v>33.8</v>
      </c>
      <c r="D171" s="3" t="inlineStr">
        <is>
          <t>2017-09-29</t>
        </is>
      </c>
      <c r="E171" s="3" t="n">
        <v>32.3</v>
      </c>
      <c r="F171" s="3" t="n">
        <v>-4.44</v>
      </c>
    </row>
    <row r="172">
      <c r="A172" s="3" t="inlineStr">
        <is>
          <t>AK Capital Services ..</t>
        </is>
      </c>
      <c r="B172" s="3" t="inlineStr">
        <is>
          <t>2017-06-30</t>
        </is>
      </c>
      <c r="C172" s="3" t="n">
        <v>524</v>
      </c>
      <c r="D172" s="3" t="inlineStr">
        <is>
          <t>2017-09-29</t>
        </is>
      </c>
      <c r="E172" s="3" t="n">
        <v>559.8</v>
      </c>
      <c r="F172" s="3" t="n">
        <v>6.83</v>
      </c>
    </row>
    <row r="173">
      <c r="A173" s="3" t="inlineStr">
        <is>
          <t>Meghmani Organics Lt..</t>
        </is>
      </c>
      <c r="B173" s="3" t="inlineStr">
        <is>
          <t>2017-06-30</t>
        </is>
      </c>
      <c r="C173" s="3" t="n">
        <v>50.1</v>
      </c>
      <c r="D173" s="3" t="inlineStr">
        <is>
          <t>2017-12-29</t>
        </is>
      </c>
      <c r="E173" s="3" t="n">
        <v>106.1</v>
      </c>
      <c r="F173" s="3" t="n">
        <v>111.78</v>
      </c>
    </row>
    <row r="174">
      <c r="A174" s="3" t="inlineStr">
        <is>
          <t>Gujarat Alkalies &amp; C..</t>
        </is>
      </c>
      <c r="B174" s="3" t="inlineStr">
        <is>
          <t>2017-09-29</t>
        </is>
      </c>
      <c r="C174" s="3" t="n">
        <v>561</v>
      </c>
      <c r="D174" s="3" t="inlineStr">
        <is>
          <t>2017-12-29</t>
        </is>
      </c>
      <c r="E174" s="3" t="n">
        <v>765</v>
      </c>
      <c r="F174" s="3" t="n">
        <v>36.36</v>
      </c>
    </row>
    <row r="175">
      <c r="A175" s="3" t="inlineStr">
        <is>
          <t>Om Infra Ltd.</t>
        </is>
      </c>
      <c r="B175" s="3" t="inlineStr">
        <is>
          <t>2017-09-29</t>
        </is>
      </c>
      <c r="C175" s="3" t="n">
        <v>74.45</v>
      </c>
      <c r="D175" s="3" t="inlineStr">
        <is>
          <t>2017-12-29</t>
        </is>
      </c>
      <c r="E175" s="3" t="n">
        <v>65.7</v>
      </c>
      <c r="F175" s="3" t="n">
        <v>-11.75</v>
      </c>
    </row>
    <row r="176">
      <c r="A176" s="3" t="inlineStr">
        <is>
          <t>Oil India Ltd.</t>
        </is>
      </c>
      <c r="B176" s="3" t="inlineStr">
        <is>
          <t>2017-09-29</t>
        </is>
      </c>
      <c r="C176" s="3" t="n">
        <v>157.18</v>
      </c>
      <c r="D176" s="3" t="inlineStr">
        <is>
          <t>2017-12-29</t>
        </is>
      </c>
      <c r="E176" s="3" t="n">
        <v>165.11</v>
      </c>
      <c r="F176" s="3" t="n">
        <v>5.05</v>
      </c>
    </row>
    <row r="177">
      <c r="A177" s="3" t="inlineStr">
        <is>
          <t>TV Today Network Ltd.</t>
        </is>
      </c>
      <c r="B177" s="3" t="inlineStr">
        <is>
          <t>2017-09-29</t>
        </is>
      </c>
      <c r="C177" s="3" t="n">
        <v>351</v>
      </c>
      <c r="D177" s="3" t="inlineStr">
        <is>
          <t>2017-12-29</t>
        </is>
      </c>
      <c r="E177" s="3" t="n">
        <v>430</v>
      </c>
      <c r="F177" s="3" t="n">
        <v>22.51</v>
      </c>
    </row>
    <row r="178">
      <c r="A178" s="3" t="inlineStr">
        <is>
          <t>VIP Industries Ltd.</t>
        </is>
      </c>
      <c r="B178" s="3" t="inlineStr">
        <is>
          <t>2017-09-29</t>
        </is>
      </c>
      <c r="C178" s="3" t="n">
        <v>249.95</v>
      </c>
      <c r="D178" s="3" t="inlineStr">
        <is>
          <t>2017-12-29</t>
        </is>
      </c>
      <c r="E178" s="3" t="n">
        <v>351.35</v>
      </c>
      <c r="F178" s="3" t="n">
        <v>40.57</v>
      </c>
    </row>
    <row r="179">
      <c r="A179" s="3" t="inlineStr">
        <is>
          <t>India Nippon Electri..</t>
        </is>
      </c>
      <c r="B179" s="3" t="inlineStr">
        <is>
          <t>2017-09-29</t>
        </is>
      </c>
      <c r="C179" s="3" t="n">
        <v>521.52</v>
      </c>
      <c r="D179" s="3" t="inlineStr">
        <is>
          <t>2017-12-29</t>
        </is>
      </c>
      <c r="E179" s="3" t="n">
        <v>577.78</v>
      </c>
      <c r="F179" s="3" t="n">
        <v>10.79</v>
      </c>
    </row>
    <row r="180">
      <c r="A180" s="3" t="inlineStr">
        <is>
          <t>Sunflag Iron &amp; Steel..</t>
        </is>
      </c>
      <c r="B180" s="3" t="inlineStr">
        <is>
          <t>2017-09-29</t>
        </is>
      </c>
      <c r="C180" s="3" t="n">
        <v>72.8</v>
      </c>
      <c r="D180" s="3" t="inlineStr">
        <is>
          <t>2017-12-29</t>
        </is>
      </c>
      <c r="E180" s="3" t="n">
        <v>79</v>
      </c>
      <c r="F180" s="3" t="n">
        <v>8.52</v>
      </c>
    </row>
    <row r="181">
      <c r="A181" s="3" t="inlineStr">
        <is>
          <t>Amrit Corp. Ltd.</t>
        </is>
      </c>
      <c r="B181" s="3" t="inlineStr">
        <is>
          <t>2017-09-29</t>
        </is>
      </c>
      <c r="C181" s="3" t="n">
        <v>860</v>
      </c>
      <c r="D181" s="3" t="inlineStr">
        <is>
          <t>2017-12-29</t>
        </is>
      </c>
      <c r="E181" s="3" t="n">
        <v>1221</v>
      </c>
      <c r="F181" s="3" t="n">
        <v>41.98</v>
      </c>
    </row>
    <row r="182">
      <c r="A182" s="3" t="inlineStr">
        <is>
          <t>Kriti Nutrients Ltd.</t>
        </is>
      </c>
      <c r="B182" s="3" t="inlineStr">
        <is>
          <t>2017-09-29</t>
        </is>
      </c>
      <c r="C182" s="3" t="n">
        <v>22.15</v>
      </c>
      <c r="D182" s="3" t="inlineStr">
        <is>
          <t>2017-12-29</t>
        </is>
      </c>
      <c r="E182" s="3" t="n">
        <v>41.5</v>
      </c>
      <c r="F182" s="3" t="n">
        <v>87.36</v>
      </c>
    </row>
    <row r="183">
      <c r="A183" s="3" t="inlineStr">
        <is>
          <t>Alembic Ltd.</t>
        </is>
      </c>
      <c r="B183" s="3" t="inlineStr">
        <is>
          <t>2017-12-29</t>
        </is>
      </c>
      <c r="C183" s="3" t="n">
        <v>57.75</v>
      </c>
      <c r="D183" s="3" t="inlineStr">
        <is>
          <t>2018-03-28</t>
        </is>
      </c>
      <c r="E183" s="3" t="n">
        <v>53.35</v>
      </c>
      <c r="F183" s="3" t="n">
        <v>-7.62</v>
      </c>
    </row>
    <row r="184">
      <c r="A184" s="3" t="inlineStr">
        <is>
          <t>Nucleus Software Exp..</t>
        </is>
      </c>
      <c r="B184" s="3" t="inlineStr">
        <is>
          <t>2017-12-29</t>
        </is>
      </c>
      <c r="C184" s="3" t="n">
        <v>520.6</v>
      </c>
      <c r="D184" s="3" t="inlineStr">
        <is>
          <t>2018-03-28</t>
        </is>
      </c>
      <c r="E184" s="3" t="n">
        <v>402</v>
      </c>
      <c r="F184" s="3" t="n">
        <v>-22.78</v>
      </c>
    </row>
    <row r="185">
      <c r="A185" s="3" t="inlineStr">
        <is>
          <t>NHPC Ltd.</t>
        </is>
      </c>
      <c r="B185" s="3" t="inlineStr">
        <is>
          <t>2017-12-29</t>
        </is>
      </c>
      <c r="C185" s="3" t="n">
        <v>32.75</v>
      </c>
      <c r="D185" s="3" t="inlineStr">
        <is>
          <t>2018-03-28</t>
        </is>
      </c>
      <c r="E185" s="3" t="n">
        <v>27.6</v>
      </c>
      <c r="F185" s="3" t="n">
        <v>-15.73</v>
      </c>
    </row>
    <row r="186">
      <c r="A186" s="3" t="inlineStr">
        <is>
          <t>DLF Ltd.</t>
        </is>
      </c>
      <c r="B186" s="3" t="inlineStr">
        <is>
          <t>2017-12-29</t>
        </is>
      </c>
      <c r="C186" s="3" t="n">
        <v>260</v>
      </c>
      <c r="D186" s="3" t="inlineStr">
        <is>
          <t>2018-03-28</t>
        </is>
      </c>
      <c r="E186" s="3" t="n">
        <v>201.15</v>
      </c>
      <c r="F186" s="3" t="n">
        <v>-22.63</v>
      </c>
    </row>
    <row r="187">
      <c r="A187" s="3" t="inlineStr">
        <is>
          <t>Aarti Drugs Ltd.</t>
        </is>
      </c>
      <c r="B187" s="3" t="inlineStr">
        <is>
          <t>2017-12-29</t>
        </is>
      </c>
      <c r="C187" s="3" t="n">
        <v>160.32</v>
      </c>
      <c r="D187" s="3" t="inlineStr">
        <is>
          <t>2018-03-28</t>
        </is>
      </c>
      <c r="E187" s="3" t="n">
        <v>127.2</v>
      </c>
      <c r="F187" s="3" t="n">
        <v>-20.66</v>
      </c>
    </row>
    <row r="188">
      <c r="A188" s="3" t="inlineStr">
        <is>
          <t>Murudeshwar Ceramics..</t>
        </is>
      </c>
      <c r="B188" s="3" t="inlineStr">
        <is>
          <t>2017-12-29</t>
        </is>
      </c>
      <c r="C188" s="3" t="n">
        <v>53.7</v>
      </c>
      <c r="D188" s="3" t="inlineStr">
        <is>
          <t>2018-03-28</t>
        </is>
      </c>
      <c r="E188" s="3" t="n">
        <v>31.6</v>
      </c>
      <c r="F188" s="3" t="n">
        <v>-41.15</v>
      </c>
    </row>
    <row r="189">
      <c r="A189" s="3" t="inlineStr">
        <is>
          <t>Pix Transmissions Ltd.</t>
        </is>
      </c>
      <c r="B189" s="3" t="inlineStr">
        <is>
          <t>2017-12-29</t>
        </is>
      </c>
      <c r="C189" s="3" t="n">
        <v>180.5</v>
      </c>
      <c r="D189" s="3" t="inlineStr">
        <is>
          <t>2018-03-28</t>
        </is>
      </c>
      <c r="E189" s="3" t="n">
        <v>121.65</v>
      </c>
      <c r="F189" s="3" t="n">
        <v>-32.6</v>
      </c>
    </row>
    <row r="190">
      <c r="A190" s="3" t="inlineStr">
        <is>
          <t>BirlaNu Ltd.</t>
        </is>
      </c>
      <c r="B190" s="3" t="inlineStr">
        <is>
          <t>2017-12-29</t>
        </is>
      </c>
      <c r="C190" s="3" t="n">
        <v>1498.6</v>
      </c>
      <c r="D190" s="3" t="inlineStr">
        <is>
          <t>2018-03-28</t>
        </is>
      </c>
      <c r="E190" s="3" t="n">
        <v>1625</v>
      </c>
      <c r="F190" s="3" t="n">
        <v>8.43</v>
      </c>
    </row>
    <row r="191">
      <c r="A191" s="3" t="inlineStr">
        <is>
          <t>3M India Ltd.</t>
        </is>
      </c>
      <c r="B191" s="3" t="inlineStr">
        <is>
          <t>2017-12-29</t>
        </is>
      </c>
      <c r="C191" s="3" t="n">
        <v>19000</v>
      </c>
      <c r="D191" s="3" t="inlineStr">
        <is>
          <t>2018-03-28</t>
        </is>
      </c>
      <c r="E191" s="3" t="n">
        <v>19298</v>
      </c>
      <c r="F191" s="3" t="n">
        <v>1.57</v>
      </c>
    </row>
    <row r="192">
      <c r="A192" s="3" t="inlineStr">
        <is>
          <t>Sundrop Brands Ltd.</t>
        </is>
      </c>
      <c r="B192" s="3" t="inlineStr">
        <is>
          <t>2017-12-29</t>
        </is>
      </c>
      <c r="C192" s="3" t="n">
        <v>718.5</v>
      </c>
      <c r="D192" s="3" t="inlineStr">
        <is>
          <t>2018-03-28</t>
        </is>
      </c>
      <c r="E192" s="3" t="n">
        <v>635</v>
      </c>
      <c r="F192" s="3" t="n">
        <v>-11.62</v>
      </c>
    </row>
    <row r="193">
      <c r="A193" s="3" t="inlineStr">
        <is>
          <t>FDC Ltd.</t>
        </is>
      </c>
      <c r="B193" s="3" t="inlineStr">
        <is>
          <t>2017-12-29</t>
        </is>
      </c>
      <c r="C193" s="3" t="n">
        <v>252.5</v>
      </c>
      <c r="D193" s="3" t="inlineStr">
        <is>
          <t>2018-03-28</t>
        </is>
      </c>
      <c r="E193" s="3" t="n">
        <v>246.1</v>
      </c>
      <c r="F193" s="3" t="n">
        <v>-2.53</v>
      </c>
    </row>
    <row r="194">
      <c r="A194" s="3" t="inlineStr">
        <is>
          <t>Oswal Green Tech Ltd.</t>
        </is>
      </c>
      <c r="B194" s="3" t="inlineStr">
        <is>
          <t>2017-12-29</t>
        </is>
      </c>
      <c r="C194" s="3" t="n">
        <v>39.85</v>
      </c>
      <c r="D194" s="3" t="inlineStr">
        <is>
          <t>2018-03-28</t>
        </is>
      </c>
      <c r="E194" s="3" t="n">
        <v>25.9</v>
      </c>
      <c r="F194" s="3" t="n">
        <v>-35.01</v>
      </c>
    </row>
    <row r="195">
      <c r="A195" s="3" t="inlineStr">
        <is>
          <t>KNR Constructions Ltd.</t>
        </is>
      </c>
      <c r="B195" s="3" t="inlineStr">
        <is>
          <t>2017-12-29</t>
        </is>
      </c>
      <c r="C195" s="3" t="n">
        <v>162.18</v>
      </c>
      <c r="D195" s="3" t="inlineStr">
        <is>
          <t>2018-03-28</t>
        </is>
      </c>
      <c r="E195" s="3" t="n">
        <v>141.88</v>
      </c>
      <c r="F195" s="3" t="n">
        <v>-12.52</v>
      </c>
    </row>
    <row r="196">
      <c r="A196" s="3" t="inlineStr">
        <is>
          <t>Phoenix Mills Ltd.</t>
        </is>
      </c>
      <c r="B196" s="3" t="inlineStr">
        <is>
          <t>2017-12-29</t>
        </is>
      </c>
      <c r="C196" s="3" t="n">
        <v>313.48</v>
      </c>
      <c r="D196" s="3" t="inlineStr">
        <is>
          <t>2018-03-28</t>
        </is>
      </c>
      <c r="E196" s="3" t="n">
        <v>303</v>
      </c>
      <c r="F196" s="3" t="n">
        <v>-3.34</v>
      </c>
    </row>
    <row r="197">
      <c r="A197" s="3" t="inlineStr">
        <is>
          <t>Cineline India Ltd.</t>
        </is>
      </c>
      <c r="B197" s="3" t="inlineStr">
        <is>
          <t>2017-12-29</t>
        </is>
      </c>
      <c r="C197" s="3" t="n">
        <v>114.4</v>
      </c>
      <c r="D197" s="3" t="inlineStr">
        <is>
          <t>2018-03-28</t>
        </is>
      </c>
      <c r="E197" s="3" t="n">
        <v>69.90000000000001</v>
      </c>
      <c r="F197" s="3" t="n">
        <v>-38.9</v>
      </c>
    </row>
    <row r="198">
      <c r="A198" s="3" t="inlineStr">
        <is>
          <t>Dhunseri Ventures Ltd.</t>
        </is>
      </c>
      <c r="B198" s="3" t="inlineStr">
        <is>
          <t>2017-12-29</t>
        </is>
      </c>
      <c r="C198" s="3" t="n">
        <v>161.6</v>
      </c>
      <c r="D198" s="3" t="inlineStr">
        <is>
          <t>2018-03-28</t>
        </is>
      </c>
      <c r="E198" s="3" t="n">
        <v>129.5</v>
      </c>
      <c r="F198" s="3" t="n">
        <v>-19.86</v>
      </c>
    </row>
    <row r="199">
      <c r="A199" s="3" t="inlineStr">
        <is>
          <t>Nahar Capital &amp; Fina..</t>
        </is>
      </c>
      <c r="B199" s="3" t="inlineStr">
        <is>
          <t>2017-12-29</t>
        </is>
      </c>
      <c r="C199" s="3" t="n">
        <v>193</v>
      </c>
      <c r="D199" s="3" t="inlineStr">
        <is>
          <t>2018-03-28</t>
        </is>
      </c>
      <c r="E199" s="3" t="n">
        <v>122.5</v>
      </c>
      <c r="F199" s="3" t="n">
        <v>-36.53</v>
      </c>
    </row>
    <row r="200">
      <c r="A200" s="3" t="inlineStr">
        <is>
          <t>NRB Bearings Ltd.</t>
        </is>
      </c>
      <c r="B200" s="3" t="inlineStr">
        <is>
          <t>2017-12-29</t>
        </is>
      </c>
      <c r="C200" s="3" t="n">
        <v>172.7</v>
      </c>
      <c r="D200" s="3" t="inlineStr">
        <is>
          <t>2018-03-28</t>
        </is>
      </c>
      <c r="E200" s="3" t="n">
        <v>154</v>
      </c>
      <c r="F200" s="3" t="n">
        <v>-10.83</v>
      </c>
    </row>
    <row r="201">
      <c r="A201" s="3" t="inlineStr">
        <is>
          <t>AMJ Land Holdings Ltd.</t>
        </is>
      </c>
      <c r="B201" s="3" t="inlineStr">
        <is>
          <t>2017-12-29</t>
        </is>
      </c>
      <c r="C201" s="3" t="n">
        <v>30.1</v>
      </c>
      <c r="D201" s="3" t="inlineStr">
        <is>
          <t>2018-03-28</t>
        </is>
      </c>
      <c r="E201" s="3" t="n">
        <v>22.75</v>
      </c>
      <c r="F201" s="3" t="n">
        <v>-24.42</v>
      </c>
    </row>
    <row r="202">
      <c r="A202" s="3" t="inlineStr">
        <is>
          <t>Sandesh Ltd.</t>
        </is>
      </c>
      <c r="B202" s="3" t="inlineStr">
        <is>
          <t>2017-12-29</t>
        </is>
      </c>
      <c r="C202" s="3" t="n">
        <v>1469.95</v>
      </c>
      <c r="D202" s="3" t="inlineStr">
        <is>
          <t>2018-03-28</t>
        </is>
      </c>
      <c r="E202" s="3" t="n">
        <v>990</v>
      </c>
      <c r="F202" s="3" t="n">
        <v>-32.65</v>
      </c>
    </row>
    <row r="203">
      <c r="A203" s="3" t="inlineStr">
        <is>
          <t>Sarla Performance Fi..</t>
        </is>
      </c>
      <c r="B203" s="3" t="inlineStr">
        <is>
          <t>2017-12-29</t>
        </is>
      </c>
      <c r="C203" s="3" t="n">
        <v>70.65000000000001</v>
      </c>
      <c r="D203" s="3" t="inlineStr">
        <is>
          <t>2018-03-28</t>
        </is>
      </c>
      <c r="E203" s="3" t="n">
        <v>51.85</v>
      </c>
      <c r="F203" s="3" t="n">
        <v>-26.61</v>
      </c>
    </row>
    <row r="204">
      <c r="A204" s="3" t="inlineStr">
        <is>
          <t>Vardhman Acrylics Ltd.</t>
        </is>
      </c>
      <c r="B204" s="3" t="inlineStr">
        <is>
          <t>2017-12-29</t>
        </is>
      </c>
      <c r="C204" s="3" t="n">
        <v>56</v>
      </c>
      <c r="D204" s="3" t="inlineStr">
        <is>
          <t>2018-03-28</t>
        </is>
      </c>
      <c r="E204" s="3" t="n">
        <v>47.85</v>
      </c>
      <c r="F204" s="3" t="n">
        <v>-14.55</v>
      </c>
    </row>
    <row r="205">
      <c r="A205" s="3" t="inlineStr">
        <is>
          <t>Vimta Labs Ltd.</t>
        </is>
      </c>
      <c r="B205" s="3" t="inlineStr">
        <is>
          <t>2017-12-29</t>
        </is>
      </c>
      <c r="C205" s="3" t="n">
        <v>84</v>
      </c>
      <c r="D205" s="3" t="inlineStr">
        <is>
          <t>2018-03-28</t>
        </is>
      </c>
      <c r="E205" s="3" t="n">
        <v>89.5</v>
      </c>
      <c r="F205" s="3" t="n">
        <v>6.55</v>
      </c>
    </row>
    <row r="206">
      <c r="A206" s="3" t="inlineStr">
        <is>
          <t>Vinyl Chemicals (I) ..</t>
        </is>
      </c>
      <c r="B206" s="3" t="inlineStr">
        <is>
          <t>2017-12-29</t>
        </is>
      </c>
      <c r="C206" s="3" t="n">
        <v>110.9</v>
      </c>
      <c r="D206" s="3" t="inlineStr">
        <is>
          <t>2018-03-28</t>
        </is>
      </c>
      <c r="E206" s="3" t="n">
        <v>99.8</v>
      </c>
      <c r="F206" s="3" t="n">
        <v>-10.01</v>
      </c>
    </row>
    <row r="207">
      <c r="A207" s="3" t="inlineStr">
        <is>
          <t>West Coast Paper Mil..</t>
        </is>
      </c>
      <c r="B207" s="3" t="inlineStr">
        <is>
          <t>2017-12-29</t>
        </is>
      </c>
      <c r="C207" s="3" t="n">
        <v>318.35</v>
      </c>
      <c r="D207" s="3" t="inlineStr">
        <is>
          <t>2018-03-28</t>
        </is>
      </c>
      <c r="E207" s="3" t="n">
        <v>240</v>
      </c>
      <c r="F207" s="3" t="n">
        <v>-24.61</v>
      </c>
    </row>
    <row r="208">
      <c r="A208" s="3" t="inlineStr">
        <is>
          <t>Monte Carlo Fashions..</t>
        </is>
      </c>
      <c r="B208" s="3" t="inlineStr">
        <is>
          <t>2017-12-29</t>
        </is>
      </c>
      <c r="C208" s="3" t="n">
        <v>614.05</v>
      </c>
      <c r="D208" s="3" t="inlineStr">
        <is>
          <t>2018-03-28</t>
        </is>
      </c>
      <c r="E208" s="3" t="n">
        <v>470</v>
      </c>
      <c r="F208" s="3" t="n">
        <v>-23.46</v>
      </c>
    </row>
    <row r="209">
      <c r="A209" s="3" t="inlineStr">
        <is>
          <t>Greenlam Industries ..</t>
        </is>
      </c>
      <c r="B209" s="3" t="inlineStr">
        <is>
          <t>2017-12-29</t>
        </is>
      </c>
      <c r="C209" s="3" t="n">
        <v>131.45</v>
      </c>
      <c r="D209" s="3" t="inlineStr">
        <is>
          <t>2018-03-28</t>
        </is>
      </c>
      <c r="E209" s="3" t="n">
        <v>122</v>
      </c>
      <c r="F209" s="3" t="n">
        <v>-7.19</v>
      </c>
    </row>
    <row r="210">
      <c r="A210" s="3" t="inlineStr">
        <is>
          <t>Nila Infrastructures..</t>
        </is>
      </c>
      <c r="B210" s="3" t="inlineStr">
        <is>
          <t>2017-12-29</t>
        </is>
      </c>
      <c r="C210" s="3" t="n">
        <v>26.85</v>
      </c>
      <c r="D210" s="3" t="inlineStr">
        <is>
          <t>2018-03-28</t>
        </is>
      </c>
      <c r="E210" s="3" t="n">
        <v>19.55</v>
      </c>
      <c r="F210" s="3" t="n">
        <v>-27.19</v>
      </c>
    </row>
    <row r="211">
      <c r="A211" s="3" t="inlineStr">
        <is>
          <t>Goodyear India Ltd.</t>
        </is>
      </c>
      <c r="B211" s="3" t="inlineStr">
        <is>
          <t>2017-12-29</t>
        </is>
      </c>
      <c r="C211" s="3" t="n">
        <v>1046.75</v>
      </c>
      <c r="D211" s="3" t="inlineStr">
        <is>
          <t>2018-03-28</t>
        </is>
      </c>
      <c r="E211" s="3" t="n">
        <v>1111.85</v>
      </c>
      <c r="F211" s="3" t="n">
        <v>6.22</v>
      </c>
    </row>
    <row r="212">
      <c r="A212" s="3" t="inlineStr">
        <is>
          <t>Shri Dinesh Mills Ltd.</t>
        </is>
      </c>
      <c r="B212" s="3" t="inlineStr">
        <is>
          <t>2017-12-29</t>
        </is>
      </c>
      <c r="C212" s="3" t="n">
        <v>220.9</v>
      </c>
      <c r="D212" s="3" t="inlineStr">
        <is>
          <t>2018-03-28</t>
        </is>
      </c>
      <c r="E212" s="3" t="n">
        <v>166.85</v>
      </c>
      <c r="F212" s="3" t="n">
        <v>-24.47</v>
      </c>
    </row>
    <row r="213">
      <c r="A213" s="3" t="inlineStr">
        <is>
          <t>GMM Pfaudler Ltd.</t>
        </is>
      </c>
      <c r="B213" s="3" t="inlineStr">
        <is>
          <t>2017-12-29</t>
        </is>
      </c>
      <c r="C213" s="3" t="n">
        <v>275.95</v>
      </c>
      <c r="D213" s="3" t="inlineStr">
        <is>
          <t>2018-03-28</t>
        </is>
      </c>
      <c r="E213" s="3" t="n">
        <v>228.33</v>
      </c>
      <c r="F213" s="3" t="n">
        <v>-17.26</v>
      </c>
    </row>
    <row r="214">
      <c r="A214" s="3" t="inlineStr">
        <is>
          <t>Indo Borax &amp; Chemica..</t>
        </is>
      </c>
      <c r="B214" s="3" t="inlineStr">
        <is>
          <t>2017-12-29</t>
        </is>
      </c>
      <c r="C214" s="3" t="n">
        <v>47.5</v>
      </c>
      <c r="D214" s="3" t="inlineStr">
        <is>
          <t>2018-03-28</t>
        </is>
      </c>
      <c r="E214" s="3" t="n">
        <v>51.94</v>
      </c>
      <c r="F214" s="3" t="n">
        <v>9.35</v>
      </c>
    </row>
    <row r="215">
      <c r="A215" s="3" t="inlineStr">
        <is>
          <t>Tamboli Industries L..</t>
        </is>
      </c>
      <c r="B215" s="3" t="inlineStr">
        <is>
          <t>2017-12-29</t>
        </is>
      </c>
      <c r="C215" s="3" t="n">
        <v>109</v>
      </c>
      <c r="D215" s="3" t="inlineStr">
        <is>
          <t>2018-03-28</t>
        </is>
      </c>
      <c r="E215" s="3" t="n">
        <v>89.05</v>
      </c>
      <c r="F215" s="3" t="n">
        <v>-18.3</v>
      </c>
    </row>
    <row r="216">
      <c r="A216" s="3" t="inlineStr">
        <is>
          <t>RDB Rasayans Ltd.</t>
        </is>
      </c>
      <c r="B216" s="3" t="inlineStr">
        <is>
          <t>2017-12-29</t>
        </is>
      </c>
      <c r="C216" s="3" t="n">
        <v>70.90000000000001</v>
      </c>
      <c r="D216" s="3" t="inlineStr">
        <is>
          <t>2018-03-28</t>
        </is>
      </c>
      <c r="E216" s="3" t="n">
        <v>69.3</v>
      </c>
      <c r="F216" s="3" t="n">
        <v>-2.26</v>
      </c>
    </row>
    <row r="217">
      <c r="A217" s="3" t="inlineStr">
        <is>
          <t>Kiran Vyapar Ltd.</t>
        </is>
      </c>
      <c r="B217" s="3" t="inlineStr">
        <is>
          <t>2017-12-29</t>
        </is>
      </c>
      <c r="C217" s="3" t="n">
        <v>201.25</v>
      </c>
      <c r="D217" s="3" t="inlineStr">
        <is>
          <t>2018-03-28</t>
        </is>
      </c>
      <c r="E217" s="3" t="n">
        <v>140.05</v>
      </c>
      <c r="F217" s="3" t="n">
        <v>-30.41</v>
      </c>
    </row>
    <row r="218">
      <c r="A218" s="3" t="inlineStr">
        <is>
          <t>J L Morison (India) ..</t>
        </is>
      </c>
      <c r="B218" s="3" t="inlineStr">
        <is>
          <t>2018-09-28</t>
        </is>
      </c>
      <c r="C218" s="3" t="n">
        <v>2050.95</v>
      </c>
      <c r="D218" s="3" t="inlineStr">
        <is>
          <t>2018-12-31</t>
        </is>
      </c>
      <c r="E218" s="3" t="n">
        <v>1535</v>
      </c>
      <c r="F218" s="3" t="n">
        <v>-25.16</v>
      </c>
    </row>
    <row r="219">
      <c r="A219" s="3" t="inlineStr">
        <is>
          <t>DCM Shriram Ltd.</t>
        </is>
      </c>
      <c r="B219" s="3" t="inlineStr">
        <is>
          <t>2018-09-28</t>
        </is>
      </c>
      <c r="C219" s="3" t="n">
        <v>439</v>
      </c>
      <c r="D219" s="3" t="inlineStr">
        <is>
          <t>2018-12-31</t>
        </is>
      </c>
      <c r="E219" s="3" t="n">
        <v>337.1</v>
      </c>
      <c r="F219" s="3" t="n">
        <v>-23.21</v>
      </c>
    </row>
    <row r="220">
      <c r="A220" s="3" t="inlineStr">
        <is>
          <t>Vimta Labs Ltd.</t>
        </is>
      </c>
      <c r="B220" s="3" t="inlineStr">
        <is>
          <t>2018-12-31</t>
        </is>
      </c>
      <c r="C220" s="3" t="n">
        <v>157.5</v>
      </c>
      <c r="D220" s="3" t="inlineStr">
        <is>
          <t>2019-03-29</t>
        </is>
      </c>
      <c r="E220" s="3" t="n">
        <v>98.83</v>
      </c>
      <c r="F220" s="3" t="n">
        <v>-37.25</v>
      </c>
    </row>
    <row r="221">
      <c r="A221" s="3" t="inlineStr">
        <is>
          <t>Axtel Industries Ltd.</t>
        </is>
      </c>
      <c r="B221" s="3" t="inlineStr">
        <is>
          <t>2018-12-31</t>
        </is>
      </c>
      <c r="C221" s="3" t="n">
        <v>109.9</v>
      </c>
      <c r="D221" s="3" t="inlineStr">
        <is>
          <t>2019-03-29</t>
        </is>
      </c>
      <c r="E221" s="3" t="n">
        <v>126.75</v>
      </c>
      <c r="F221" s="3" t="n">
        <v>15.33</v>
      </c>
    </row>
    <row r="222">
      <c r="A222" s="3" t="inlineStr">
        <is>
          <t>Arnold Holdings Ltd.</t>
        </is>
      </c>
      <c r="B222" s="3" t="inlineStr">
        <is>
          <t>2018-12-31</t>
        </is>
      </c>
      <c r="C222" s="3" t="n">
        <v>62</v>
      </c>
      <c r="D222" s="3" t="inlineStr">
        <is>
          <t>2019-03-29</t>
        </is>
      </c>
      <c r="E222" s="3" t="n">
        <v>42</v>
      </c>
      <c r="F222" s="3" t="n">
        <v>-32.26</v>
      </c>
    </row>
    <row r="223">
      <c r="A223" s="3" t="inlineStr">
        <is>
          <t>Mazda Ltd.</t>
        </is>
      </c>
      <c r="B223" s="3" t="inlineStr">
        <is>
          <t>2019-03-29</t>
        </is>
      </c>
      <c r="C223" s="3" t="n">
        <v>87</v>
      </c>
      <c r="D223" s="3" t="inlineStr">
        <is>
          <t>2019-06-28</t>
        </is>
      </c>
      <c r="E223" s="3" t="n">
        <v>79.43000000000001</v>
      </c>
      <c r="F223" s="3" t="n">
        <v>-8.699999999999999</v>
      </c>
    </row>
    <row r="224">
      <c r="A224" s="3" t="inlineStr">
        <is>
          <t>Privi Speciality Che..</t>
        </is>
      </c>
      <c r="B224" s="3" t="inlineStr">
        <is>
          <t>2019-03-29</t>
        </is>
      </c>
      <c r="C224" s="3" t="n">
        <v>456.1</v>
      </c>
      <c r="D224" s="3" t="inlineStr">
        <is>
          <t>2019-06-28</t>
        </is>
      </c>
      <c r="E224" s="3" t="n">
        <v>521.85</v>
      </c>
      <c r="F224" s="3" t="n">
        <v>14.42</v>
      </c>
    </row>
    <row r="225">
      <c r="A225" s="3" t="inlineStr">
        <is>
          <t>Bodal Chemicals Ltd.</t>
        </is>
      </c>
      <c r="B225" s="3" t="inlineStr">
        <is>
          <t>2019-03-29</t>
        </is>
      </c>
      <c r="C225" s="3" t="n">
        <v>126.5</v>
      </c>
      <c r="D225" s="3" t="inlineStr">
        <is>
          <t>2019-06-28</t>
        </is>
      </c>
      <c r="E225" s="3" t="n">
        <v>99.59999999999999</v>
      </c>
      <c r="F225" s="3" t="n">
        <v>-21.26</v>
      </c>
    </row>
    <row r="226">
      <c r="A226" s="3" t="inlineStr">
        <is>
          <t>Godfrey Phillips Ind..</t>
        </is>
      </c>
      <c r="B226" s="3" t="inlineStr">
        <is>
          <t>2019-03-29</t>
        </is>
      </c>
      <c r="C226" s="3" t="n">
        <v>389.33</v>
      </c>
      <c r="D226" s="3" t="inlineStr">
        <is>
          <t>2019-06-28</t>
        </is>
      </c>
      <c r="E226" s="3" t="n">
        <v>276.05</v>
      </c>
      <c r="F226" s="3" t="n">
        <v>-29.1</v>
      </c>
    </row>
    <row r="227">
      <c r="A227" s="3" t="inlineStr">
        <is>
          <t>Ipca Laboratories Ltd.</t>
        </is>
      </c>
      <c r="B227" s="3" t="inlineStr">
        <is>
          <t>2019-03-29</t>
        </is>
      </c>
      <c r="C227" s="3" t="n">
        <v>489</v>
      </c>
      <c r="D227" s="3" t="inlineStr">
        <is>
          <t>2019-06-28</t>
        </is>
      </c>
      <c r="E227" s="3" t="n">
        <v>461</v>
      </c>
      <c r="F227" s="3" t="n">
        <v>-5.73</v>
      </c>
    </row>
    <row r="228">
      <c r="A228" s="3" t="inlineStr">
        <is>
          <t>SML Mahindra Ltd.</t>
        </is>
      </c>
      <c r="B228" s="3" t="inlineStr">
        <is>
          <t>2019-03-29</t>
        </is>
      </c>
      <c r="C228" s="3" t="n">
        <v>844</v>
      </c>
      <c r="D228" s="3" t="inlineStr">
        <is>
          <t>2019-06-28</t>
        </is>
      </c>
      <c r="E228" s="3" t="n">
        <v>746.45</v>
      </c>
      <c r="F228" s="3" t="n">
        <v>-11.56</v>
      </c>
    </row>
    <row r="229">
      <c r="A229" s="3" t="inlineStr">
        <is>
          <t>Sunteck Realty Ltd.</t>
        </is>
      </c>
      <c r="B229" s="3" t="inlineStr">
        <is>
          <t>2019-03-29</t>
        </is>
      </c>
      <c r="C229" s="3" t="n">
        <v>459</v>
      </c>
      <c r="D229" s="3" t="inlineStr">
        <is>
          <t>2019-06-28</t>
        </is>
      </c>
      <c r="E229" s="3" t="n">
        <v>435.25</v>
      </c>
      <c r="F229" s="3" t="n">
        <v>-5.17</v>
      </c>
    </row>
    <row r="230">
      <c r="A230" s="3" t="inlineStr">
        <is>
          <t>Caplin Point Laborat..</t>
        </is>
      </c>
      <c r="B230" s="3" t="inlineStr">
        <is>
          <t>2019-06-28</t>
        </is>
      </c>
      <c r="C230" s="3" t="n">
        <v>450.9</v>
      </c>
      <c r="D230" s="3" t="inlineStr">
        <is>
          <t>2019-09-30</t>
        </is>
      </c>
      <c r="E230" s="3" t="n">
        <v>424.2</v>
      </c>
      <c r="F230" s="3" t="n">
        <v>-5.92</v>
      </c>
    </row>
    <row r="231">
      <c r="A231" s="3" t="inlineStr">
        <is>
          <t>D-Link (India) Ltd.</t>
        </is>
      </c>
      <c r="B231" s="3" t="inlineStr">
        <is>
          <t>2019-06-28</t>
        </is>
      </c>
      <c r="C231" s="3" t="n">
        <v>102.3</v>
      </c>
      <c r="D231" s="3" t="inlineStr">
        <is>
          <t>2019-09-30</t>
        </is>
      </c>
      <c r="E231" s="3" t="n">
        <v>91.59999999999999</v>
      </c>
      <c r="F231" s="3" t="n">
        <v>-10.46</v>
      </c>
    </row>
    <row r="232">
      <c r="A232" s="3" t="inlineStr">
        <is>
          <t>LGB Forge Ltd.</t>
        </is>
      </c>
      <c r="B232" s="3" t="inlineStr">
        <is>
          <t>2019-06-28</t>
        </is>
      </c>
      <c r="C232" s="3" t="n">
        <v>4.4</v>
      </c>
      <c r="D232" s="3" t="inlineStr">
        <is>
          <t>2019-09-30</t>
        </is>
      </c>
      <c r="E232" s="3" t="n">
        <v>2.55</v>
      </c>
      <c r="F232" s="3" t="n">
        <v>-42.05</v>
      </c>
    </row>
    <row r="233">
      <c r="A233" s="3" t="inlineStr">
        <is>
          <t>Vaibhav Global Ltd.</t>
        </is>
      </c>
      <c r="B233" s="3" t="inlineStr">
        <is>
          <t>2019-06-28</t>
        </is>
      </c>
      <c r="C233" s="3" t="n">
        <v>169.1</v>
      </c>
      <c r="D233" s="3" t="inlineStr">
        <is>
          <t>2019-09-30</t>
        </is>
      </c>
      <c r="E233" s="3" t="n">
        <v>172</v>
      </c>
      <c r="F233" s="3" t="n">
        <v>1.71</v>
      </c>
    </row>
    <row r="234">
      <c r="A234" s="3" t="inlineStr">
        <is>
          <t>Goldiam Internationa..</t>
        </is>
      </c>
      <c r="B234" s="3" t="inlineStr">
        <is>
          <t>2019-06-28</t>
        </is>
      </c>
      <c r="C234" s="3" t="n">
        <v>18.75</v>
      </c>
      <c r="D234" s="3" t="inlineStr">
        <is>
          <t>2019-12-31</t>
        </is>
      </c>
      <c r="E234" s="3" t="n">
        <v>21.2</v>
      </c>
      <c r="F234" s="3" t="n">
        <v>13.07</v>
      </c>
    </row>
    <row r="235">
      <c r="A235" s="3" t="inlineStr">
        <is>
          <t>Bata India Ltd.</t>
        </is>
      </c>
      <c r="B235" s="3" t="inlineStr">
        <is>
          <t>2019-09-30</t>
        </is>
      </c>
      <c r="C235" s="3" t="n">
        <v>1722.2</v>
      </c>
      <c r="D235" s="3" t="inlineStr">
        <is>
          <t>2019-12-31</t>
        </is>
      </c>
      <c r="E235" s="3" t="n">
        <v>1751.55</v>
      </c>
      <c r="F235" s="3" t="n">
        <v>1.7</v>
      </c>
    </row>
    <row r="236">
      <c r="A236" s="3" t="inlineStr">
        <is>
          <t>Colgate-Palmolive (I..</t>
        </is>
      </c>
      <c r="B236" s="3" t="inlineStr">
        <is>
          <t>2019-09-30</t>
        </is>
      </c>
      <c r="C236" s="3" t="n">
        <v>1503.95</v>
      </c>
      <c r="D236" s="3" t="inlineStr">
        <is>
          <t>2019-12-31</t>
        </is>
      </c>
      <c r="E236" s="3" t="n">
        <v>1462.9</v>
      </c>
      <c r="F236" s="3" t="n">
        <v>-2.73</v>
      </c>
    </row>
    <row r="237">
      <c r="A237" s="3" t="inlineStr">
        <is>
          <t>Container Corporatio..</t>
        </is>
      </c>
      <c r="B237" s="3" t="inlineStr">
        <is>
          <t>2019-09-30</t>
        </is>
      </c>
      <c r="C237" s="3" t="n">
        <v>484</v>
      </c>
      <c r="D237" s="3" t="inlineStr">
        <is>
          <t>2019-12-31</t>
        </is>
      </c>
      <c r="E237" s="3" t="n">
        <v>458.28</v>
      </c>
      <c r="F237" s="3" t="n">
        <v>-5.31</v>
      </c>
    </row>
    <row r="238">
      <c r="A238" s="3" t="inlineStr">
        <is>
          <t>Honeywell Automation..</t>
        </is>
      </c>
      <c r="B238" s="3" t="inlineStr">
        <is>
          <t>2019-09-30</t>
        </is>
      </c>
      <c r="C238" s="3" t="n">
        <v>28677.5</v>
      </c>
      <c r="D238" s="3" t="inlineStr">
        <is>
          <t>2019-12-31</t>
        </is>
      </c>
      <c r="E238" s="3" t="n">
        <v>27315.05</v>
      </c>
      <c r="F238" s="3" t="n">
        <v>-4.75</v>
      </c>
    </row>
    <row r="239">
      <c r="A239" s="3" t="inlineStr">
        <is>
          <t>JK Paper Ltd.</t>
        </is>
      </c>
      <c r="B239" s="3" t="inlineStr">
        <is>
          <t>2019-09-30</t>
        </is>
      </c>
      <c r="C239" s="3" t="n">
        <v>150</v>
      </c>
      <c r="D239" s="3" t="inlineStr">
        <is>
          <t>2019-12-31</t>
        </is>
      </c>
      <c r="E239" s="3" t="n">
        <v>124.2</v>
      </c>
      <c r="F239" s="3" t="n">
        <v>-17.2</v>
      </c>
    </row>
    <row r="240">
      <c r="A240" s="3" t="inlineStr">
        <is>
          <t>Poly Medicure Ltd.</t>
        </is>
      </c>
      <c r="B240" s="3" t="inlineStr">
        <is>
          <t>2019-09-30</t>
        </is>
      </c>
      <c r="C240" s="3" t="n">
        <v>228.05</v>
      </c>
      <c r="D240" s="3" t="inlineStr">
        <is>
          <t>2019-12-31</t>
        </is>
      </c>
      <c r="E240" s="3" t="n">
        <v>218.05</v>
      </c>
      <c r="F240" s="3" t="n">
        <v>-4.39</v>
      </c>
    </row>
    <row r="241">
      <c r="A241" s="3" t="inlineStr">
        <is>
          <t>Snowman Logistics Ltd.</t>
        </is>
      </c>
      <c r="B241" s="3" t="inlineStr">
        <is>
          <t>2019-09-30</t>
        </is>
      </c>
      <c r="C241" s="3" t="n">
        <v>37.25</v>
      </c>
      <c r="D241" s="3" t="inlineStr">
        <is>
          <t>2019-12-31</t>
        </is>
      </c>
      <c r="E241" s="3" t="n">
        <v>42.6</v>
      </c>
      <c r="F241" s="3" t="n">
        <v>14.36</v>
      </c>
    </row>
    <row r="242">
      <c r="A242" s="3" t="inlineStr">
        <is>
          <t>Dr. Lal Pathlabs Ltd.</t>
        </is>
      </c>
      <c r="B242" s="3" t="inlineStr">
        <is>
          <t>2019-09-30</t>
        </is>
      </c>
      <c r="C242" s="3" t="n">
        <v>690</v>
      </c>
      <c r="D242" s="3" t="inlineStr">
        <is>
          <t>2019-12-31</t>
        </is>
      </c>
      <c r="E242" s="3" t="n">
        <v>747.5</v>
      </c>
      <c r="F242" s="3" t="n">
        <v>8.33</v>
      </c>
    </row>
    <row r="243">
      <c r="A243" s="3" t="inlineStr">
        <is>
          <t>Fine Organic Industr..</t>
        </is>
      </c>
      <c r="B243" s="3" t="inlineStr">
        <is>
          <t>2019-09-30</t>
        </is>
      </c>
      <c r="C243" s="3" t="n">
        <v>1729.6</v>
      </c>
      <c r="D243" s="3" t="inlineStr">
        <is>
          <t>2019-12-31</t>
        </is>
      </c>
      <c r="E243" s="3" t="n">
        <v>1945.05</v>
      </c>
      <c r="F243" s="3" t="n">
        <v>12.46</v>
      </c>
    </row>
    <row r="244">
      <c r="A244" s="3" t="inlineStr">
        <is>
          <t>Banswara Syntex Ltd.</t>
        </is>
      </c>
      <c r="B244" s="3" t="inlineStr">
        <is>
          <t>2019-09-30</t>
        </is>
      </c>
      <c r="C244" s="3" t="n">
        <v>38.6</v>
      </c>
      <c r="D244" s="3" t="inlineStr">
        <is>
          <t>2020-03-31</t>
        </is>
      </c>
      <c r="E244" s="3" t="n">
        <v>36.43</v>
      </c>
      <c r="F244" s="3" t="n">
        <v>-5.62</v>
      </c>
    </row>
    <row r="245">
      <c r="A245" s="3" t="inlineStr">
        <is>
          <t>Dixon Technologies (..</t>
        </is>
      </c>
      <c r="B245" s="3" t="inlineStr">
        <is>
          <t>2019-09-30</t>
        </is>
      </c>
      <c r="C245" s="3" t="n">
        <v>584.2</v>
      </c>
      <c r="D245" s="3" t="inlineStr">
        <is>
          <t>2020-03-31</t>
        </is>
      </c>
      <c r="E245" s="3" t="n">
        <v>712.7</v>
      </c>
      <c r="F245" s="3" t="n">
        <v>22</v>
      </c>
    </row>
    <row r="246">
      <c r="A246" s="3" t="inlineStr">
        <is>
          <t>GMM Pfaudler Ltd.</t>
        </is>
      </c>
      <c r="B246" s="3" t="inlineStr">
        <is>
          <t>2019-12-31</t>
        </is>
      </c>
      <c r="C246" s="3" t="n">
        <v>626.23</v>
      </c>
      <c r="D246" s="3" t="inlineStr">
        <is>
          <t>2020-03-31</t>
        </is>
      </c>
      <c r="E246" s="3" t="n">
        <v>838.33</v>
      </c>
      <c r="F246" s="3" t="n">
        <v>33.87</v>
      </c>
    </row>
    <row r="247">
      <c r="A247" s="3" t="inlineStr">
        <is>
          <t>Balrampur Chini Mill..</t>
        </is>
      </c>
      <c r="B247" s="3" t="inlineStr">
        <is>
          <t>2019-12-31</t>
        </is>
      </c>
      <c r="C247" s="3" t="n">
        <v>183.4</v>
      </c>
      <c r="D247" s="3" t="inlineStr">
        <is>
          <t>2020-03-31</t>
        </is>
      </c>
      <c r="E247" s="3" t="n">
        <v>104.05</v>
      </c>
      <c r="F247" s="3" t="n">
        <v>-43.27</v>
      </c>
    </row>
    <row r="248">
      <c r="A248" s="3" t="inlineStr">
        <is>
          <t>Crisil Ltd.</t>
        </is>
      </c>
      <c r="B248" s="3" t="inlineStr">
        <is>
          <t>2019-12-31</t>
        </is>
      </c>
      <c r="C248" s="3" t="n">
        <v>1907.6</v>
      </c>
      <c r="D248" s="3" t="inlineStr">
        <is>
          <t>2020-03-31</t>
        </is>
      </c>
      <c r="E248" s="3" t="n">
        <v>1254.3</v>
      </c>
      <c r="F248" s="3" t="n">
        <v>-34.25</v>
      </c>
    </row>
    <row r="249">
      <c r="A249" s="3" t="inlineStr">
        <is>
          <t>Dwarikesh Sugar Indu..</t>
        </is>
      </c>
      <c r="B249" s="3" t="inlineStr">
        <is>
          <t>2019-12-31</t>
        </is>
      </c>
      <c r="C249" s="3" t="n">
        <v>33.4</v>
      </c>
      <c r="D249" s="3" t="inlineStr">
        <is>
          <t>2020-03-31</t>
        </is>
      </c>
      <c r="E249" s="3" t="n">
        <v>16.55</v>
      </c>
      <c r="F249" s="3" t="n">
        <v>-50.45</v>
      </c>
    </row>
    <row r="250">
      <c r="A250" s="3" t="inlineStr">
        <is>
          <t>EPL Ltd.</t>
        </is>
      </c>
      <c r="B250" s="3" t="inlineStr">
        <is>
          <t>2019-12-31</t>
        </is>
      </c>
      <c r="C250" s="3" t="n">
        <v>177.2</v>
      </c>
      <c r="D250" s="3" t="inlineStr">
        <is>
          <t>2020-03-31</t>
        </is>
      </c>
      <c r="E250" s="3" t="n">
        <v>155.1</v>
      </c>
      <c r="F250" s="3" t="n">
        <v>-12.47</v>
      </c>
    </row>
    <row r="251">
      <c r="A251" s="3" t="inlineStr">
        <is>
          <t>NMDC Ltd.</t>
        </is>
      </c>
      <c r="B251" s="3" t="inlineStr">
        <is>
          <t>2019-12-31</t>
        </is>
      </c>
      <c r="C251" s="3" t="n">
        <v>43</v>
      </c>
      <c r="D251" s="3" t="inlineStr">
        <is>
          <t>2020-03-31</t>
        </is>
      </c>
      <c r="E251" s="3" t="n">
        <v>26.65</v>
      </c>
      <c r="F251" s="3" t="n">
        <v>-38.02</v>
      </c>
    </row>
    <row r="252">
      <c r="A252" s="3" t="inlineStr">
        <is>
          <t>Ponni Sugars (Erode)..</t>
        </is>
      </c>
      <c r="B252" s="3" t="inlineStr">
        <is>
          <t>2019-12-31</t>
        </is>
      </c>
      <c r="C252" s="3" t="n">
        <v>164.35</v>
      </c>
      <c r="D252" s="3" t="inlineStr">
        <is>
          <t>2020-03-31</t>
        </is>
      </c>
      <c r="E252" s="3" t="n">
        <v>138.2</v>
      </c>
      <c r="F252" s="3" t="n">
        <v>-15.91</v>
      </c>
    </row>
    <row r="253">
      <c r="A253" s="3" t="inlineStr">
        <is>
          <t>Roto Pumps Ltd.</t>
        </is>
      </c>
      <c r="B253" s="3" t="inlineStr">
        <is>
          <t>2019-12-31</t>
        </is>
      </c>
      <c r="C253" s="3" t="n">
        <v>13.2</v>
      </c>
      <c r="D253" s="3" t="inlineStr">
        <is>
          <t>2020-03-31</t>
        </is>
      </c>
      <c r="E253" s="3" t="n">
        <v>6.32</v>
      </c>
      <c r="F253" s="3" t="n">
        <v>-52.12</v>
      </c>
    </row>
    <row r="254">
      <c r="A254" s="3" t="inlineStr">
        <is>
          <t>ICICI Securities Ltd.</t>
        </is>
      </c>
      <c r="B254" s="3" t="inlineStr">
        <is>
          <t>2019-12-31</t>
        </is>
      </c>
      <c r="C254" s="3" t="n">
        <v>406.8</v>
      </c>
      <c r="D254" s="3" t="inlineStr">
        <is>
          <t>2020-03-31</t>
        </is>
      </c>
      <c r="E254" s="3" t="n">
        <v>276.45</v>
      </c>
      <c r="F254" s="3" t="n">
        <v>-32.04</v>
      </c>
    </row>
    <row r="255">
      <c r="A255" s="3" t="inlineStr">
        <is>
          <t>TruCap Finance Ltd.</t>
        </is>
      </c>
      <c r="B255" s="3" t="inlineStr">
        <is>
          <t>2019-12-31</t>
        </is>
      </c>
      <c r="C255" s="3" t="n">
        <v>16.4</v>
      </c>
      <c r="D255" s="3" t="inlineStr">
        <is>
          <t>2020-03-31</t>
        </is>
      </c>
      <c r="E255" s="3" t="n">
        <v>12.24</v>
      </c>
      <c r="F255" s="3" t="n">
        <v>-25.37</v>
      </c>
    </row>
    <row r="256">
      <c r="A256" s="3" t="inlineStr">
        <is>
          <t>Privi Speciality Che..</t>
        </is>
      </c>
      <c r="B256" s="3" t="inlineStr">
        <is>
          <t>2020-06-30</t>
        </is>
      </c>
      <c r="C256" s="3" t="n">
        <v>564.45</v>
      </c>
      <c r="D256" s="3" t="inlineStr">
        <is>
          <t>2020-09-30</t>
        </is>
      </c>
      <c r="E256" s="3" t="n">
        <v>558.75</v>
      </c>
      <c r="F256" s="3" t="n">
        <v>-1.01</v>
      </c>
    </row>
    <row r="257">
      <c r="A257" s="3" t="inlineStr">
        <is>
          <t>Balkrishna Industrie..</t>
        </is>
      </c>
      <c r="B257" s="3" t="inlineStr">
        <is>
          <t>2020-06-30</t>
        </is>
      </c>
      <c r="C257" s="3" t="n">
        <v>1261.1</v>
      </c>
      <c r="D257" s="3" t="inlineStr">
        <is>
          <t>2020-09-30</t>
        </is>
      </c>
      <c r="E257" s="3" t="n">
        <v>1477</v>
      </c>
      <c r="F257" s="3" t="n">
        <v>17.12</v>
      </c>
    </row>
    <row r="258">
      <c r="A258" s="3" t="inlineStr">
        <is>
          <t>Trident Ltd.</t>
        </is>
      </c>
      <c r="B258" s="3" t="inlineStr">
        <is>
          <t>2020-06-30</t>
        </is>
      </c>
      <c r="C258" s="3" t="n">
        <v>6.95</v>
      </c>
      <c r="D258" s="3" t="inlineStr">
        <is>
          <t>2020-09-30</t>
        </is>
      </c>
      <c r="E258" s="3" t="n">
        <v>6.7</v>
      </c>
      <c r="F258" s="3" t="n">
        <v>-3.6</v>
      </c>
    </row>
    <row r="259">
      <c r="A259" s="3" t="inlineStr">
        <is>
          <t>Swaraj Engines Ltd.</t>
        </is>
      </c>
      <c r="B259" s="3" t="inlineStr">
        <is>
          <t>2020-06-30</t>
        </is>
      </c>
      <c r="C259" s="3" t="n">
        <v>1447.65</v>
      </c>
      <c r="D259" s="3" t="inlineStr">
        <is>
          <t>2020-09-30</t>
        </is>
      </c>
      <c r="E259" s="3" t="n">
        <v>1458.55</v>
      </c>
      <c r="F259" s="3" t="n">
        <v>0.75</v>
      </c>
    </row>
    <row r="260">
      <c r="A260" s="3" t="inlineStr">
        <is>
          <t>Sunflag Iron &amp; Steel..</t>
        </is>
      </c>
      <c r="B260" s="3" t="inlineStr">
        <is>
          <t>2020-06-30</t>
        </is>
      </c>
      <c r="C260" s="3" t="n">
        <v>37.2</v>
      </c>
      <c r="D260" s="3" t="inlineStr">
        <is>
          <t>2020-09-30</t>
        </is>
      </c>
      <c r="E260" s="3" t="n">
        <v>42.1</v>
      </c>
      <c r="F260" s="3" t="n">
        <v>13.17</v>
      </c>
    </row>
    <row r="261">
      <c r="A261" s="3" t="inlineStr">
        <is>
          <t>Vaibhav Global Ltd.</t>
        </is>
      </c>
      <c r="B261" s="3" t="inlineStr">
        <is>
          <t>2020-06-30</t>
        </is>
      </c>
      <c r="C261" s="3" t="n">
        <v>256</v>
      </c>
      <c r="D261" s="3" t="inlineStr">
        <is>
          <t>2020-09-30</t>
        </is>
      </c>
      <c r="E261" s="3" t="n">
        <v>376</v>
      </c>
      <c r="F261" s="3" t="n">
        <v>46.88</v>
      </c>
    </row>
    <row r="262">
      <c r="A262" s="3" t="inlineStr">
        <is>
          <t>ICICI Securities Ltd.</t>
        </is>
      </c>
      <c r="B262" s="3" t="inlineStr">
        <is>
          <t>2020-06-30</t>
        </is>
      </c>
      <c r="C262" s="3" t="n">
        <v>469.85</v>
      </c>
      <c r="D262" s="3" t="inlineStr">
        <is>
          <t>2020-09-30</t>
        </is>
      </c>
      <c r="E262" s="3" t="n">
        <v>463.35</v>
      </c>
      <c r="F262" s="3" t="n">
        <v>-1.38</v>
      </c>
    </row>
    <row r="263">
      <c r="A263" s="3" t="inlineStr">
        <is>
          <t>TruCap Finance Ltd.</t>
        </is>
      </c>
      <c r="B263" s="3" t="inlineStr">
        <is>
          <t>2020-06-30</t>
        </is>
      </c>
      <c r="C263" s="3" t="n">
        <v>20.01</v>
      </c>
      <c r="D263" s="3" t="inlineStr">
        <is>
          <t>2020-09-30</t>
        </is>
      </c>
      <c r="E263" s="3" t="n">
        <v>45.88</v>
      </c>
      <c r="F263" s="3" t="n">
        <v>129.29</v>
      </c>
    </row>
    <row r="264">
      <c r="A264" s="3" t="inlineStr">
        <is>
          <t>Balaji Amines Ltd.</t>
        </is>
      </c>
      <c r="B264" s="3" t="inlineStr">
        <is>
          <t>2020-06-30</t>
        </is>
      </c>
      <c r="C264" s="3" t="n">
        <v>493.4</v>
      </c>
      <c r="D264" s="3" t="inlineStr">
        <is>
          <t>2020-09-30</t>
        </is>
      </c>
      <c r="E264" s="3" t="n">
        <v>807.4</v>
      </c>
      <c r="F264" s="3" t="n">
        <v>63.64</v>
      </c>
    </row>
    <row r="265">
      <c r="A265" s="3" t="inlineStr">
        <is>
          <t>Bayer Cropscience Ltd.</t>
        </is>
      </c>
      <c r="B265" s="3" t="inlineStr">
        <is>
          <t>2020-06-30</t>
        </is>
      </c>
      <c r="C265" s="3" t="n">
        <v>5937</v>
      </c>
      <c r="D265" s="3" t="inlineStr">
        <is>
          <t>2020-09-30</t>
        </is>
      </c>
      <c r="E265" s="3" t="n">
        <v>5891.2</v>
      </c>
      <c r="F265" s="3" t="n">
        <v>-0.77</v>
      </c>
    </row>
    <row r="266">
      <c r="A266" s="3" t="inlineStr">
        <is>
          <t>Cantabil Retail Indi..</t>
        </is>
      </c>
      <c r="B266" s="3" t="inlineStr">
        <is>
          <t>2020-06-30</t>
        </is>
      </c>
      <c r="C266" s="3" t="n">
        <v>58.2</v>
      </c>
      <c r="D266" s="3" t="inlineStr">
        <is>
          <t>2020-09-30</t>
        </is>
      </c>
      <c r="E266" s="3" t="n">
        <v>65.38</v>
      </c>
      <c r="F266" s="3" t="n">
        <v>12.34</v>
      </c>
    </row>
    <row r="267">
      <c r="A267" s="3" t="inlineStr">
        <is>
          <t>Sudarshan Colorants ..</t>
        </is>
      </c>
      <c r="B267" s="3" t="inlineStr">
        <is>
          <t>2020-06-30</t>
        </is>
      </c>
      <c r="C267" s="3" t="n">
        <v>405.75</v>
      </c>
      <c r="D267" s="3" t="inlineStr">
        <is>
          <t>2020-09-30</t>
        </is>
      </c>
      <c r="E267" s="3" t="n">
        <v>331.6</v>
      </c>
      <c r="F267" s="3" t="n">
        <v>-18.27</v>
      </c>
    </row>
    <row r="268">
      <c r="A268" s="3" t="inlineStr">
        <is>
          <t>Coromandel Internati..</t>
        </is>
      </c>
      <c r="B268" s="3" t="inlineStr">
        <is>
          <t>2020-06-30</t>
        </is>
      </c>
      <c r="C268" s="3" t="n">
        <v>755.75</v>
      </c>
      <c r="D268" s="3" t="inlineStr">
        <is>
          <t>2020-09-30</t>
        </is>
      </c>
      <c r="E268" s="3" t="n">
        <v>772.85</v>
      </c>
      <c r="F268" s="3" t="n">
        <v>2.26</v>
      </c>
    </row>
    <row r="269">
      <c r="A269" s="3" t="inlineStr">
        <is>
          <t>Escorts Kubota Ltd.</t>
        </is>
      </c>
      <c r="B269" s="3" t="inlineStr">
        <is>
          <t>2020-06-30</t>
        </is>
      </c>
      <c r="C269" s="3" t="n">
        <v>1040</v>
      </c>
      <c r="D269" s="3" t="inlineStr">
        <is>
          <t>2020-09-30</t>
        </is>
      </c>
      <c r="E269" s="3" t="n">
        <v>1318.45</v>
      </c>
      <c r="F269" s="3" t="n">
        <v>26.77</v>
      </c>
    </row>
    <row r="270">
      <c r="A270" s="3" t="inlineStr">
        <is>
          <t>Geojit Financial Ser..</t>
        </is>
      </c>
      <c r="B270" s="3" t="inlineStr">
        <is>
          <t>2020-06-30</t>
        </is>
      </c>
      <c r="C270" s="3" t="n">
        <v>36.75</v>
      </c>
      <c r="D270" s="3" t="inlineStr">
        <is>
          <t>2020-09-30</t>
        </is>
      </c>
      <c r="E270" s="3" t="n">
        <v>38.9</v>
      </c>
      <c r="F270" s="3" t="n">
        <v>5.85</v>
      </c>
    </row>
    <row r="271">
      <c r="A271" s="3" t="inlineStr">
        <is>
          <t>Godrej Consumer Prod..</t>
        </is>
      </c>
      <c r="B271" s="3" t="inlineStr">
        <is>
          <t>2020-06-30</t>
        </is>
      </c>
      <c r="C271" s="3" t="n">
        <v>690.8</v>
      </c>
      <c r="D271" s="3" t="inlineStr">
        <is>
          <t>2020-09-30</t>
        </is>
      </c>
      <c r="E271" s="3" t="n">
        <v>724.95</v>
      </c>
      <c r="F271" s="3" t="n">
        <v>4.94</v>
      </c>
    </row>
    <row r="272">
      <c r="A272" s="3" t="inlineStr">
        <is>
          <t>Indraprastha Medical..</t>
        </is>
      </c>
      <c r="B272" s="3" t="inlineStr">
        <is>
          <t>2020-06-30</t>
        </is>
      </c>
      <c r="C272" s="3" t="n">
        <v>51.85</v>
      </c>
      <c r="D272" s="3" t="inlineStr">
        <is>
          <t>2020-09-30</t>
        </is>
      </c>
      <c r="E272" s="3" t="n">
        <v>50.15</v>
      </c>
      <c r="F272" s="3" t="n">
        <v>-3.28</v>
      </c>
    </row>
    <row r="273">
      <c r="A273" s="3" t="inlineStr">
        <is>
          <t>JBM Auto Ltd.</t>
        </is>
      </c>
      <c r="B273" s="3" t="inlineStr">
        <is>
          <t>2020-06-30</t>
        </is>
      </c>
      <c r="C273" s="3" t="n">
        <v>43.87</v>
      </c>
      <c r="D273" s="3" t="inlineStr">
        <is>
          <t>2020-09-30</t>
        </is>
      </c>
      <c r="E273" s="3" t="n">
        <v>46.92</v>
      </c>
      <c r="F273" s="3" t="n">
        <v>6.95</v>
      </c>
    </row>
    <row r="274">
      <c r="A274" s="3" t="inlineStr">
        <is>
          <t>Jindal Poly Films Ltd.</t>
        </is>
      </c>
      <c r="B274" s="3" t="inlineStr">
        <is>
          <t>2020-06-30</t>
        </is>
      </c>
      <c r="C274" s="3" t="n">
        <v>368.05</v>
      </c>
      <c r="D274" s="3" t="inlineStr">
        <is>
          <t>2020-09-30</t>
        </is>
      </c>
      <c r="E274" s="3" t="n">
        <v>431.5</v>
      </c>
      <c r="F274" s="3" t="n">
        <v>17.24</v>
      </c>
    </row>
    <row r="275">
      <c r="A275" s="3" t="inlineStr">
        <is>
          <t>JK Cement Ltd.</t>
        </is>
      </c>
      <c r="B275" s="3" t="inlineStr">
        <is>
          <t>2020-06-30</t>
        </is>
      </c>
      <c r="C275" s="3" t="n">
        <v>1379</v>
      </c>
      <c r="D275" s="3" t="inlineStr">
        <is>
          <t>2020-09-30</t>
        </is>
      </c>
      <c r="E275" s="3" t="n">
        <v>1506.85</v>
      </c>
      <c r="F275" s="3" t="n">
        <v>9.27</v>
      </c>
    </row>
    <row r="276">
      <c r="A276" s="3" t="inlineStr">
        <is>
          <t>Kaveri Seed Company ..</t>
        </is>
      </c>
      <c r="B276" s="3" t="inlineStr">
        <is>
          <t>2020-06-30</t>
        </is>
      </c>
      <c r="C276" s="3" t="n">
        <v>573.8</v>
      </c>
      <c r="D276" s="3" t="inlineStr">
        <is>
          <t>2020-09-30</t>
        </is>
      </c>
      <c r="E276" s="3" t="n">
        <v>531.25</v>
      </c>
      <c r="F276" s="3" t="n">
        <v>-7.42</v>
      </c>
    </row>
    <row r="277">
      <c r="A277" s="3" t="inlineStr">
        <is>
          <t>Rallis India Ltd.</t>
        </is>
      </c>
      <c r="B277" s="3" t="inlineStr">
        <is>
          <t>2020-06-30</t>
        </is>
      </c>
      <c r="C277" s="3" t="n">
        <v>272.3</v>
      </c>
      <c r="D277" s="3" t="inlineStr">
        <is>
          <t>2020-09-30</t>
        </is>
      </c>
      <c r="E277" s="3" t="n">
        <v>284.9</v>
      </c>
      <c r="F277" s="3" t="n">
        <v>4.63</v>
      </c>
    </row>
    <row r="278">
      <c r="A278" s="3" t="inlineStr">
        <is>
          <t>Styrenix Performance..</t>
        </is>
      </c>
      <c r="B278" s="3" t="inlineStr">
        <is>
          <t>2020-06-30</t>
        </is>
      </c>
      <c r="C278" s="3" t="n">
        <v>743.05</v>
      </c>
      <c r="D278" s="3" t="inlineStr">
        <is>
          <t>2020-09-30</t>
        </is>
      </c>
      <c r="E278" s="3" t="n">
        <v>497.7</v>
      </c>
      <c r="F278" s="3" t="n">
        <v>-33.02</v>
      </c>
    </row>
    <row r="279">
      <c r="A279" s="3" t="inlineStr">
        <is>
          <t>VST Tillers Tractors..</t>
        </is>
      </c>
      <c r="B279" s="3" t="inlineStr">
        <is>
          <t>2020-06-30</t>
        </is>
      </c>
      <c r="C279" s="3" t="n">
        <v>1325.6</v>
      </c>
      <c r="D279" s="3" t="inlineStr">
        <is>
          <t>2020-09-30</t>
        </is>
      </c>
      <c r="E279" s="3" t="n">
        <v>1678</v>
      </c>
      <c r="F279" s="3" t="n">
        <v>26.58</v>
      </c>
    </row>
    <row r="280">
      <c r="A280" s="3" t="inlineStr">
        <is>
          <t>Syngene Internationa..</t>
        </is>
      </c>
      <c r="B280" s="3" t="inlineStr">
        <is>
          <t>2020-06-30</t>
        </is>
      </c>
      <c r="C280" s="3" t="n">
        <v>400.9</v>
      </c>
      <c r="D280" s="3" t="inlineStr">
        <is>
          <t>2020-09-30</t>
        </is>
      </c>
      <c r="E280" s="3" t="n">
        <v>552.95</v>
      </c>
      <c r="F280" s="3" t="n">
        <v>37.93</v>
      </c>
    </row>
    <row r="281">
      <c r="A281" s="3" t="inlineStr">
        <is>
          <t>Anuh Pharma Ltd.</t>
        </is>
      </c>
      <c r="B281" s="3" t="inlineStr">
        <is>
          <t>2020-06-30</t>
        </is>
      </c>
      <c r="C281" s="3" t="n">
        <v>54.25</v>
      </c>
      <c r="D281" s="3" t="inlineStr">
        <is>
          <t>2020-09-30</t>
        </is>
      </c>
      <c r="E281" s="3" t="n">
        <v>94.95</v>
      </c>
      <c r="F281" s="3" t="n">
        <v>75.02</v>
      </c>
    </row>
    <row r="282">
      <c r="A282" s="3" t="inlineStr">
        <is>
          <t>N R Agarwal Industri..</t>
        </is>
      </c>
      <c r="B282" s="3" t="inlineStr">
        <is>
          <t>2020-06-30</t>
        </is>
      </c>
      <c r="C282" s="3" t="n">
        <v>226.3</v>
      </c>
      <c r="D282" s="3" t="inlineStr">
        <is>
          <t>2020-09-30</t>
        </is>
      </c>
      <c r="E282" s="3" t="n">
        <v>194.4</v>
      </c>
      <c r="F282" s="3" t="n">
        <v>-14.1</v>
      </c>
    </row>
    <row r="283">
      <c r="A283" s="3" t="inlineStr">
        <is>
          <t>KMC Speciality Hospi..</t>
        </is>
      </c>
      <c r="B283" s="3" t="inlineStr">
        <is>
          <t>2020-06-30</t>
        </is>
      </c>
      <c r="C283" s="3" t="n">
        <v>21.55</v>
      </c>
      <c r="D283" s="3" t="inlineStr">
        <is>
          <t>2020-09-30</t>
        </is>
      </c>
      <c r="E283" s="3" t="n">
        <v>21.7</v>
      </c>
      <c r="F283" s="3" t="n">
        <v>0.7</v>
      </c>
    </row>
    <row r="284">
      <c r="A284" s="3" t="inlineStr">
        <is>
          <t>Dynemic Products Ltd.</t>
        </is>
      </c>
      <c r="B284" s="3" t="inlineStr">
        <is>
          <t>2020-06-30</t>
        </is>
      </c>
      <c r="C284" s="3" t="n">
        <v>142.4</v>
      </c>
      <c r="D284" s="3" t="inlineStr">
        <is>
          <t>2020-09-30</t>
        </is>
      </c>
      <c r="E284" s="3" t="n">
        <v>261.7</v>
      </c>
      <c r="F284" s="3" t="n">
        <v>83.78</v>
      </c>
    </row>
    <row r="285">
      <c r="A285" s="3" t="inlineStr">
        <is>
          <t>Bharat Parenterals L..</t>
        </is>
      </c>
      <c r="B285" s="3" t="inlineStr">
        <is>
          <t>2020-06-30</t>
        </is>
      </c>
      <c r="C285" s="3" t="n">
        <v>273.5</v>
      </c>
      <c r="D285" s="3" t="inlineStr">
        <is>
          <t>2020-09-30</t>
        </is>
      </c>
      <c r="E285" s="3" t="n">
        <v>402.7</v>
      </c>
      <c r="F285" s="3" t="n">
        <v>47.24</v>
      </c>
    </row>
    <row r="286">
      <c r="A286" s="3" t="inlineStr">
        <is>
          <t>Sakar Healthcare Ltd.</t>
        </is>
      </c>
      <c r="B286" s="3" t="inlineStr">
        <is>
          <t>2020-06-30</t>
        </is>
      </c>
      <c r="C286" s="3" t="n">
        <v>76.3</v>
      </c>
      <c r="D286" s="3" t="inlineStr">
        <is>
          <t>2020-09-30</t>
        </is>
      </c>
      <c r="E286" s="3" t="n">
        <v>78.95</v>
      </c>
      <c r="F286" s="3" t="n">
        <v>3.47</v>
      </c>
    </row>
    <row r="287">
      <c r="A287" s="3" t="inlineStr">
        <is>
          <t>Solara Active Pharma..</t>
        </is>
      </c>
      <c r="B287" s="3" t="inlineStr">
        <is>
          <t>2020-06-30</t>
        </is>
      </c>
      <c r="C287" s="3" t="n">
        <v>612.8</v>
      </c>
      <c r="D287" s="3" t="inlineStr">
        <is>
          <t>2020-09-30</t>
        </is>
      </c>
      <c r="E287" s="3" t="n">
        <v>994.3</v>
      </c>
      <c r="F287" s="3" t="n">
        <v>62.26</v>
      </c>
    </row>
    <row r="288">
      <c r="A288" s="3" t="inlineStr">
        <is>
          <t>Garden Reach Shipbui..</t>
        </is>
      </c>
      <c r="B288" s="3" t="inlineStr">
        <is>
          <t>2020-06-30</t>
        </is>
      </c>
      <c r="C288" s="3" t="n">
        <v>214.5</v>
      </c>
      <c r="D288" s="3" t="inlineStr">
        <is>
          <t>2020-09-30</t>
        </is>
      </c>
      <c r="E288" s="3" t="n">
        <v>216.35</v>
      </c>
      <c r="F288" s="3" t="n">
        <v>0.86</v>
      </c>
    </row>
    <row r="289">
      <c r="A289" s="3" t="inlineStr">
        <is>
          <t>Vinati Organics Ltd.</t>
        </is>
      </c>
      <c r="B289" s="3" t="inlineStr">
        <is>
          <t>2020-09-30</t>
        </is>
      </c>
      <c r="C289" s="3" t="n">
        <v>1336.55</v>
      </c>
      <c r="D289" s="3" t="inlineStr">
        <is>
          <t>2020-12-31</t>
        </is>
      </c>
      <c r="E289" s="3" t="n">
        <v>1208.2</v>
      </c>
      <c r="F289" s="3" t="n">
        <v>-9.6</v>
      </c>
    </row>
    <row r="290">
      <c r="A290" s="3" t="inlineStr">
        <is>
          <t>Kabra Extrusion Tech..</t>
        </is>
      </c>
      <c r="B290" s="3" t="inlineStr">
        <is>
          <t>2020-09-30</t>
        </is>
      </c>
      <c r="C290" s="3" t="n">
        <v>73.3</v>
      </c>
      <c r="D290" s="3" t="inlineStr">
        <is>
          <t>2020-12-31</t>
        </is>
      </c>
      <c r="E290" s="3" t="n">
        <v>97.5</v>
      </c>
      <c r="F290" s="3" t="n">
        <v>33.02</v>
      </c>
    </row>
    <row r="291">
      <c r="A291" s="3" t="inlineStr">
        <is>
          <t>KPR Mill Ltd.</t>
        </is>
      </c>
      <c r="B291" s="3" t="inlineStr">
        <is>
          <t>2020-09-30</t>
        </is>
      </c>
      <c r="C291" s="3" t="n">
        <v>130.22</v>
      </c>
      <c r="D291" s="3" t="inlineStr">
        <is>
          <t>2020-12-31</t>
        </is>
      </c>
      <c r="E291" s="3" t="n">
        <v>174.47</v>
      </c>
      <c r="F291" s="3" t="n">
        <v>33.98</v>
      </c>
    </row>
    <row r="292">
      <c r="A292" s="3" t="inlineStr">
        <is>
          <t>Mazda Ltd.</t>
        </is>
      </c>
      <c r="B292" s="3" t="inlineStr">
        <is>
          <t>2020-09-30</t>
        </is>
      </c>
      <c r="C292" s="3" t="n">
        <v>111.94</v>
      </c>
      <c r="D292" s="3" t="inlineStr">
        <is>
          <t>2020-12-31</t>
        </is>
      </c>
      <c r="E292" s="3" t="n">
        <v>102.37</v>
      </c>
      <c r="F292" s="3" t="n">
        <v>-8.550000000000001</v>
      </c>
    </row>
    <row r="293">
      <c r="A293" s="3" t="inlineStr">
        <is>
          <t>Mphasis Ltd.</t>
        </is>
      </c>
      <c r="B293" s="3" t="inlineStr">
        <is>
          <t>2020-09-30</t>
        </is>
      </c>
      <c r="C293" s="3" t="n">
        <v>1383.45</v>
      </c>
      <c r="D293" s="3" t="inlineStr">
        <is>
          <t>2020-12-31</t>
        </is>
      </c>
      <c r="E293" s="3" t="n">
        <v>1539.95</v>
      </c>
      <c r="F293" s="3" t="n">
        <v>11.31</v>
      </c>
    </row>
    <row r="294">
      <c r="A294" s="3" t="inlineStr">
        <is>
          <t>Natco Pharma Ltd.</t>
        </is>
      </c>
      <c r="B294" s="3" t="inlineStr">
        <is>
          <t>2020-09-30</t>
        </is>
      </c>
      <c r="C294" s="3" t="n">
        <v>937.3</v>
      </c>
      <c r="D294" s="3" t="inlineStr">
        <is>
          <t>2020-12-31</t>
        </is>
      </c>
      <c r="E294" s="3" t="n">
        <v>953.17</v>
      </c>
      <c r="F294" s="3" t="n">
        <v>1.69</v>
      </c>
    </row>
    <row r="295">
      <c r="A295" s="3" t="inlineStr">
        <is>
          <t>Transpek Industry Ltd.</t>
        </is>
      </c>
      <c r="B295" s="3" t="inlineStr">
        <is>
          <t>2020-09-30</t>
        </is>
      </c>
      <c r="C295" s="3" t="n">
        <v>2037.35</v>
      </c>
      <c r="D295" s="3" t="inlineStr">
        <is>
          <t>2020-12-31</t>
        </is>
      </c>
      <c r="E295" s="3" t="n">
        <v>1568.4</v>
      </c>
      <c r="F295" s="3" t="n">
        <v>-23.02</v>
      </c>
    </row>
    <row r="296">
      <c r="A296" s="3" t="inlineStr">
        <is>
          <t>Anjani Portland Ceme..</t>
        </is>
      </c>
      <c r="B296" s="3" t="inlineStr">
        <is>
          <t>2020-09-30</t>
        </is>
      </c>
      <c r="C296" s="3" t="n">
        <v>188.75</v>
      </c>
      <c r="D296" s="3" t="inlineStr">
        <is>
          <t>2020-12-31</t>
        </is>
      </c>
      <c r="E296" s="3" t="n">
        <v>212.95</v>
      </c>
      <c r="F296" s="3" t="n">
        <v>12.82</v>
      </c>
    </row>
    <row r="297">
      <c r="A297" s="3" t="inlineStr">
        <is>
          <t>Racl Geartech Ltd.</t>
        </is>
      </c>
      <c r="B297" s="3" t="inlineStr">
        <is>
          <t>2020-09-30</t>
        </is>
      </c>
      <c r="C297" s="3" t="n">
        <v>115.6</v>
      </c>
      <c r="D297" s="3" t="inlineStr">
        <is>
          <t>2020-12-31</t>
        </is>
      </c>
      <c r="E297" s="3" t="n">
        <v>153.1</v>
      </c>
      <c r="F297" s="3" t="n">
        <v>32.44</v>
      </c>
    </row>
    <row r="298">
      <c r="A298" s="3" t="inlineStr">
        <is>
          <t>Sika Interplant Syst..</t>
        </is>
      </c>
      <c r="B298" s="3" t="inlineStr">
        <is>
          <t>2020-09-30</t>
        </is>
      </c>
      <c r="C298" s="3" t="n">
        <v>49.6</v>
      </c>
      <c r="D298" s="3" t="inlineStr">
        <is>
          <t>2020-12-31</t>
        </is>
      </c>
      <c r="E298" s="3" t="n">
        <v>61</v>
      </c>
      <c r="F298" s="3" t="n">
        <v>22.98</v>
      </c>
    </row>
    <row r="299">
      <c r="A299" s="3" t="inlineStr">
        <is>
          <t>Capital India Financ..</t>
        </is>
      </c>
      <c r="B299" s="3" t="inlineStr">
        <is>
          <t>2020-09-30</t>
        </is>
      </c>
      <c r="C299" s="3" t="n">
        <v>24.81</v>
      </c>
      <c r="D299" s="3" t="inlineStr">
        <is>
          <t>2020-12-31</t>
        </is>
      </c>
      <c r="E299" s="3" t="n">
        <v>23.66</v>
      </c>
      <c r="F299" s="3" t="n">
        <v>-4.64</v>
      </c>
    </row>
    <row r="300">
      <c r="A300" s="3" t="inlineStr">
        <is>
          <t>Sasken Technologies ..</t>
        </is>
      </c>
      <c r="B300" s="3" t="inlineStr">
        <is>
          <t>2020-09-30</t>
        </is>
      </c>
      <c r="C300" s="3" t="n">
        <v>696.5</v>
      </c>
      <c r="D300" s="3" t="inlineStr">
        <is>
          <t>2021-03-31</t>
        </is>
      </c>
      <c r="E300" s="3" t="n">
        <v>874.35</v>
      </c>
      <c r="F300" s="3" t="n">
        <v>25.53</v>
      </c>
    </row>
    <row r="301">
      <c r="A301" s="3" t="inlineStr">
        <is>
          <t>Kovai Medical Center..</t>
        </is>
      </c>
      <c r="B301" s="3" t="inlineStr">
        <is>
          <t>2020-12-31</t>
        </is>
      </c>
      <c r="C301" s="3" t="n">
        <v>1101.6</v>
      </c>
      <c r="D301" s="3" t="inlineStr">
        <is>
          <t>2021-03-31</t>
        </is>
      </c>
      <c r="E301" s="3" t="n">
        <v>1102.7</v>
      </c>
      <c r="F301" s="3" t="n">
        <v>0.1</v>
      </c>
    </row>
    <row r="302">
      <c r="A302" s="3" t="inlineStr">
        <is>
          <t>Pradeep Metals Ltd.</t>
        </is>
      </c>
      <c r="B302" s="3" t="inlineStr">
        <is>
          <t>2020-12-31</t>
        </is>
      </c>
      <c r="C302" s="3" t="n">
        <v>62.05</v>
      </c>
      <c r="D302" s="3" t="inlineStr">
        <is>
          <t>2021-03-31</t>
        </is>
      </c>
      <c r="E302" s="3" t="n">
        <v>35.5</v>
      </c>
      <c r="F302" s="3" t="n">
        <v>-42.79</v>
      </c>
    </row>
    <row r="303">
      <c r="A303" s="3" t="inlineStr">
        <is>
          <t>DLF Ltd.</t>
        </is>
      </c>
      <c r="B303" s="3" t="inlineStr">
        <is>
          <t>2020-12-31</t>
        </is>
      </c>
      <c r="C303" s="3" t="n">
        <v>232.85</v>
      </c>
      <c r="D303" s="3" t="inlineStr">
        <is>
          <t>2021-03-31</t>
        </is>
      </c>
      <c r="E303" s="3" t="n">
        <v>287.05</v>
      </c>
      <c r="F303" s="3" t="n">
        <v>23.28</v>
      </c>
    </row>
    <row r="304">
      <c r="A304" s="3" t="inlineStr">
        <is>
          <t>Astral Ltd.</t>
        </is>
      </c>
      <c r="B304" s="3" t="inlineStr">
        <is>
          <t>2020-12-31</t>
        </is>
      </c>
      <c r="C304" s="3" t="n">
        <v>956.25</v>
      </c>
      <c r="D304" s="3" t="inlineStr">
        <is>
          <t>2021-03-31</t>
        </is>
      </c>
      <c r="E304" s="3" t="n">
        <v>1218</v>
      </c>
      <c r="F304" s="3" t="n">
        <v>27.37</v>
      </c>
    </row>
    <row r="305">
      <c r="A305" s="3" t="inlineStr">
        <is>
          <t>Alankit Ltd.</t>
        </is>
      </c>
      <c r="B305" s="3" t="inlineStr">
        <is>
          <t>2020-12-31</t>
        </is>
      </c>
      <c r="C305" s="3" t="n">
        <v>19.95</v>
      </c>
      <c r="D305" s="3" t="inlineStr">
        <is>
          <t>2021-03-31</t>
        </is>
      </c>
      <c r="E305" s="3" t="n">
        <v>15.85</v>
      </c>
      <c r="F305" s="3" t="n">
        <v>-20.55</v>
      </c>
    </row>
    <row r="306">
      <c r="A306" s="3" t="inlineStr">
        <is>
          <t>AK Capital Services ..</t>
        </is>
      </c>
      <c r="B306" s="3" t="inlineStr">
        <is>
          <t>2020-12-31</t>
        </is>
      </c>
      <c r="C306" s="3" t="n">
        <v>320.15</v>
      </c>
      <c r="D306" s="3" t="inlineStr">
        <is>
          <t>2021-03-31</t>
        </is>
      </c>
      <c r="E306" s="3" t="n">
        <v>308.7</v>
      </c>
      <c r="F306" s="3" t="n">
        <v>-3.58</v>
      </c>
    </row>
    <row r="307">
      <c r="A307" s="3" t="inlineStr">
        <is>
          <t>Nahar Capital &amp; Fina..</t>
        </is>
      </c>
      <c r="B307" s="3" t="inlineStr">
        <is>
          <t>2020-12-31</t>
        </is>
      </c>
      <c r="C307" s="3" t="n">
        <v>88</v>
      </c>
      <c r="D307" s="3" t="inlineStr">
        <is>
          <t>2021-03-31</t>
        </is>
      </c>
      <c r="E307" s="3" t="n">
        <v>104.5</v>
      </c>
      <c r="F307" s="3" t="n">
        <v>18.75</v>
      </c>
    </row>
    <row r="308">
      <c r="A308" s="3" t="inlineStr">
        <is>
          <t>Sarla Performance Fi..</t>
        </is>
      </c>
      <c r="B308" s="3" t="inlineStr">
        <is>
          <t>2020-12-31</t>
        </is>
      </c>
      <c r="C308" s="3" t="n">
        <v>24.05</v>
      </c>
      <c r="D308" s="3" t="inlineStr">
        <is>
          <t>2021-03-31</t>
        </is>
      </c>
      <c r="E308" s="3" t="n">
        <v>24.1</v>
      </c>
      <c r="F308" s="3" t="n">
        <v>0.21</v>
      </c>
    </row>
    <row r="309">
      <c r="A309" s="3" t="inlineStr">
        <is>
          <t>Honeywell Automation..</t>
        </is>
      </c>
      <c r="B309" s="3" t="inlineStr">
        <is>
          <t>2020-12-31</t>
        </is>
      </c>
      <c r="C309" s="3" t="n">
        <v>37105.1</v>
      </c>
      <c r="D309" s="3" t="inlineStr">
        <is>
          <t>2021-03-31</t>
        </is>
      </c>
      <c r="E309" s="3" t="n">
        <v>47479.85</v>
      </c>
      <c r="F309" s="3" t="n">
        <v>27.96</v>
      </c>
    </row>
    <row r="310">
      <c r="A310" s="3" t="inlineStr">
        <is>
          <t>Styrenix Performance..</t>
        </is>
      </c>
      <c r="B310" s="3" t="inlineStr">
        <is>
          <t>2020-12-31</t>
        </is>
      </c>
      <c r="C310" s="3" t="n">
        <v>836.1</v>
      </c>
      <c r="D310" s="3" t="inlineStr">
        <is>
          <t>2021-03-31</t>
        </is>
      </c>
      <c r="E310" s="3" t="n">
        <v>930.75</v>
      </c>
      <c r="F310" s="3" t="n">
        <v>11.32</v>
      </c>
    </row>
    <row r="311">
      <c r="A311" s="3" t="inlineStr">
        <is>
          <t>Asian Paints Ltd.</t>
        </is>
      </c>
      <c r="B311" s="3" t="inlineStr">
        <is>
          <t>2020-12-31</t>
        </is>
      </c>
      <c r="C311" s="3" t="n">
        <v>2764.5</v>
      </c>
      <c r="D311" s="3" t="inlineStr">
        <is>
          <t>2021-03-31</t>
        </is>
      </c>
      <c r="E311" s="3" t="n">
        <v>2537.4</v>
      </c>
      <c r="F311" s="3" t="n">
        <v>-8.210000000000001</v>
      </c>
    </row>
    <row r="312">
      <c r="A312" s="3" t="inlineStr">
        <is>
          <t>Carborundum Universa..</t>
        </is>
      </c>
      <c r="B312" s="3" t="inlineStr">
        <is>
          <t>2020-12-31</t>
        </is>
      </c>
      <c r="C312" s="3" t="n">
        <v>405.5</v>
      </c>
      <c r="D312" s="3" t="inlineStr">
        <is>
          <t>2021-03-31</t>
        </is>
      </c>
      <c r="E312" s="3" t="n">
        <v>509.5</v>
      </c>
      <c r="F312" s="3" t="n">
        <v>25.65</v>
      </c>
    </row>
    <row r="313">
      <c r="A313" s="3" t="inlineStr">
        <is>
          <t>Gateway Distriparks ..</t>
        </is>
      </c>
      <c r="B313" s="3" t="inlineStr">
        <is>
          <t>2020-12-31</t>
        </is>
      </c>
      <c r="C313" s="3" t="n">
        <v>121.95</v>
      </c>
      <c r="D313" s="3" t="inlineStr">
        <is>
          <t>2021-03-31</t>
        </is>
      </c>
      <c r="E313" s="3" t="n">
        <v>177.5</v>
      </c>
      <c r="F313" s="3" t="n">
        <v>45.55</v>
      </c>
    </row>
    <row r="314">
      <c r="A314" s="3" t="inlineStr">
        <is>
          <t>Grindwell Norton Ltd.</t>
        </is>
      </c>
      <c r="B314" s="3" t="inlineStr">
        <is>
          <t>2020-12-31</t>
        </is>
      </c>
      <c r="C314" s="3" t="n">
        <v>717.4</v>
      </c>
      <c r="D314" s="3" t="inlineStr">
        <is>
          <t>2021-03-31</t>
        </is>
      </c>
      <c r="E314" s="3" t="n">
        <v>952.2</v>
      </c>
      <c r="F314" s="3" t="n">
        <v>32.73</v>
      </c>
    </row>
    <row r="315">
      <c r="A315" s="3" t="inlineStr">
        <is>
          <t>Oberoi Realty Ltd.</t>
        </is>
      </c>
      <c r="B315" s="3" t="inlineStr">
        <is>
          <t>2020-12-31</t>
        </is>
      </c>
      <c r="C315" s="3" t="n">
        <v>583.4</v>
      </c>
      <c r="D315" s="3" t="inlineStr">
        <is>
          <t>2021-03-31</t>
        </is>
      </c>
      <c r="E315" s="3" t="n">
        <v>575.15</v>
      </c>
      <c r="F315" s="3" t="n">
        <v>-1.41</v>
      </c>
    </row>
    <row r="316">
      <c r="A316" s="3" t="inlineStr">
        <is>
          <t>Orient Cement Ltd.</t>
        </is>
      </c>
      <c r="B316" s="3" t="inlineStr">
        <is>
          <t>2020-12-31</t>
        </is>
      </c>
      <c r="C316" s="3" t="n">
        <v>86.95</v>
      </c>
      <c r="D316" s="3" t="inlineStr">
        <is>
          <t>2021-03-31</t>
        </is>
      </c>
      <c r="E316" s="3" t="n">
        <v>97.8</v>
      </c>
      <c r="F316" s="3" t="n">
        <v>12.48</v>
      </c>
    </row>
    <row r="317">
      <c r="A317" s="3" t="inlineStr">
        <is>
          <t>Page Industries Ltd.</t>
        </is>
      </c>
      <c r="B317" s="3" t="inlineStr">
        <is>
          <t>2020-12-31</t>
        </is>
      </c>
      <c r="C317" s="3" t="n">
        <v>27610.25</v>
      </c>
      <c r="D317" s="3" t="inlineStr">
        <is>
          <t>2021-03-31</t>
        </is>
      </c>
      <c r="E317" s="3" t="n">
        <v>30317.45</v>
      </c>
      <c r="F317" s="3" t="n">
        <v>9.81</v>
      </c>
    </row>
    <row r="318">
      <c r="A318" s="3" t="inlineStr">
        <is>
          <t>Pearl Global Industr..</t>
        </is>
      </c>
      <c r="B318" s="3" t="inlineStr">
        <is>
          <t>2020-12-31</t>
        </is>
      </c>
      <c r="C318" s="3" t="n">
        <v>50.5</v>
      </c>
      <c r="D318" s="3" t="inlineStr">
        <is>
          <t>2021-03-31</t>
        </is>
      </c>
      <c r="E318" s="3" t="n">
        <v>41.63</v>
      </c>
      <c r="F318" s="3" t="n">
        <v>-17.56</v>
      </c>
    </row>
    <row r="319">
      <c r="A319" s="3" t="inlineStr">
        <is>
          <t>Shiva Texyarn Ltd.</t>
        </is>
      </c>
      <c r="B319" s="3" t="inlineStr">
        <is>
          <t>2020-12-31</t>
        </is>
      </c>
      <c r="C319" s="3" t="n">
        <v>114.65</v>
      </c>
      <c r="D319" s="3" t="inlineStr">
        <is>
          <t>2021-03-31</t>
        </is>
      </c>
      <c r="E319" s="3" t="n">
        <v>140.75</v>
      </c>
      <c r="F319" s="3" t="n">
        <v>22.76</v>
      </c>
    </row>
    <row r="320">
      <c r="A320" s="3" t="inlineStr">
        <is>
          <t>TD Power Systems Ltd.</t>
        </is>
      </c>
      <c r="B320" s="3" t="inlineStr">
        <is>
          <t>2020-12-31</t>
        </is>
      </c>
      <c r="C320" s="3" t="n">
        <v>15.3</v>
      </c>
      <c r="D320" s="3" t="inlineStr">
        <is>
          <t>2021-03-31</t>
        </is>
      </c>
      <c r="E320" s="3" t="n">
        <v>14.9</v>
      </c>
      <c r="F320" s="3" t="n">
        <v>-2.61</v>
      </c>
    </row>
    <row r="321">
      <c r="A321" s="3" t="inlineStr">
        <is>
          <t>Shree Pushkar Chemic..</t>
        </is>
      </c>
      <c r="B321" s="3" t="inlineStr">
        <is>
          <t>2020-12-31</t>
        </is>
      </c>
      <c r="C321" s="3" t="n">
        <v>138.7</v>
      </c>
      <c r="D321" s="3" t="inlineStr">
        <is>
          <t>2021-03-31</t>
        </is>
      </c>
      <c r="E321" s="3" t="n">
        <v>137</v>
      </c>
      <c r="F321" s="3" t="n">
        <v>-1.23</v>
      </c>
    </row>
    <row r="322">
      <c r="A322" s="3" t="inlineStr">
        <is>
          <t>Arihant Superstructu..</t>
        </is>
      </c>
      <c r="B322" s="3" t="inlineStr">
        <is>
          <t>2020-12-31</t>
        </is>
      </c>
      <c r="C322" s="3" t="n">
        <v>31.2</v>
      </c>
      <c r="D322" s="3" t="inlineStr">
        <is>
          <t>2021-03-31</t>
        </is>
      </c>
      <c r="E322" s="3" t="n">
        <v>35.5</v>
      </c>
      <c r="F322" s="3" t="n">
        <v>13.78</v>
      </c>
    </row>
    <row r="323">
      <c r="A323" s="3" t="inlineStr">
        <is>
          <t>AksharChem (India) L..</t>
        </is>
      </c>
      <c r="B323" s="3" t="inlineStr">
        <is>
          <t>2020-12-31</t>
        </is>
      </c>
      <c r="C323" s="3" t="n">
        <v>254.25</v>
      </c>
      <c r="D323" s="3" t="inlineStr">
        <is>
          <t>2021-03-31</t>
        </is>
      </c>
      <c r="E323" s="3" t="n">
        <v>232.85</v>
      </c>
      <c r="F323" s="3" t="n">
        <v>-8.42</v>
      </c>
    </row>
    <row r="324">
      <c r="A324" s="3" t="inlineStr">
        <is>
          <t>Shanti Educational I..</t>
        </is>
      </c>
      <c r="B324" s="3" t="inlineStr">
        <is>
          <t>2020-12-31</t>
        </is>
      </c>
      <c r="C324" s="3" t="n">
        <v>16</v>
      </c>
      <c r="D324" s="3" t="inlineStr">
        <is>
          <t>2021-03-31</t>
        </is>
      </c>
      <c r="E324" s="3" t="n">
        <v>14.6</v>
      </c>
      <c r="F324" s="3" t="n">
        <v>-8.75</v>
      </c>
    </row>
    <row r="325">
      <c r="A325" s="3" t="inlineStr">
        <is>
          <t>Endurance Technologi..</t>
        </is>
      </c>
      <c r="B325" s="3" t="inlineStr">
        <is>
          <t>2020-12-31</t>
        </is>
      </c>
      <c r="C325" s="3" t="n">
        <v>1348.35</v>
      </c>
      <c r="D325" s="3" t="inlineStr">
        <is>
          <t>2021-03-31</t>
        </is>
      </c>
      <c r="E325" s="3" t="n">
        <v>1456.15</v>
      </c>
      <c r="F325" s="3" t="n">
        <v>7.99</v>
      </c>
    </row>
    <row r="326">
      <c r="A326" s="3" t="inlineStr">
        <is>
          <t>Aspinwall and Compan..</t>
        </is>
      </c>
      <c r="B326" s="3" t="inlineStr">
        <is>
          <t>2020-12-31</t>
        </is>
      </c>
      <c r="C326" s="3" t="n">
        <v>169.5</v>
      </c>
      <c r="D326" s="3" t="inlineStr">
        <is>
          <t>2021-03-31</t>
        </is>
      </c>
      <c r="E326" s="3" t="n">
        <v>190.8</v>
      </c>
      <c r="F326" s="3" t="n">
        <v>12.57</v>
      </c>
    </row>
    <row r="327">
      <c r="A327" s="3" t="inlineStr">
        <is>
          <t>TSF Investments Ltd.</t>
        </is>
      </c>
      <c r="B327" s="3" t="inlineStr">
        <is>
          <t>2020-12-31</t>
        </is>
      </c>
      <c r="C327" s="3" t="n">
        <v>76.8</v>
      </c>
      <c r="D327" s="3" t="inlineStr">
        <is>
          <t>2021-03-31</t>
        </is>
      </c>
      <c r="E327" s="3" t="n">
        <v>76</v>
      </c>
      <c r="F327" s="3" t="n">
        <v>-1.04</v>
      </c>
    </row>
    <row r="328">
      <c r="A328" s="3" t="inlineStr">
        <is>
          <t>KSB Ltd.</t>
        </is>
      </c>
      <c r="B328" s="3" t="inlineStr">
        <is>
          <t>2021-03-31</t>
        </is>
      </c>
      <c r="C328" s="3" t="n">
        <v>180.2</v>
      </c>
      <c r="D328" s="3" t="inlineStr">
        <is>
          <t>2021-06-30</t>
        </is>
      </c>
      <c r="E328" s="3" t="n">
        <v>200.96</v>
      </c>
      <c r="F328" s="3" t="n">
        <v>11.52</v>
      </c>
    </row>
    <row r="329">
      <c r="A329" s="3" t="inlineStr">
        <is>
          <t>Sundaram Finance Ltd.</t>
        </is>
      </c>
      <c r="B329" s="3" t="inlineStr">
        <is>
          <t>2021-03-31</t>
        </is>
      </c>
      <c r="C329" s="3" t="n">
        <v>2570.45</v>
      </c>
      <c r="D329" s="3" t="inlineStr">
        <is>
          <t>2021-06-30</t>
        </is>
      </c>
      <c r="E329" s="3" t="n">
        <v>2674.65</v>
      </c>
      <c r="F329" s="3" t="n">
        <v>4.05</v>
      </c>
    </row>
    <row r="330">
      <c r="A330" s="3" t="inlineStr">
        <is>
          <t>Vipul Organics Ltd.</t>
        </is>
      </c>
      <c r="B330" s="3" t="inlineStr">
        <is>
          <t>2021-03-31</t>
        </is>
      </c>
      <c r="C330" s="3" t="n">
        <v>110.06</v>
      </c>
      <c r="D330" s="3" t="inlineStr">
        <is>
          <t>2021-06-30</t>
        </is>
      </c>
      <c r="E330" s="3" t="n">
        <v>109.45</v>
      </c>
      <c r="F330" s="3" t="n">
        <v>-0.55</v>
      </c>
    </row>
    <row r="331">
      <c r="A331" s="3" t="inlineStr">
        <is>
          <t>AGI Infra Ltd.</t>
        </is>
      </c>
      <c r="B331" s="3" t="inlineStr">
        <is>
          <t>2021-03-31</t>
        </is>
      </c>
      <c r="C331" s="3" t="n">
        <v>8.34</v>
      </c>
      <c r="D331" s="3" t="inlineStr">
        <is>
          <t>2021-06-30</t>
        </is>
      </c>
      <c r="E331" s="3" t="n">
        <v>9.9</v>
      </c>
      <c r="F331" s="3" t="n">
        <v>18.71</v>
      </c>
    </row>
    <row r="332">
      <c r="A332" s="3" t="inlineStr">
        <is>
          <t>Madhya Bharat Agro P..</t>
        </is>
      </c>
      <c r="B332" s="3" t="inlineStr">
        <is>
          <t>2021-03-31</t>
        </is>
      </c>
      <c r="C332" s="3" t="n">
        <v>4.97</v>
      </c>
      <c r="D332" s="3" t="inlineStr">
        <is>
          <t>2021-06-30</t>
        </is>
      </c>
      <c r="E332" s="3" t="n">
        <v>6.4</v>
      </c>
      <c r="F332" s="3" t="n">
        <v>28.77</v>
      </c>
    </row>
    <row r="333">
      <c r="A333" s="3" t="inlineStr">
        <is>
          <t>Krishana Phoschem Ltd.</t>
        </is>
      </c>
      <c r="B333" s="3" t="inlineStr">
        <is>
          <t>2021-03-31</t>
        </is>
      </c>
      <c r="C333" s="3" t="n">
        <v>9.300000000000001</v>
      </c>
      <c r="D333" s="3" t="inlineStr">
        <is>
          <t>2021-06-30</t>
        </is>
      </c>
      <c r="E333" s="3" t="n">
        <v>11.53</v>
      </c>
      <c r="F333" s="3" t="n">
        <v>23.98</v>
      </c>
    </row>
    <row r="334">
      <c r="A334" s="3" t="inlineStr">
        <is>
          <t>FIEM Industries Ltd.</t>
        </is>
      </c>
      <c r="B334" s="3" t="inlineStr">
        <is>
          <t>2021-06-30</t>
        </is>
      </c>
      <c r="C334" s="3" t="n">
        <v>373.03</v>
      </c>
      <c r="D334" s="3" t="inlineStr">
        <is>
          <t>2021-09-30</t>
        </is>
      </c>
      <c r="E334" s="3" t="n">
        <v>552.48</v>
      </c>
      <c r="F334" s="3" t="n">
        <v>48.11</v>
      </c>
    </row>
    <row r="335">
      <c r="A335" s="3" t="inlineStr">
        <is>
          <t>Wim Plast Ltd.</t>
        </is>
      </c>
      <c r="B335" s="3" t="inlineStr">
        <is>
          <t>2021-06-30</t>
        </is>
      </c>
      <c r="C335" s="3" t="n">
        <v>595.55</v>
      </c>
      <c r="D335" s="3" t="inlineStr">
        <is>
          <t>2021-09-30</t>
        </is>
      </c>
      <c r="E335" s="3" t="n">
        <v>488.95</v>
      </c>
      <c r="F335" s="3" t="n">
        <v>-17.9</v>
      </c>
    </row>
    <row r="336">
      <c r="A336" s="3" t="inlineStr">
        <is>
          <t>Deccan Cements Ltd.</t>
        </is>
      </c>
      <c r="B336" s="3" t="inlineStr">
        <is>
          <t>2021-06-30</t>
        </is>
      </c>
      <c r="C336" s="3" t="n">
        <v>591.4</v>
      </c>
      <c r="D336" s="3" t="inlineStr">
        <is>
          <t>2021-09-30</t>
        </is>
      </c>
      <c r="E336" s="3" t="n">
        <v>711.25</v>
      </c>
      <c r="F336" s="3" t="n">
        <v>20.27</v>
      </c>
    </row>
    <row r="337">
      <c r="A337" s="3" t="inlineStr">
        <is>
          <t>Maithan Alloys Ltd.</t>
        </is>
      </c>
      <c r="B337" s="3" t="inlineStr">
        <is>
          <t>2021-06-30</t>
        </is>
      </c>
      <c r="C337" s="3" t="n">
        <v>1011.4</v>
      </c>
      <c r="D337" s="3" t="inlineStr">
        <is>
          <t>2021-09-30</t>
        </is>
      </c>
      <c r="E337" s="3" t="n">
        <v>1172.7</v>
      </c>
      <c r="F337" s="3" t="n">
        <v>15.95</v>
      </c>
    </row>
    <row r="338">
      <c r="A338" s="3" t="inlineStr">
        <is>
          <t>Empire Industries Ltd.</t>
        </is>
      </c>
      <c r="B338" s="3" t="inlineStr">
        <is>
          <t>2021-06-30</t>
        </is>
      </c>
      <c r="C338" s="3" t="n">
        <v>848.55</v>
      </c>
      <c r="D338" s="3" t="inlineStr">
        <is>
          <t>2021-09-30</t>
        </is>
      </c>
      <c r="E338" s="3" t="n">
        <v>798.2</v>
      </c>
      <c r="F338" s="3" t="n">
        <v>-5.93</v>
      </c>
    </row>
    <row r="339">
      <c r="A339" s="3" t="inlineStr">
        <is>
          <t>Premier Explosives L..</t>
        </is>
      </c>
      <c r="B339" s="3" t="inlineStr">
        <is>
          <t>2021-06-30</t>
        </is>
      </c>
      <c r="C339" s="3" t="n">
        <v>34.8</v>
      </c>
      <c r="D339" s="3" t="inlineStr">
        <is>
          <t>2021-09-30</t>
        </is>
      </c>
      <c r="E339" s="3" t="n">
        <v>48.38</v>
      </c>
      <c r="F339" s="3" t="n">
        <v>39.02</v>
      </c>
    </row>
    <row r="340">
      <c r="A340" s="3" t="inlineStr">
        <is>
          <t>Polson Ltd.</t>
        </is>
      </c>
      <c r="B340" s="3" t="inlineStr">
        <is>
          <t>2021-06-30</t>
        </is>
      </c>
      <c r="C340" s="3" t="n">
        <v>14811.5</v>
      </c>
      <c r="D340" s="3" t="inlineStr">
        <is>
          <t>2021-09-30</t>
        </is>
      </c>
      <c r="E340" s="3" t="n">
        <v>13548.7</v>
      </c>
      <c r="F340" s="3" t="n">
        <v>-8.529999999999999</v>
      </c>
    </row>
    <row r="341">
      <c r="A341" s="3" t="inlineStr">
        <is>
          <t>Cineline India Ltd.</t>
        </is>
      </c>
      <c r="B341" s="3" t="inlineStr">
        <is>
          <t>2021-06-30</t>
        </is>
      </c>
      <c r="C341" s="3" t="n">
        <v>47.05</v>
      </c>
      <c r="D341" s="3" t="inlineStr">
        <is>
          <t>2021-09-30</t>
        </is>
      </c>
      <c r="E341" s="3" t="n">
        <v>108.5</v>
      </c>
      <c r="F341" s="3" t="n">
        <v>130.61</v>
      </c>
    </row>
    <row r="342">
      <c r="A342" s="3" t="inlineStr">
        <is>
          <t>NRB Bearings Ltd.</t>
        </is>
      </c>
      <c r="B342" s="3" t="inlineStr">
        <is>
          <t>2021-06-30</t>
        </is>
      </c>
      <c r="C342" s="3" t="n">
        <v>140.15</v>
      </c>
      <c r="D342" s="3" t="inlineStr">
        <is>
          <t>2021-09-30</t>
        </is>
      </c>
      <c r="E342" s="3" t="n">
        <v>140.65</v>
      </c>
      <c r="F342" s="3" t="n">
        <v>0.36</v>
      </c>
    </row>
    <row r="343">
      <c r="A343" s="3" t="inlineStr">
        <is>
          <t>West Coast Paper Mil..</t>
        </is>
      </c>
      <c r="B343" s="3" t="inlineStr">
        <is>
          <t>2021-06-30</t>
        </is>
      </c>
      <c r="C343" s="3" t="n">
        <v>263.45</v>
      </c>
      <c r="D343" s="3" t="inlineStr">
        <is>
          <t>2021-09-30</t>
        </is>
      </c>
      <c r="E343" s="3" t="n">
        <v>265.15</v>
      </c>
      <c r="F343" s="3" t="n">
        <v>0.65</v>
      </c>
    </row>
    <row r="344">
      <c r="A344" s="3" t="inlineStr">
        <is>
          <t>D-Link (India) Ltd.</t>
        </is>
      </c>
      <c r="B344" s="3" t="inlineStr">
        <is>
          <t>2021-06-30</t>
        </is>
      </c>
      <c r="C344" s="3" t="n">
        <v>142.6</v>
      </c>
      <c r="D344" s="3" t="inlineStr">
        <is>
          <t>2021-09-30</t>
        </is>
      </c>
      <c r="E344" s="3" t="n">
        <v>154.95</v>
      </c>
      <c r="F344" s="3" t="n">
        <v>8.66</v>
      </c>
    </row>
    <row r="345">
      <c r="A345" s="3" t="inlineStr">
        <is>
          <t>Crisil Ltd.</t>
        </is>
      </c>
      <c r="B345" s="3" t="inlineStr">
        <is>
          <t>2021-06-30</t>
        </is>
      </c>
      <c r="C345" s="3" t="n">
        <v>2539.35</v>
      </c>
      <c r="D345" s="3" t="inlineStr">
        <is>
          <t>2021-09-30</t>
        </is>
      </c>
      <c r="E345" s="3" t="n">
        <v>2718.3</v>
      </c>
      <c r="F345" s="3" t="n">
        <v>7.05</v>
      </c>
    </row>
    <row r="346">
      <c r="A346" s="3" t="inlineStr">
        <is>
          <t>Sudarshan Colorants ..</t>
        </is>
      </c>
      <c r="B346" s="3" t="inlineStr">
        <is>
          <t>2021-06-30</t>
        </is>
      </c>
      <c r="C346" s="3" t="n">
        <v>576.9</v>
      </c>
      <c r="D346" s="3" t="inlineStr">
        <is>
          <t>2021-09-30</t>
        </is>
      </c>
      <c r="E346" s="3" t="n">
        <v>562.7</v>
      </c>
      <c r="F346" s="3" t="n">
        <v>-2.46</v>
      </c>
    </row>
    <row r="347">
      <c r="A347" s="3" t="inlineStr">
        <is>
          <t>Andhra Sugars Ltd.</t>
        </is>
      </c>
      <c r="B347" s="3" t="inlineStr">
        <is>
          <t>2021-06-30</t>
        </is>
      </c>
      <c r="C347" s="3" t="n">
        <v>118.32</v>
      </c>
      <c r="D347" s="3" t="inlineStr">
        <is>
          <t>2021-09-30</t>
        </is>
      </c>
      <c r="E347" s="3" t="n">
        <v>123.6</v>
      </c>
      <c r="F347" s="3" t="n">
        <v>4.46</v>
      </c>
    </row>
    <row r="348">
      <c r="A348" s="3" t="inlineStr">
        <is>
          <t>BF Utilities Ltd.</t>
        </is>
      </c>
      <c r="B348" s="3" t="inlineStr">
        <is>
          <t>2021-06-30</t>
        </is>
      </c>
      <c r="C348" s="3" t="n">
        <v>477</v>
      </c>
      <c r="D348" s="3" t="inlineStr">
        <is>
          <t>2021-09-30</t>
        </is>
      </c>
      <c r="E348" s="3" t="n">
        <v>433.75</v>
      </c>
      <c r="F348" s="3" t="n">
        <v>-9.07</v>
      </c>
    </row>
    <row r="349">
      <c r="A349" s="3" t="inlineStr">
        <is>
          <t>Bharat Rasayan Ltd.</t>
        </is>
      </c>
      <c r="B349" s="3" t="inlineStr">
        <is>
          <t>2021-06-30</t>
        </is>
      </c>
      <c r="C349" s="3" t="n">
        <v>3687.5</v>
      </c>
      <c r="D349" s="3" t="inlineStr">
        <is>
          <t>2021-09-30</t>
        </is>
      </c>
      <c r="E349" s="3" t="n">
        <v>3028.03</v>
      </c>
      <c r="F349" s="3" t="n">
        <v>-17.88</v>
      </c>
    </row>
    <row r="350">
      <c r="A350" s="3" t="inlineStr">
        <is>
          <t>Bhartiya Internation..</t>
        </is>
      </c>
      <c r="B350" s="3" t="inlineStr">
        <is>
          <t>2021-06-30</t>
        </is>
      </c>
      <c r="C350" s="3" t="n">
        <v>250.5</v>
      </c>
      <c r="D350" s="3" t="inlineStr">
        <is>
          <t>2021-09-30</t>
        </is>
      </c>
      <c r="E350" s="3" t="n">
        <v>223</v>
      </c>
      <c r="F350" s="3" t="n">
        <v>-10.98</v>
      </c>
    </row>
    <row r="351">
      <c r="A351" s="3" t="inlineStr">
        <is>
          <t>Emami Realty Ltd.</t>
        </is>
      </c>
      <c r="B351" s="3" t="inlineStr">
        <is>
          <t>2021-06-30</t>
        </is>
      </c>
      <c r="C351" s="3" t="n">
        <v>64.65000000000001</v>
      </c>
      <c r="D351" s="3" t="inlineStr">
        <is>
          <t>2021-09-30</t>
        </is>
      </c>
      <c r="E351" s="3" t="n">
        <v>73</v>
      </c>
      <c r="F351" s="3" t="n">
        <v>12.92</v>
      </c>
    </row>
    <row r="352">
      <c r="A352" s="3" t="inlineStr">
        <is>
          <t>Finolex Cables Ltd.</t>
        </is>
      </c>
      <c r="B352" s="3" t="inlineStr">
        <is>
          <t>2021-06-30</t>
        </is>
      </c>
      <c r="C352" s="3" t="n">
        <v>519.8</v>
      </c>
      <c r="D352" s="3" t="inlineStr">
        <is>
          <t>2021-09-30</t>
        </is>
      </c>
      <c r="E352" s="3" t="n">
        <v>487.1</v>
      </c>
      <c r="F352" s="3" t="n">
        <v>-6.29</v>
      </c>
    </row>
    <row r="353">
      <c r="A353" s="3" t="inlineStr">
        <is>
          <t>Gandhi Special Tubes..</t>
        </is>
      </c>
      <c r="B353" s="3" t="inlineStr">
        <is>
          <t>2021-06-30</t>
        </is>
      </c>
      <c r="C353" s="3" t="n">
        <v>423.45</v>
      </c>
      <c r="D353" s="3" t="inlineStr">
        <is>
          <t>2021-09-30</t>
        </is>
      </c>
      <c r="E353" s="3" t="n">
        <v>452.95</v>
      </c>
      <c r="F353" s="3" t="n">
        <v>6.97</v>
      </c>
    </row>
    <row r="354">
      <c r="A354" s="3" t="inlineStr">
        <is>
          <t>GIC Housing Finance ..</t>
        </is>
      </c>
      <c r="B354" s="3" t="inlineStr">
        <is>
          <t>2021-06-30</t>
        </is>
      </c>
      <c r="C354" s="3" t="n">
        <v>181.45</v>
      </c>
      <c r="D354" s="3" t="inlineStr">
        <is>
          <t>2021-09-30</t>
        </is>
      </c>
      <c r="E354" s="3" t="n">
        <v>151.1</v>
      </c>
      <c r="F354" s="3" t="n">
        <v>-16.73</v>
      </c>
    </row>
    <row r="355">
      <c r="A355" s="3" t="inlineStr">
        <is>
          <t>G M Breweries Ltd.</t>
        </is>
      </c>
      <c r="B355" s="3" t="inlineStr">
        <is>
          <t>2021-06-30</t>
        </is>
      </c>
      <c r="C355" s="3" t="n">
        <v>476.2</v>
      </c>
      <c r="D355" s="3" t="inlineStr">
        <is>
          <t>2021-09-30</t>
        </is>
      </c>
      <c r="E355" s="3" t="n">
        <v>490.44</v>
      </c>
      <c r="F355" s="3" t="n">
        <v>2.99</v>
      </c>
    </row>
    <row r="356">
      <c r="A356" s="3" t="inlineStr">
        <is>
          <t>GOCL Corporation Ltd.</t>
        </is>
      </c>
      <c r="B356" s="3" t="inlineStr">
        <is>
          <t>2021-06-30</t>
        </is>
      </c>
      <c r="C356" s="3" t="n">
        <v>273.25</v>
      </c>
      <c r="D356" s="3" t="inlineStr">
        <is>
          <t>2021-09-30</t>
        </is>
      </c>
      <c r="E356" s="3" t="n">
        <v>266.2</v>
      </c>
      <c r="F356" s="3" t="n">
        <v>-2.58</v>
      </c>
    </row>
    <row r="357">
      <c r="A357" s="3" t="inlineStr">
        <is>
          <t>Hercules Investments..</t>
        </is>
      </c>
      <c r="B357" s="3" t="inlineStr">
        <is>
          <t>2021-06-30</t>
        </is>
      </c>
      <c r="C357" s="3" t="n">
        <v>154.55</v>
      </c>
      <c r="D357" s="3" t="inlineStr">
        <is>
          <t>2021-09-30</t>
        </is>
      </c>
      <c r="E357" s="3" t="n">
        <v>140.85</v>
      </c>
      <c r="F357" s="3" t="n">
        <v>-8.859999999999999</v>
      </c>
    </row>
    <row r="358">
      <c r="A358" s="3" t="inlineStr">
        <is>
          <t>Honda India Power Pr..</t>
        </is>
      </c>
      <c r="B358" s="3" t="inlineStr">
        <is>
          <t>2021-06-30</t>
        </is>
      </c>
      <c r="C358" s="3" t="n">
        <v>1223.6</v>
      </c>
      <c r="D358" s="3" t="inlineStr">
        <is>
          <t>2021-09-30</t>
        </is>
      </c>
      <c r="E358" s="3" t="n">
        <v>1258.5</v>
      </c>
      <c r="F358" s="3" t="n">
        <v>2.85</v>
      </c>
    </row>
    <row r="359">
      <c r="A359" s="3" t="inlineStr">
        <is>
          <t>Sammaan Capital Ltd.</t>
        </is>
      </c>
      <c r="B359" s="3" t="inlineStr">
        <is>
          <t>2021-06-30</t>
        </is>
      </c>
      <c r="C359" s="3" t="n">
        <v>232.03</v>
      </c>
      <c r="D359" s="3" t="inlineStr">
        <is>
          <t>2021-09-30</t>
        </is>
      </c>
      <c r="E359" s="3" t="n">
        <v>206.8</v>
      </c>
      <c r="F359" s="3" t="n">
        <v>-10.87</v>
      </c>
    </row>
    <row r="360">
      <c r="A360" s="3" t="inlineStr">
        <is>
          <t>Insecticides (India)..</t>
        </is>
      </c>
      <c r="B360" s="3" t="inlineStr">
        <is>
          <t>2021-06-30</t>
        </is>
      </c>
      <c r="C360" s="3" t="n">
        <v>492.67</v>
      </c>
      <c r="D360" s="3" t="inlineStr">
        <is>
          <t>2021-09-30</t>
        </is>
      </c>
      <c r="E360" s="3" t="n">
        <v>457.4</v>
      </c>
      <c r="F360" s="3" t="n">
        <v>-7.16</v>
      </c>
    </row>
    <row r="361">
      <c r="A361" s="3" t="inlineStr">
        <is>
          <t>Jai Corp Ltd.</t>
        </is>
      </c>
      <c r="B361" s="3" t="inlineStr">
        <is>
          <t>2021-06-30</t>
        </is>
      </c>
      <c r="C361" s="3" t="n">
        <v>153.8</v>
      </c>
      <c r="D361" s="3" t="inlineStr">
        <is>
          <t>2021-09-30</t>
        </is>
      </c>
      <c r="E361" s="3" t="n">
        <v>130.15</v>
      </c>
      <c r="F361" s="3" t="n">
        <v>-15.38</v>
      </c>
    </row>
    <row r="362">
      <c r="A362" s="3" t="inlineStr">
        <is>
          <t>Jindal Saw Ltd.</t>
        </is>
      </c>
      <c r="B362" s="3" t="inlineStr">
        <is>
          <t>2021-06-30</t>
        </is>
      </c>
      <c r="C362" s="3" t="n">
        <v>58.25</v>
      </c>
      <c r="D362" s="3" t="inlineStr">
        <is>
          <t>2021-09-30</t>
        </is>
      </c>
      <c r="E362" s="3" t="n">
        <v>56.9</v>
      </c>
      <c r="F362" s="3" t="n">
        <v>-2.32</v>
      </c>
    </row>
    <row r="363">
      <c r="A363" s="3" t="inlineStr">
        <is>
          <t>JK Lakshmi Cement Ltd.</t>
        </is>
      </c>
      <c r="B363" s="3" t="inlineStr">
        <is>
          <t>2021-06-30</t>
        </is>
      </c>
      <c r="C363" s="3" t="n">
        <v>577.45</v>
      </c>
      <c r="D363" s="3" t="inlineStr">
        <is>
          <t>2021-09-30</t>
        </is>
      </c>
      <c r="E363" s="3" t="n">
        <v>617.9</v>
      </c>
      <c r="F363" s="3" t="n">
        <v>7</v>
      </c>
    </row>
    <row r="364">
      <c r="A364" s="3" t="inlineStr">
        <is>
          <t>LG Balakrishnan &amp; Br..</t>
        </is>
      </c>
      <c r="B364" s="3" t="inlineStr">
        <is>
          <t>2021-06-30</t>
        </is>
      </c>
      <c r="C364" s="3" t="n">
        <v>447.3</v>
      </c>
      <c r="D364" s="3" t="inlineStr">
        <is>
          <t>2021-09-30</t>
        </is>
      </c>
      <c r="E364" s="3" t="n">
        <v>448.8</v>
      </c>
      <c r="F364" s="3" t="n">
        <v>0.34</v>
      </c>
    </row>
    <row r="365">
      <c r="A365" s="3" t="inlineStr">
        <is>
          <t>Piramal Enterprises ..</t>
        </is>
      </c>
      <c r="B365" s="3" t="inlineStr">
        <is>
          <t>2021-06-30</t>
        </is>
      </c>
      <c r="C365" s="3" t="n">
        <v>2398.25</v>
      </c>
      <c r="D365" s="3" t="inlineStr">
        <is>
          <t>2021-09-30</t>
        </is>
      </c>
      <c r="E365" s="3" t="n">
        <v>2595.8</v>
      </c>
      <c r="F365" s="3" t="n">
        <v>8.24</v>
      </c>
    </row>
    <row r="366">
      <c r="A366" s="3" t="inlineStr">
        <is>
          <t>Prime Securities Ltd.</t>
        </is>
      </c>
      <c r="B366" s="3" t="inlineStr">
        <is>
          <t>2021-06-30</t>
        </is>
      </c>
      <c r="C366" s="3" t="n">
        <v>62.3</v>
      </c>
      <c r="D366" s="3" t="inlineStr">
        <is>
          <t>2021-09-30</t>
        </is>
      </c>
      <c r="E366" s="3" t="n">
        <v>82.8</v>
      </c>
      <c r="F366" s="3" t="n">
        <v>32.91</v>
      </c>
    </row>
    <row r="367">
      <c r="A367" s="3" t="inlineStr">
        <is>
          <t>PTL Enterprises Ltd.</t>
        </is>
      </c>
      <c r="B367" s="3" t="inlineStr">
        <is>
          <t>2021-06-30</t>
        </is>
      </c>
      <c r="C367" s="3" t="n">
        <v>28.23</v>
      </c>
      <c r="D367" s="3" t="inlineStr">
        <is>
          <t>2021-09-30</t>
        </is>
      </c>
      <c r="E367" s="3" t="n">
        <v>23.6</v>
      </c>
      <c r="F367" s="3" t="n">
        <v>-16.4</v>
      </c>
    </row>
    <row r="368">
      <c r="A368" s="3" t="inlineStr">
        <is>
          <t>Radico Khaitan Ltd.</t>
        </is>
      </c>
      <c r="B368" s="3" t="inlineStr">
        <is>
          <t>2021-06-30</t>
        </is>
      </c>
      <c r="C368" s="3" t="n">
        <v>759.1</v>
      </c>
      <c r="D368" s="3" t="inlineStr">
        <is>
          <t>2021-09-30</t>
        </is>
      </c>
      <c r="E368" s="3" t="n">
        <v>881</v>
      </c>
      <c r="F368" s="3" t="n">
        <v>16.06</v>
      </c>
    </row>
    <row r="369">
      <c r="A369" s="3" t="inlineStr">
        <is>
          <t>GP Petroleums Ltd.</t>
        </is>
      </c>
      <c r="B369" s="3" t="inlineStr">
        <is>
          <t>2021-06-30</t>
        </is>
      </c>
      <c r="C369" s="3" t="n">
        <v>63.25</v>
      </c>
      <c r="D369" s="3" t="inlineStr">
        <is>
          <t>2021-09-30</t>
        </is>
      </c>
      <c r="E369" s="3" t="n">
        <v>55.1</v>
      </c>
      <c r="F369" s="3" t="n">
        <v>-12.89</v>
      </c>
    </row>
    <row r="370">
      <c r="A370" s="3" t="inlineStr">
        <is>
          <t>Seshasayee Paper &amp; B..</t>
        </is>
      </c>
      <c r="B370" s="3" t="inlineStr">
        <is>
          <t>2021-06-30</t>
        </is>
      </c>
      <c r="C370" s="3" t="n">
        <v>198.6</v>
      </c>
      <c r="D370" s="3" t="inlineStr">
        <is>
          <t>2021-09-30</t>
        </is>
      </c>
      <c r="E370" s="3" t="n">
        <v>184.7</v>
      </c>
      <c r="F370" s="3" t="n">
        <v>-7</v>
      </c>
    </row>
    <row r="371">
      <c r="A371" s="3" t="inlineStr">
        <is>
          <t>SIL Investments Ltd.</t>
        </is>
      </c>
      <c r="B371" s="3" t="inlineStr">
        <is>
          <t>2021-06-30</t>
        </is>
      </c>
      <c r="C371" s="3" t="n">
        <v>280.4</v>
      </c>
      <c r="D371" s="3" t="inlineStr">
        <is>
          <t>2021-09-30</t>
        </is>
      </c>
      <c r="E371" s="3" t="n">
        <v>316.45</v>
      </c>
      <c r="F371" s="3" t="n">
        <v>12.86</v>
      </c>
    </row>
    <row r="372">
      <c r="A372" s="3" t="inlineStr">
        <is>
          <t>Siyaram Silk Mills L..</t>
        </is>
      </c>
      <c r="B372" s="3" t="inlineStr">
        <is>
          <t>2021-06-30</t>
        </is>
      </c>
      <c r="C372" s="3" t="n">
        <v>306.45</v>
      </c>
      <c r="D372" s="3" t="inlineStr">
        <is>
          <t>2021-09-30</t>
        </is>
      </c>
      <c r="E372" s="3" t="n">
        <v>370.85</v>
      </c>
      <c r="F372" s="3" t="n">
        <v>21.01</v>
      </c>
    </row>
    <row r="373">
      <c r="A373" s="3" t="inlineStr">
        <is>
          <t>Smartlink Holdings L..</t>
        </is>
      </c>
      <c r="B373" s="3" t="inlineStr">
        <is>
          <t>2021-06-30</t>
        </is>
      </c>
      <c r="C373" s="3" t="n">
        <v>113.1</v>
      </c>
      <c r="D373" s="3" t="inlineStr">
        <is>
          <t>2021-09-30</t>
        </is>
      </c>
      <c r="E373" s="3" t="n">
        <v>118.1</v>
      </c>
      <c r="F373" s="3" t="n">
        <v>4.42</v>
      </c>
    </row>
    <row r="374">
      <c r="A374" s="3" t="inlineStr">
        <is>
          <t>Savita Oil Technolog..</t>
        </is>
      </c>
      <c r="B374" s="3" t="inlineStr">
        <is>
          <t>2021-06-30</t>
        </is>
      </c>
      <c r="C374" s="3" t="n">
        <v>283.41</v>
      </c>
      <c r="D374" s="3" t="inlineStr">
        <is>
          <t>2021-09-30</t>
        </is>
      </c>
      <c r="E374" s="3" t="n">
        <v>304.25</v>
      </c>
      <c r="F374" s="3" t="n">
        <v>7.35</v>
      </c>
    </row>
    <row r="375">
      <c r="A375" s="3" t="inlineStr">
        <is>
          <t>Sreeleathers Ltd.</t>
        </is>
      </c>
      <c r="B375" s="3" t="inlineStr">
        <is>
          <t>2021-06-30</t>
        </is>
      </c>
      <c r="C375" s="3" t="n">
        <v>207.35</v>
      </c>
      <c r="D375" s="3" t="inlineStr">
        <is>
          <t>2021-09-30</t>
        </is>
      </c>
      <c r="E375" s="3" t="n">
        <v>184.95</v>
      </c>
      <c r="F375" s="3" t="n">
        <v>-10.8</v>
      </c>
    </row>
    <row r="376">
      <c r="A376" s="3" t="inlineStr">
        <is>
          <t>Summit Securities Ltd.</t>
        </is>
      </c>
      <c r="B376" s="3" t="inlineStr">
        <is>
          <t>2021-06-30</t>
        </is>
      </c>
      <c r="C376" s="3" t="n">
        <v>671.15</v>
      </c>
      <c r="D376" s="3" t="inlineStr">
        <is>
          <t>2021-09-30</t>
        </is>
      </c>
      <c r="E376" s="3" t="n">
        <v>774.95</v>
      </c>
      <c r="F376" s="3" t="n">
        <v>15.47</v>
      </c>
    </row>
    <row r="377">
      <c r="A377" s="3" t="inlineStr">
        <is>
          <t>Sundaram Brake Linin..</t>
        </is>
      </c>
      <c r="B377" s="3" t="inlineStr">
        <is>
          <t>2021-06-30</t>
        </is>
      </c>
      <c r="C377" s="3" t="n">
        <v>432</v>
      </c>
      <c r="D377" s="3" t="inlineStr">
        <is>
          <t>2021-09-30</t>
        </is>
      </c>
      <c r="E377" s="3" t="n">
        <v>398.65</v>
      </c>
      <c r="F377" s="3" t="n">
        <v>-7.72</v>
      </c>
    </row>
    <row r="378">
      <c r="A378" s="3" t="inlineStr">
        <is>
          <t>Technocraft Industri..</t>
        </is>
      </c>
      <c r="B378" s="3" t="inlineStr">
        <is>
          <t>2021-06-30</t>
        </is>
      </c>
      <c r="C378" s="3" t="n">
        <v>521.05</v>
      </c>
      <c r="D378" s="3" t="inlineStr">
        <is>
          <t>2021-09-30</t>
        </is>
      </c>
      <c r="E378" s="3" t="n">
        <v>811.3</v>
      </c>
      <c r="F378" s="3" t="n">
        <v>55.7</v>
      </c>
    </row>
    <row r="379">
      <c r="A379" s="3" t="inlineStr">
        <is>
          <t>Delphi World Money L..</t>
        </is>
      </c>
      <c r="B379" s="3" t="inlineStr">
        <is>
          <t>2021-06-30</t>
        </is>
      </c>
      <c r="C379" s="3" t="n">
        <v>43.07</v>
      </c>
      <c r="D379" s="3" t="inlineStr">
        <is>
          <t>2021-09-30</t>
        </is>
      </c>
      <c r="E379" s="3" t="n">
        <v>40.94</v>
      </c>
      <c r="F379" s="3" t="n">
        <v>-4.95</v>
      </c>
    </row>
    <row r="380">
      <c r="A380" s="3" t="inlineStr">
        <is>
          <t>Zen Technologies Ltd.</t>
        </is>
      </c>
      <c r="B380" s="3" t="inlineStr">
        <is>
          <t>2021-06-30</t>
        </is>
      </c>
      <c r="C380" s="3" t="n">
        <v>90.90000000000001</v>
      </c>
      <c r="D380" s="3" t="inlineStr">
        <is>
          <t>2021-09-30</t>
        </is>
      </c>
      <c r="E380" s="3" t="n">
        <v>205.2</v>
      </c>
      <c r="F380" s="3" t="n">
        <v>125.74</v>
      </c>
    </row>
    <row r="381">
      <c r="A381" s="3" t="inlineStr">
        <is>
          <t>Lincoln Pharmaceutic..</t>
        </is>
      </c>
      <c r="B381" s="3" t="inlineStr">
        <is>
          <t>2021-06-30</t>
        </is>
      </c>
      <c r="C381" s="3" t="n">
        <v>351.4</v>
      </c>
      <c r="D381" s="3" t="inlineStr">
        <is>
          <t>2021-09-30</t>
        </is>
      </c>
      <c r="E381" s="3" t="n">
        <v>411.25</v>
      </c>
      <c r="F381" s="3" t="n">
        <v>17.03</v>
      </c>
    </row>
    <row r="382">
      <c r="A382" s="3" t="inlineStr">
        <is>
          <t>Bhageria Industries ..</t>
        </is>
      </c>
      <c r="B382" s="3" t="inlineStr">
        <is>
          <t>2021-06-30</t>
        </is>
      </c>
      <c r="C382" s="3" t="n">
        <v>259.2</v>
      </c>
      <c r="D382" s="3" t="inlineStr">
        <is>
          <t>2021-09-30</t>
        </is>
      </c>
      <c r="E382" s="3" t="n">
        <v>270.5</v>
      </c>
      <c r="F382" s="3" t="n">
        <v>4.36</v>
      </c>
    </row>
    <row r="383">
      <c r="A383" s="3" t="inlineStr">
        <is>
          <t>Disa India Ltd.</t>
        </is>
      </c>
      <c r="B383" s="3" t="inlineStr">
        <is>
          <t>2021-06-30</t>
        </is>
      </c>
      <c r="C383" s="3" t="n">
        <v>5429.9</v>
      </c>
      <c r="D383" s="3" t="inlineStr">
        <is>
          <t>2021-09-30</t>
        </is>
      </c>
      <c r="E383" s="3" t="n">
        <v>5583.5</v>
      </c>
      <c r="F383" s="3" t="n">
        <v>2.83</v>
      </c>
    </row>
    <row r="384">
      <c r="A384" s="3" t="inlineStr">
        <is>
          <t>Majestic Auto Ltd.</t>
        </is>
      </c>
      <c r="B384" s="3" t="inlineStr">
        <is>
          <t>2021-06-30</t>
        </is>
      </c>
      <c r="C384" s="3" t="n">
        <v>138</v>
      </c>
      <c r="D384" s="3" t="inlineStr">
        <is>
          <t>2021-09-30</t>
        </is>
      </c>
      <c r="E384" s="3" t="n">
        <v>120.1</v>
      </c>
      <c r="F384" s="3" t="n">
        <v>-12.97</v>
      </c>
    </row>
    <row r="385">
      <c r="A385" s="3" t="inlineStr">
        <is>
          <t>Gujarat Themis Biosy..</t>
        </is>
      </c>
      <c r="B385" s="3" t="inlineStr">
        <is>
          <t>2021-06-30</t>
        </is>
      </c>
      <c r="C385" s="3" t="n">
        <v>42.46</v>
      </c>
      <c r="D385" s="3" t="inlineStr">
        <is>
          <t>2021-09-30</t>
        </is>
      </c>
      <c r="E385" s="3" t="n">
        <v>81.97</v>
      </c>
      <c r="F385" s="3" t="n">
        <v>93.05</v>
      </c>
    </row>
    <row r="386">
      <c r="A386" s="3" t="inlineStr">
        <is>
          <t>Steel Cast Ltd.</t>
        </is>
      </c>
      <c r="B386" s="3" t="inlineStr">
        <is>
          <t>2021-06-30</t>
        </is>
      </c>
      <c r="C386" s="3" t="n">
        <v>35.82</v>
      </c>
      <c r="D386" s="3" t="inlineStr">
        <is>
          <t>2021-09-30</t>
        </is>
      </c>
      <c r="E386" s="3" t="n">
        <v>50.55</v>
      </c>
      <c r="F386" s="3" t="n">
        <v>41.12</v>
      </c>
    </row>
    <row r="387">
      <c r="A387" s="3" t="inlineStr">
        <is>
          <t>Ram Ratna Wires Ltd.</t>
        </is>
      </c>
      <c r="B387" s="3" t="inlineStr">
        <is>
          <t>2021-06-30</t>
        </is>
      </c>
      <c r="C387" s="3" t="n">
        <v>33.05</v>
      </c>
      <c r="D387" s="3" t="inlineStr">
        <is>
          <t>2021-09-30</t>
        </is>
      </c>
      <c r="E387" s="3" t="n">
        <v>33.38</v>
      </c>
      <c r="F387" s="3" t="n">
        <v>1</v>
      </c>
    </row>
    <row r="388">
      <c r="A388" s="3" t="inlineStr">
        <is>
          <t>Sinclairs Hotels Ltd.</t>
        </is>
      </c>
      <c r="B388" s="3" t="inlineStr">
        <is>
          <t>2021-06-30</t>
        </is>
      </c>
      <c r="C388" s="3" t="n">
        <v>36.95</v>
      </c>
      <c r="D388" s="3" t="inlineStr">
        <is>
          <t>2021-09-30</t>
        </is>
      </c>
      <c r="E388" s="3" t="n">
        <v>38.75</v>
      </c>
      <c r="F388" s="3" t="n">
        <v>4.87</v>
      </c>
    </row>
    <row r="389">
      <c r="A389" s="3" t="inlineStr">
        <is>
          <t>Sukhjit Starch &amp; Che..</t>
        </is>
      </c>
      <c r="B389" s="3" t="inlineStr">
        <is>
          <t>2021-06-30</t>
        </is>
      </c>
      <c r="C389" s="3" t="n">
        <v>136.93</v>
      </c>
      <c r="D389" s="3" t="inlineStr">
        <is>
          <t>2021-09-30</t>
        </is>
      </c>
      <c r="E389" s="3" t="n">
        <v>141.25</v>
      </c>
      <c r="F389" s="3" t="n">
        <v>3.15</v>
      </c>
    </row>
    <row r="390">
      <c r="A390" s="3" t="inlineStr">
        <is>
          <t>CSL Finance Ltd.</t>
        </is>
      </c>
      <c r="B390" s="3" t="inlineStr">
        <is>
          <t>2021-06-30</t>
        </is>
      </c>
      <c r="C390" s="3" t="n">
        <v>120.5</v>
      </c>
      <c r="D390" s="3" t="inlineStr">
        <is>
          <t>2021-09-30</t>
        </is>
      </c>
      <c r="E390" s="3" t="n">
        <v>112.85</v>
      </c>
      <c r="F390" s="3" t="n">
        <v>-6.35</v>
      </c>
    </row>
    <row r="391">
      <c r="A391" s="3" t="inlineStr">
        <is>
          <t>DHP India Ltd.</t>
        </is>
      </c>
      <c r="B391" s="3" t="inlineStr">
        <is>
          <t>2021-06-30</t>
        </is>
      </c>
      <c r="C391" s="3" t="n">
        <v>539.35</v>
      </c>
      <c r="D391" s="3" t="inlineStr">
        <is>
          <t>2021-09-30</t>
        </is>
      </c>
      <c r="E391" s="3" t="n">
        <v>618.8</v>
      </c>
      <c r="F391" s="3" t="n">
        <v>14.73</v>
      </c>
    </row>
    <row r="392">
      <c r="A392" s="3" t="inlineStr">
        <is>
          <t>BLS International Se..</t>
        </is>
      </c>
      <c r="B392" s="3" t="inlineStr">
        <is>
          <t>2021-06-30</t>
        </is>
      </c>
      <c r="C392" s="3" t="n">
        <v>32.28</v>
      </c>
      <c r="D392" s="3" t="inlineStr">
        <is>
          <t>2021-09-30</t>
        </is>
      </c>
      <c r="E392" s="3" t="n">
        <v>65.8</v>
      </c>
      <c r="F392" s="3" t="n">
        <v>103.84</v>
      </c>
    </row>
    <row r="393">
      <c r="A393" s="3" t="inlineStr">
        <is>
          <t>TCI Express Ltd.</t>
        </is>
      </c>
      <c r="B393" s="3" t="inlineStr">
        <is>
          <t>2021-06-30</t>
        </is>
      </c>
      <c r="C393" s="3" t="n">
        <v>1439.05</v>
      </c>
      <c r="D393" s="3" t="inlineStr">
        <is>
          <t>2021-09-30</t>
        </is>
      </c>
      <c r="E393" s="3" t="n">
        <v>1543.4</v>
      </c>
      <c r="F393" s="3" t="n">
        <v>7.25</v>
      </c>
    </row>
    <row r="394">
      <c r="A394" s="3" t="inlineStr">
        <is>
          <t>Godrej Agrovet Ltd.</t>
        </is>
      </c>
      <c r="B394" s="3" t="inlineStr">
        <is>
          <t>2021-06-30</t>
        </is>
      </c>
      <c r="C394" s="3" t="n">
        <v>634.15</v>
      </c>
      <c r="D394" s="3" t="inlineStr">
        <is>
          <t>2021-09-30</t>
        </is>
      </c>
      <c r="E394" s="3" t="n">
        <v>640</v>
      </c>
      <c r="F394" s="3" t="n">
        <v>0.92</v>
      </c>
    </row>
    <row r="395">
      <c r="A395" s="3" t="inlineStr">
        <is>
          <t>The Indian Wood Prod..</t>
        </is>
      </c>
      <c r="B395" s="3" t="inlineStr">
        <is>
          <t>2021-06-30</t>
        </is>
      </c>
      <c r="C395" s="3" t="n">
        <v>47</v>
      </c>
      <c r="D395" s="3" t="inlineStr">
        <is>
          <t>2021-09-30</t>
        </is>
      </c>
      <c r="E395" s="3" t="n">
        <v>36.25</v>
      </c>
      <c r="F395" s="3" t="n">
        <v>-22.87</v>
      </c>
    </row>
    <row r="396">
      <c r="A396" s="3" t="inlineStr">
        <is>
          <t>SPR Auto Technologie..</t>
        </is>
      </c>
      <c r="B396" s="3" t="inlineStr">
        <is>
          <t>2021-06-30</t>
        </is>
      </c>
      <c r="C396" s="3" t="n">
        <v>468</v>
      </c>
      <c r="D396" s="3" t="inlineStr">
        <is>
          <t>2021-09-30</t>
        </is>
      </c>
      <c r="E396" s="3" t="n">
        <v>476.5</v>
      </c>
      <c r="F396" s="3" t="n">
        <v>1.82</v>
      </c>
    </row>
    <row r="397">
      <c r="A397" s="3" t="inlineStr">
        <is>
          <t>Polycab India Ltd.</t>
        </is>
      </c>
      <c r="B397" s="3" t="inlineStr">
        <is>
          <t>2021-06-30</t>
        </is>
      </c>
      <c r="C397" s="3" t="n">
        <v>1975.05</v>
      </c>
      <c r="D397" s="3" t="inlineStr">
        <is>
          <t>2021-09-30</t>
        </is>
      </c>
      <c r="E397" s="3" t="n">
        <v>2389</v>
      </c>
      <c r="F397" s="3" t="n">
        <v>20.96</v>
      </c>
    </row>
    <row r="398">
      <c r="A398" s="3" t="inlineStr">
        <is>
          <t>IRB Infrastructure D..</t>
        </is>
      </c>
      <c r="B398" s="3" t="inlineStr">
        <is>
          <t>2021-06-30</t>
        </is>
      </c>
      <c r="C398" s="3" t="n">
        <v>8.1</v>
      </c>
      <c r="D398" s="3" t="inlineStr">
        <is>
          <t>2021-12-31</t>
        </is>
      </c>
      <c r="E398" s="3" t="n">
        <v>11.35</v>
      </c>
      <c r="F398" s="3" t="n">
        <v>40.12</v>
      </c>
    </row>
    <row r="399">
      <c r="A399" s="3" t="inlineStr">
        <is>
          <t>Gujarat Alkalies &amp; C..</t>
        </is>
      </c>
      <c r="B399" s="3" t="inlineStr">
        <is>
          <t>2021-09-30</t>
        </is>
      </c>
      <c r="C399" s="3" t="n">
        <v>672.75</v>
      </c>
      <c r="D399" s="3" t="inlineStr">
        <is>
          <t>2021-12-31</t>
        </is>
      </c>
      <c r="E399" s="3" t="n">
        <v>650.15</v>
      </c>
      <c r="F399" s="3" t="n">
        <v>-3.36</v>
      </c>
    </row>
    <row r="400">
      <c r="A400" s="3" t="inlineStr">
        <is>
          <t>RPG Life Sciences Ltd.</t>
        </is>
      </c>
      <c r="B400" s="3" t="inlineStr">
        <is>
          <t>2021-09-30</t>
        </is>
      </c>
      <c r="C400" s="3" t="n">
        <v>686.15</v>
      </c>
      <c r="D400" s="3" t="inlineStr">
        <is>
          <t>2021-12-31</t>
        </is>
      </c>
      <c r="E400" s="3" t="n">
        <v>618.3</v>
      </c>
      <c r="F400" s="3" t="n">
        <v>-9.890000000000001</v>
      </c>
    </row>
    <row r="401">
      <c r="A401" s="3" t="inlineStr">
        <is>
          <t>Godfrey Phillips Ind..</t>
        </is>
      </c>
      <c r="B401" s="3" t="inlineStr">
        <is>
          <t>2021-09-30</t>
        </is>
      </c>
      <c r="C401" s="3" t="n">
        <v>396.33</v>
      </c>
      <c r="D401" s="3" t="inlineStr">
        <is>
          <t>2021-12-31</t>
        </is>
      </c>
      <c r="E401" s="3" t="n">
        <v>375.33</v>
      </c>
      <c r="F401" s="3" t="n">
        <v>-5.3</v>
      </c>
    </row>
    <row r="402">
      <c r="A402" s="3" t="inlineStr">
        <is>
          <t>Shree Pushkar Chemic..</t>
        </is>
      </c>
      <c r="B402" s="3" t="inlineStr">
        <is>
          <t>2021-09-30</t>
        </is>
      </c>
      <c r="C402" s="3" t="n">
        <v>222.7</v>
      </c>
      <c r="D402" s="3" t="inlineStr">
        <is>
          <t>2021-12-31</t>
        </is>
      </c>
      <c r="E402" s="3" t="n">
        <v>212.1</v>
      </c>
      <c r="F402" s="3" t="n">
        <v>-4.76</v>
      </c>
    </row>
    <row r="403">
      <c r="A403" s="3" t="inlineStr">
        <is>
          <t>Coal India Ltd.</t>
        </is>
      </c>
      <c r="B403" s="3" t="inlineStr">
        <is>
          <t>2021-09-30</t>
        </is>
      </c>
      <c r="C403" s="3" t="n">
        <v>185.1</v>
      </c>
      <c r="D403" s="3" t="inlineStr">
        <is>
          <t>2021-12-31</t>
        </is>
      </c>
      <c r="E403" s="3" t="n">
        <v>146.05</v>
      </c>
      <c r="F403" s="3" t="n">
        <v>-21.1</v>
      </c>
    </row>
    <row r="404">
      <c r="A404" s="3" t="inlineStr">
        <is>
          <t>Finolex Industries L..</t>
        </is>
      </c>
      <c r="B404" s="3" t="inlineStr">
        <is>
          <t>2021-09-30</t>
        </is>
      </c>
      <c r="C404" s="3" t="n">
        <v>208.8</v>
      </c>
      <c r="D404" s="3" t="inlineStr">
        <is>
          <t>2021-12-31</t>
        </is>
      </c>
      <c r="E404" s="3" t="n">
        <v>207</v>
      </c>
      <c r="F404" s="3" t="n">
        <v>-0.86</v>
      </c>
    </row>
    <row r="405">
      <c r="A405" s="3" t="inlineStr">
        <is>
          <t>Gujarat Narmada Vall..</t>
        </is>
      </c>
      <c r="B405" s="3" t="inlineStr">
        <is>
          <t>2021-09-30</t>
        </is>
      </c>
      <c r="C405" s="3" t="n">
        <v>434.25</v>
      </c>
      <c r="D405" s="3" t="inlineStr">
        <is>
          <t>2021-12-31</t>
        </is>
      </c>
      <c r="E405" s="3" t="n">
        <v>440.65</v>
      </c>
      <c r="F405" s="3" t="n">
        <v>1.47</v>
      </c>
    </row>
    <row r="406">
      <c r="A406" s="3" t="inlineStr">
        <is>
          <t>Gujarat State Fertil..</t>
        </is>
      </c>
      <c r="B406" s="3" t="inlineStr">
        <is>
          <t>2021-09-30</t>
        </is>
      </c>
      <c r="C406" s="3" t="n">
        <v>129.25</v>
      </c>
      <c r="D406" s="3" t="inlineStr">
        <is>
          <t>2021-12-31</t>
        </is>
      </c>
      <c r="E406" s="3" t="n">
        <v>121.5</v>
      </c>
      <c r="F406" s="3" t="n">
        <v>-6</v>
      </c>
    </row>
    <row r="407">
      <c r="A407" s="3" t="inlineStr">
        <is>
          <t>United Spirits Ltd.</t>
        </is>
      </c>
      <c r="B407" s="3" t="inlineStr">
        <is>
          <t>2021-09-30</t>
        </is>
      </c>
      <c r="C407" s="3" t="n">
        <v>853.1</v>
      </c>
      <c r="D407" s="3" t="inlineStr">
        <is>
          <t>2021-12-31</t>
        </is>
      </c>
      <c r="E407" s="3" t="n">
        <v>898.25</v>
      </c>
      <c r="F407" s="3" t="n">
        <v>5.29</v>
      </c>
    </row>
    <row r="408">
      <c r="A408" s="3" t="inlineStr">
        <is>
          <t>NTPC Ltd.</t>
        </is>
      </c>
      <c r="B408" s="3" t="inlineStr">
        <is>
          <t>2021-09-30</t>
        </is>
      </c>
      <c r="C408" s="3" t="n">
        <v>141.85</v>
      </c>
      <c r="D408" s="3" t="inlineStr">
        <is>
          <t>2021-12-31</t>
        </is>
      </c>
      <c r="E408" s="3" t="n">
        <v>124.4</v>
      </c>
      <c r="F408" s="3" t="n">
        <v>-12.3</v>
      </c>
    </row>
    <row r="409">
      <c r="A409" s="3" t="inlineStr">
        <is>
          <t>Solar Industries Ind..</t>
        </is>
      </c>
      <c r="B409" s="3" t="inlineStr">
        <is>
          <t>2021-09-30</t>
        </is>
      </c>
      <c r="C409" s="3" t="n">
        <v>2118.3</v>
      </c>
      <c r="D409" s="3" t="inlineStr">
        <is>
          <t>2021-12-31</t>
        </is>
      </c>
      <c r="E409" s="3" t="n">
        <v>2421.55</v>
      </c>
      <c r="F409" s="3" t="n">
        <v>14.32</v>
      </c>
    </row>
    <row r="410">
      <c r="A410" s="3" t="inlineStr">
        <is>
          <t>Zee Entertainment En..</t>
        </is>
      </c>
      <c r="B410" s="3" t="inlineStr">
        <is>
          <t>2021-09-30</t>
        </is>
      </c>
      <c r="C410" s="3" t="n">
        <v>303.2</v>
      </c>
      <c r="D410" s="3" t="inlineStr">
        <is>
          <t>2021-12-31</t>
        </is>
      </c>
      <c r="E410" s="3" t="n">
        <v>320.8</v>
      </c>
      <c r="F410" s="3" t="n">
        <v>5.8</v>
      </c>
    </row>
    <row r="411">
      <c r="A411" s="3" t="inlineStr">
        <is>
          <t>Marathon Nextgen Rea..</t>
        </is>
      </c>
      <c r="B411" s="3" t="inlineStr">
        <is>
          <t>2021-09-30</t>
        </is>
      </c>
      <c r="C411" s="3" t="n">
        <v>102.65</v>
      </c>
      <c r="D411" s="3" t="inlineStr">
        <is>
          <t>2021-12-31</t>
        </is>
      </c>
      <c r="E411" s="3" t="n">
        <v>110.55</v>
      </c>
      <c r="F411" s="3" t="n">
        <v>7.7</v>
      </c>
    </row>
    <row r="412">
      <c r="A412" s="3" t="inlineStr">
        <is>
          <t>Neogen Chemicals Ltd.</t>
        </is>
      </c>
      <c r="B412" s="3" t="inlineStr">
        <is>
          <t>2021-09-30</t>
        </is>
      </c>
      <c r="C412" s="3" t="n">
        <v>1238.55</v>
      </c>
      <c r="D412" s="3" t="inlineStr">
        <is>
          <t>2021-12-31</t>
        </is>
      </c>
      <c r="E412" s="3" t="n">
        <v>1644.65</v>
      </c>
      <c r="F412" s="3" t="n">
        <v>32.79</v>
      </c>
    </row>
    <row r="413">
      <c r="A413" s="3" t="inlineStr">
        <is>
          <t>Cantabil Retail Indi..</t>
        </is>
      </c>
      <c r="B413" s="3" t="inlineStr">
        <is>
          <t>2021-09-30</t>
        </is>
      </c>
      <c r="C413" s="3" t="n">
        <v>122.53</v>
      </c>
      <c r="D413" s="3" t="inlineStr">
        <is>
          <t>2022-03-31</t>
        </is>
      </c>
      <c r="E413" s="3" t="n">
        <v>183.7</v>
      </c>
      <c r="F413" s="3" t="n">
        <v>49.92</v>
      </c>
    </row>
    <row r="414">
      <c r="A414" s="3" t="inlineStr">
        <is>
          <t>Manaksia Ltd.</t>
        </is>
      </c>
      <c r="B414" s="3" t="inlineStr">
        <is>
          <t>2021-12-31</t>
        </is>
      </c>
      <c r="C414" s="3" t="n">
        <v>78.09999999999999</v>
      </c>
      <c r="D414" s="3" t="inlineStr">
        <is>
          <t>2022-03-31</t>
        </is>
      </c>
      <c r="E414" s="3" t="n">
        <v>73.8</v>
      </c>
      <c r="F414" s="3" t="n">
        <v>-5.51</v>
      </c>
    </row>
    <row r="415">
      <c r="A415" s="3" t="inlineStr">
        <is>
          <t>D-Link (India) Ltd.</t>
        </is>
      </c>
      <c r="B415" s="3" t="inlineStr">
        <is>
          <t>2021-12-31</t>
        </is>
      </c>
      <c r="C415" s="3" t="n">
        <v>178.7</v>
      </c>
      <c r="D415" s="3" t="inlineStr">
        <is>
          <t>2022-03-31</t>
        </is>
      </c>
      <c r="E415" s="3" t="n">
        <v>139.75</v>
      </c>
      <c r="F415" s="3" t="n">
        <v>-21.8</v>
      </c>
    </row>
    <row r="416">
      <c r="A416" s="3" t="inlineStr">
        <is>
          <t>Emami Realty Ltd.</t>
        </is>
      </c>
      <c r="B416" s="3" t="inlineStr">
        <is>
          <t>2021-12-31</t>
        </is>
      </c>
      <c r="C416" s="3" t="n">
        <v>94.45</v>
      </c>
      <c r="D416" s="3" t="inlineStr">
        <is>
          <t>2022-03-31</t>
        </is>
      </c>
      <c r="E416" s="3" t="n">
        <v>60.3</v>
      </c>
      <c r="F416" s="3" t="n">
        <v>-36.16</v>
      </c>
    </row>
    <row r="417">
      <c r="A417" s="3" t="inlineStr">
        <is>
          <t>LG Balakrishnan &amp; Br..</t>
        </is>
      </c>
      <c r="B417" s="3" t="inlineStr">
        <is>
          <t>2021-12-31</t>
        </is>
      </c>
      <c r="C417" s="3" t="n">
        <v>651.85</v>
      </c>
      <c r="D417" s="3" t="inlineStr">
        <is>
          <t>2022-03-31</t>
        </is>
      </c>
      <c r="E417" s="3" t="n">
        <v>537.2</v>
      </c>
      <c r="F417" s="3" t="n">
        <v>-17.59</v>
      </c>
    </row>
    <row r="418">
      <c r="A418" s="3" t="inlineStr">
        <is>
          <t>PTL Enterprises Ltd.</t>
        </is>
      </c>
      <c r="B418" s="3" t="inlineStr">
        <is>
          <t>2021-12-31</t>
        </is>
      </c>
      <c r="C418" s="3" t="n">
        <v>31.25</v>
      </c>
      <c r="D418" s="3" t="inlineStr">
        <is>
          <t>2022-03-31</t>
        </is>
      </c>
      <c r="E418" s="3" t="n">
        <v>33.2</v>
      </c>
      <c r="F418" s="3" t="n">
        <v>6.24</v>
      </c>
    </row>
    <row r="419">
      <c r="A419" s="3" t="inlineStr">
        <is>
          <t>Ausom Enterprise Ltd.</t>
        </is>
      </c>
      <c r="B419" s="3" t="inlineStr">
        <is>
          <t>2021-12-31</t>
        </is>
      </c>
      <c r="C419" s="3" t="n">
        <v>77.8</v>
      </c>
      <c r="D419" s="3" t="inlineStr">
        <is>
          <t>2022-03-31</t>
        </is>
      </c>
      <c r="E419" s="3" t="n">
        <v>65.05</v>
      </c>
      <c r="F419" s="3" t="n">
        <v>-16.39</v>
      </c>
    </row>
    <row r="420">
      <c r="A420" s="3" t="inlineStr">
        <is>
          <t>Bannari Amman Spinni..</t>
        </is>
      </c>
      <c r="B420" s="3" t="inlineStr">
        <is>
          <t>2021-12-31</t>
        </is>
      </c>
      <c r="C420" s="3" t="n">
        <v>77.58</v>
      </c>
      <c r="D420" s="3" t="inlineStr">
        <is>
          <t>2022-03-31</t>
        </is>
      </c>
      <c r="E420" s="3" t="n">
        <v>73.84999999999999</v>
      </c>
      <c r="F420" s="3" t="n">
        <v>-4.81</v>
      </c>
    </row>
    <row r="421">
      <c r="A421" s="3" t="inlineStr">
        <is>
          <t>Elgi Equipments Ltd.</t>
        </is>
      </c>
      <c r="B421" s="3" t="inlineStr">
        <is>
          <t>2021-12-31</t>
        </is>
      </c>
      <c r="C421" s="3" t="n">
        <v>299.1</v>
      </c>
      <c r="D421" s="3" t="inlineStr">
        <is>
          <t>2022-03-31</t>
        </is>
      </c>
      <c r="E421" s="3" t="n">
        <v>279.55</v>
      </c>
      <c r="F421" s="3" t="n">
        <v>-6.54</v>
      </c>
    </row>
    <row r="422">
      <c r="A422" s="3" t="inlineStr">
        <is>
          <t>Esab India Ltd.</t>
        </is>
      </c>
      <c r="B422" s="3" t="inlineStr">
        <is>
          <t>2021-12-31</t>
        </is>
      </c>
      <c r="C422" s="3" t="n">
        <v>3354.05</v>
      </c>
      <c r="D422" s="3" t="inlineStr">
        <is>
          <t>2022-03-31</t>
        </is>
      </c>
      <c r="E422" s="3" t="n">
        <v>3021.45</v>
      </c>
      <c r="F422" s="3" t="n">
        <v>-9.92</v>
      </c>
    </row>
    <row r="423">
      <c r="A423" s="3" t="inlineStr">
        <is>
          <t>Gufic BioSciences Ltd.</t>
        </is>
      </c>
      <c r="B423" s="3" t="inlineStr">
        <is>
          <t>2021-12-31</t>
        </is>
      </c>
      <c r="C423" s="3" t="n">
        <v>237.6</v>
      </c>
      <c r="D423" s="3" t="inlineStr">
        <is>
          <t>2022-03-31</t>
        </is>
      </c>
      <c r="E423" s="3" t="n">
        <v>249</v>
      </c>
      <c r="F423" s="3" t="n">
        <v>4.8</v>
      </c>
    </row>
    <row r="424">
      <c r="A424" s="3" t="inlineStr">
        <is>
          <t>La Opala RG Ltd.</t>
        </is>
      </c>
      <c r="B424" s="3" t="inlineStr">
        <is>
          <t>2021-12-31</t>
        </is>
      </c>
      <c r="C424" s="3" t="n">
        <v>424.15</v>
      </c>
      <c r="D424" s="3" t="inlineStr">
        <is>
          <t>2022-03-31</t>
        </is>
      </c>
      <c r="E424" s="3" t="n">
        <v>347.1</v>
      </c>
      <c r="F424" s="3" t="n">
        <v>-18.17</v>
      </c>
    </row>
    <row r="425">
      <c r="A425" s="3" t="inlineStr">
        <is>
          <t>Kennametal India Ltd.</t>
        </is>
      </c>
      <c r="B425" s="3" t="inlineStr">
        <is>
          <t>2021-12-31</t>
        </is>
      </c>
      <c r="C425" s="3" t="n">
        <v>1851.6</v>
      </c>
      <c r="D425" s="3" t="inlineStr">
        <is>
          <t>2022-03-31</t>
        </is>
      </c>
      <c r="E425" s="3" t="n">
        <v>2067.8</v>
      </c>
      <c r="F425" s="3" t="n">
        <v>11.68</v>
      </c>
    </row>
    <row r="426">
      <c r="A426" s="3" t="inlineStr">
        <is>
          <t>Saint-Gobain Sekurit..</t>
        </is>
      </c>
      <c r="B426" s="3" t="inlineStr">
        <is>
          <t>2021-12-31</t>
        </is>
      </c>
      <c r="C426" s="3" t="n">
        <v>94.7</v>
      </c>
      <c r="D426" s="3" t="inlineStr">
        <is>
          <t>2022-03-31</t>
        </is>
      </c>
      <c r="E426" s="3" t="n">
        <v>79.84999999999999</v>
      </c>
      <c r="F426" s="3" t="n">
        <v>-15.68</v>
      </c>
    </row>
    <row r="427">
      <c r="A427" s="3" t="inlineStr">
        <is>
          <t>Aarvi Encon Ltd.</t>
        </is>
      </c>
      <c r="B427" s="3" t="inlineStr">
        <is>
          <t>2021-12-31</t>
        </is>
      </c>
      <c r="C427" s="3" t="n">
        <v>95.34999999999999</v>
      </c>
      <c r="D427" s="3" t="inlineStr">
        <is>
          <t>2022-03-31</t>
        </is>
      </c>
      <c r="E427" s="3" t="n">
        <v>115.9</v>
      </c>
      <c r="F427" s="3" t="n">
        <v>21.55</v>
      </c>
    </row>
    <row r="428">
      <c r="A428" s="3" t="inlineStr">
        <is>
          <t>Swelect Energy Syste..</t>
        </is>
      </c>
      <c r="B428" s="3" t="inlineStr">
        <is>
          <t>2022-03-31</t>
        </is>
      </c>
      <c r="C428" s="3" t="n">
        <v>379.15</v>
      </c>
      <c r="D428" s="3" t="inlineStr">
        <is>
          <t>2022-06-30</t>
        </is>
      </c>
      <c r="E428" s="3" t="n">
        <v>299.5</v>
      </c>
      <c r="F428" s="3" t="n">
        <v>-21.01</v>
      </c>
    </row>
    <row r="429">
      <c r="A429" s="3" t="inlineStr">
        <is>
          <t>Maithan Alloys Ltd.</t>
        </is>
      </c>
      <c r="B429" s="3" t="inlineStr">
        <is>
          <t>2022-03-31</t>
        </is>
      </c>
      <c r="C429" s="3" t="n">
        <v>1327.65</v>
      </c>
      <c r="D429" s="3" t="inlineStr">
        <is>
          <t>2022-06-30</t>
        </is>
      </c>
      <c r="E429" s="3" t="n">
        <v>795.8</v>
      </c>
      <c r="F429" s="3" t="n">
        <v>-40.06</v>
      </c>
    </row>
    <row r="430">
      <c r="A430" s="3" t="inlineStr">
        <is>
          <t>West Coast Paper Mil..</t>
        </is>
      </c>
      <c r="B430" s="3" t="inlineStr">
        <is>
          <t>2022-03-31</t>
        </is>
      </c>
      <c r="C430" s="3" t="n">
        <v>334.25</v>
      </c>
      <c r="D430" s="3" t="inlineStr">
        <is>
          <t>2022-06-30</t>
        </is>
      </c>
      <c r="E430" s="3" t="n">
        <v>337.55</v>
      </c>
      <c r="F430" s="3" t="n">
        <v>0.99</v>
      </c>
    </row>
    <row r="431">
      <c r="A431" s="3" t="inlineStr">
        <is>
          <t>JK Paper Ltd.</t>
        </is>
      </c>
      <c r="B431" s="3" t="inlineStr">
        <is>
          <t>2022-03-31</t>
        </is>
      </c>
      <c r="C431" s="3" t="n">
        <v>303.95</v>
      </c>
      <c r="D431" s="3" t="inlineStr">
        <is>
          <t>2022-06-30</t>
        </is>
      </c>
      <c r="E431" s="3" t="n">
        <v>295.7</v>
      </c>
      <c r="F431" s="3" t="n">
        <v>-2.71</v>
      </c>
    </row>
    <row r="432">
      <c r="A432" s="3" t="inlineStr">
        <is>
          <t>Shree Pushkar Chemic..</t>
        </is>
      </c>
      <c r="B432" s="3" t="inlineStr">
        <is>
          <t>2022-03-31</t>
        </is>
      </c>
      <c r="C432" s="3" t="n">
        <v>280.25</v>
      </c>
      <c r="D432" s="3" t="inlineStr">
        <is>
          <t>2022-06-30</t>
        </is>
      </c>
      <c r="E432" s="3" t="n">
        <v>240.15</v>
      </c>
      <c r="F432" s="3" t="n">
        <v>-14.31</v>
      </c>
    </row>
    <row r="433">
      <c r="A433" s="3" t="inlineStr">
        <is>
          <t>Gujarat State Fertil..</t>
        </is>
      </c>
      <c r="B433" s="3" t="inlineStr">
        <is>
          <t>2022-03-31</t>
        </is>
      </c>
      <c r="C433" s="3" t="n">
        <v>162.05</v>
      </c>
      <c r="D433" s="3" t="inlineStr">
        <is>
          <t>2022-06-30</t>
        </is>
      </c>
      <c r="E433" s="3" t="n">
        <v>132</v>
      </c>
      <c r="F433" s="3" t="n">
        <v>-18.54</v>
      </c>
    </row>
    <row r="434">
      <c r="A434" s="3" t="inlineStr">
        <is>
          <t>Godawari Power &amp; Isp..</t>
        </is>
      </c>
      <c r="B434" s="3" t="inlineStr">
        <is>
          <t>2022-03-31</t>
        </is>
      </c>
      <c r="C434" s="3" t="n">
        <v>77.48</v>
      </c>
      <c r="D434" s="3" t="inlineStr">
        <is>
          <t>2022-06-30</t>
        </is>
      </c>
      <c r="E434" s="3" t="n">
        <v>50.2</v>
      </c>
      <c r="F434" s="3" t="n">
        <v>-35.21</v>
      </c>
    </row>
    <row r="435">
      <c r="A435" s="3" t="inlineStr">
        <is>
          <t>Linde India Ltd.</t>
        </is>
      </c>
      <c r="B435" s="3" t="inlineStr">
        <is>
          <t>2022-03-31</t>
        </is>
      </c>
      <c r="C435" s="3" t="n">
        <v>3784.9</v>
      </c>
      <c r="D435" s="3" t="inlineStr">
        <is>
          <t>2022-06-30</t>
        </is>
      </c>
      <c r="E435" s="3" t="n">
        <v>3198.15</v>
      </c>
      <c r="F435" s="3" t="n">
        <v>-15.5</v>
      </c>
    </row>
    <row r="436">
      <c r="A436" s="3" t="inlineStr">
        <is>
          <t>Antelopus Selan Ener..</t>
        </is>
      </c>
      <c r="B436" s="3" t="inlineStr">
        <is>
          <t>2022-03-31</t>
        </is>
      </c>
      <c r="C436" s="3" t="n">
        <v>189.8</v>
      </c>
      <c r="D436" s="3" t="inlineStr">
        <is>
          <t>2022-06-30</t>
        </is>
      </c>
      <c r="E436" s="3" t="n">
        <v>181</v>
      </c>
      <c r="F436" s="3" t="n">
        <v>-4.64</v>
      </c>
    </row>
    <row r="437">
      <c r="A437" s="3" t="inlineStr">
        <is>
          <t>TVS Electronics Ltd.</t>
        </is>
      </c>
      <c r="B437" s="3" t="inlineStr">
        <is>
          <t>2022-03-31</t>
        </is>
      </c>
      <c r="C437" s="3" t="n">
        <v>255.75</v>
      </c>
      <c r="D437" s="3" t="inlineStr">
        <is>
          <t>2022-06-30</t>
        </is>
      </c>
      <c r="E437" s="3" t="n">
        <v>187.2</v>
      </c>
      <c r="F437" s="3" t="n">
        <v>-26.8</v>
      </c>
    </row>
    <row r="438">
      <c r="A438" s="3" t="inlineStr">
        <is>
          <t>Vadilal Industries L..</t>
        </is>
      </c>
      <c r="B438" s="3" t="inlineStr">
        <is>
          <t>2022-03-31</t>
        </is>
      </c>
      <c r="C438" s="3" t="n">
        <v>1409.8</v>
      </c>
      <c r="D438" s="3" t="inlineStr">
        <is>
          <t>2022-06-30</t>
        </is>
      </c>
      <c r="E438" s="3" t="n">
        <v>2048.25</v>
      </c>
      <c r="F438" s="3" t="n">
        <v>45.29</v>
      </c>
    </row>
    <row r="439">
      <c r="A439" s="3" t="inlineStr">
        <is>
          <t>Intellect Design Are..</t>
        </is>
      </c>
      <c r="B439" s="3" t="inlineStr">
        <is>
          <t>2022-03-31</t>
        </is>
      </c>
      <c r="C439" s="3" t="n">
        <v>945.75</v>
      </c>
      <c r="D439" s="3" t="inlineStr">
        <is>
          <t>2022-06-30</t>
        </is>
      </c>
      <c r="E439" s="3" t="n">
        <v>633.35</v>
      </c>
      <c r="F439" s="3" t="n">
        <v>-33.03</v>
      </c>
    </row>
    <row r="440">
      <c r="A440" s="3" t="inlineStr">
        <is>
          <t>Sumitomo Chemical In..</t>
        </is>
      </c>
      <c r="B440" s="3" t="inlineStr">
        <is>
          <t>2022-03-31</t>
        </is>
      </c>
      <c r="C440" s="3" t="n">
        <v>448.5</v>
      </c>
      <c r="D440" s="3" t="inlineStr">
        <is>
          <t>2022-06-30</t>
        </is>
      </c>
      <c r="E440" s="3" t="n">
        <v>424.15</v>
      </c>
      <c r="F440" s="3" t="n">
        <v>-5.43</v>
      </c>
    </row>
    <row r="441">
      <c r="A441" s="3" t="inlineStr">
        <is>
          <t>Wendt (India) Ltd.</t>
        </is>
      </c>
      <c r="B441" s="3" t="inlineStr">
        <is>
          <t>2022-06-30</t>
        </is>
      </c>
      <c r="C441" s="3" t="n">
        <v>8350.6</v>
      </c>
      <c r="D441" s="3" t="inlineStr">
        <is>
          <t>2022-09-30</t>
        </is>
      </c>
      <c r="E441" s="3" t="n">
        <v>7431.4</v>
      </c>
      <c r="F441" s="3" t="n">
        <v>-11.01</v>
      </c>
    </row>
    <row r="442">
      <c r="A442" s="3" t="inlineStr">
        <is>
          <t>Voltamp Transformers..</t>
        </is>
      </c>
      <c r="B442" s="3" t="inlineStr">
        <is>
          <t>2022-06-30</t>
        </is>
      </c>
      <c r="C442" s="3" t="n">
        <v>2874.4</v>
      </c>
      <c r="D442" s="3" t="inlineStr">
        <is>
          <t>2022-09-30</t>
        </is>
      </c>
      <c r="E442" s="3" t="n">
        <v>2604.2</v>
      </c>
      <c r="F442" s="3" t="n">
        <v>-9.4</v>
      </c>
    </row>
    <row r="443">
      <c r="A443" s="3" t="inlineStr">
        <is>
          <t>Monte Carlo Fashions..</t>
        </is>
      </c>
      <c r="B443" s="3" t="inlineStr">
        <is>
          <t>2022-06-30</t>
        </is>
      </c>
      <c r="C443" s="3" t="n">
        <v>658.05</v>
      </c>
      <c r="D443" s="3" t="inlineStr">
        <is>
          <t>2022-09-30</t>
        </is>
      </c>
      <c r="E443" s="3" t="n">
        <v>760.65</v>
      </c>
      <c r="F443" s="3" t="n">
        <v>15.59</v>
      </c>
    </row>
    <row r="444">
      <c r="A444" s="3" t="inlineStr">
        <is>
          <t>Asahi India Glass Ltd.</t>
        </is>
      </c>
      <c r="B444" s="3" t="inlineStr">
        <is>
          <t>2022-06-30</t>
        </is>
      </c>
      <c r="C444" s="3" t="n">
        <v>539.6</v>
      </c>
      <c r="D444" s="3" t="inlineStr">
        <is>
          <t>2022-09-30</t>
        </is>
      </c>
      <c r="E444" s="3" t="n">
        <v>635.15</v>
      </c>
      <c r="F444" s="3" t="n">
        <v>17.71</v>
      </c>
    </row>
    <row r="445">
      <c r="A445" s="3" t="inlineStr">
        <is>
          <t>J Kumar Infraproject..</t>
        </is>
      </c>
      <c r="B445" s="3" t="inlineStr">
        <is>
          <t>2022-06-30</t>
        </is>
      </c>
      <c r="C445" s="3" t="n">
        <v>285.55</v>
      </c>
      <c r="D445" s="3" t="inlineStr">
        <is>
          <t>2022-09-30</t>
        </is>
      </c>
      <c r="E445" s="3" t="n">
        <v>301.05</v>
      </c>
      <c r="F445" s="3" t="n">
        <v>5.43</v>
      </c>
    </row>
    <row r="446">
      <c r="A446" s="3" t="inlineStr">
        <is>
          <t>Sanghvi Movers Ltd.</t>
        </is>
      </c>
      <c r="B446" s="3" t="inlineStr">
        <is>
          <t>2022-06-30</t>
        </is>
      </c>
      <c r="C446" s="3" t="n">
        <v>112.03</v>
      </c>
      <c r="D446" s="3" t="inlineStr">
        <is>
          <t>2022-09-30</t>
        </is>
      </c>
      <c r="E446" s="3" t="n">
        <v>112.75</v>
      </c>
      <c r="F446" s="3" t="n">
        <v>0.64</v>
      </c>
    </row>
    <row r="447">
      <c r="A447" s="3" t="inlineStr">
        <is>
          <t>Thakker's Developers..</t>
        </is>
      </c>
      <c r="B447" s="3" t="inlineStr">
        <is>
          <t>2022-06-30</t>
        </is>
      </c>
      <c r="C447" s="3" t="n">
        <v>144.4</v>
      </c>
      <c r="D447" s="3" t="inlineStr">
        <is>
          <t>2022-09-30</t>
        </is>
      </c>
      <c r="E447" s="3" t="n">
        <v>195.1</v>
      </c>
      <c r="F447" s="3" t="n">
        <v>35.11</v>
      </c>
    </row>
    <row r="448">
      <c r="A448" s="3" t="inlineStr">
        <is>
          <t>RHI Magnesita India ..</t>
        </is>
      </c>
      <c r="B448" s="3" t="inlineStr">
        <is>
          <t>2022-09-30</t>
        </is>
      </c>
      <c r="C448" s="3" t="n">
        <v>669.95</v>
      </c>
      <c r="D448" s="3" t="inlineStr">
        <is>
          <t>2022-12-30</t>
        </is>
      </c>
      <c r="E448" s="3" t="n">
        <v>839.6</v>
      </c>
      <c r="F448" s="3" t="n">
        <v>25.32</v>
      </c>
    </row>
    <row r="449">
      <c r="A449" s="3" t="inlineStr">
        <is>
          <t>Garden Reach Shipbui..</t>
        </is>
      </c>
      <c r="B449" s="3" t="inlineStr">
        <is>
          <t>2022-09-30</t>
        </is>
      </c>
      <c r="C449" s="3" t="n">
        <v>348.7</v>
      </c>
      <c r="D449" s="3" t="inlineStr">
        <is>
          <t>2022-12-30</t>
        </is>
      </c>
      <c r="E449" s="3" t="n">
        <v>484.7</v>
      </c>
      <c r="F449" s="3" t="n">
        <v>39</v>
      </c>
    </row>
    <row r="450">
      <c r="A450" s="3" t="inlineStr">
        <is>
          <t>TSF Investments Ltd.</t>
        </is>
      </c>
      <c r="B450" s="3" t="inlineStr">
        <is>
          <t>2022-09-30</t>
        </is>
      </c>
      <c r="C450" s="3" t="n">
        <v>103.4</v>
      </c>
      <c r="D450" s="3" t="inlineStr">
        <is>
          <t>2022-12-30</t>
        </is>
      </c>
      <c r="E450" s="3" t="n">
        <v>94.09999999999999</v>
      </c>
      <c r="F450" s="3" t="n">
        <v>-8.99</v>
      </c>
    </row>
    <row r="451">
      <c r="A451" s="3" t="inlineStr">
        <is>
          <t>Hercules Investments..</t>
        </is>
      </c>
      <c r="B451" s="3" t="inlineStr">
        <is>
          <t>2022-09-30</t>
        </is>
      </c>
      <c r="C451" s="3" t="n">
        <v>193.7</v>
      </c>
      <c r="D451" s="3" t="inlineStr">
        <is>
          <t>2022-12-30</t>
        </is>
      </c>
      <c r="E451" s="3" t="n">
        <v>212.4</v>
      </c>
      <c r="F451" s="3" t="n">
        <v>9.65</v>
      </c>
    </row>
    <row r="452">
      <c r="A452" s="3" t="inlineStr">
        <is>
          <t>Jai Corp Ltd.</t>
        </is>
      </c>
      <c r="B452" s="3" t="inlineStr">
        <is>
          <t>2022-09-30</t>
        </is>
      </c>
      <c r="C452" s="3" t="n">
        <v>186.95</v>
      </c>
      <c r="D452" s="3" t="inlineStr">
        <is>
          <t>2022-12-30</t>
        </is>
      </c>
      <c r="E452" s="3" t="n">
        <v>149.6</v>
      </c>
      <c r="F452" s="3" t="n">
        <v>-19.98</v>
      </c>
    </row>
    <row r="453">
      <c r="A453" s="3" t="inlineStr">
        <is>
          <t>Gujarat Themis Biosy..</t>
        </is>
      </c>
      <c r="B453" s="3" t="inlineStr">
        <is>
          <t>2022-09-30</t>
        </is>
      </c>
      <c r="C453" s="3" t="n">
        <v>84.54000000000001</v>
      </c>
      <c r="D453" s="3" t="inlineStr">
        <is>
          <t>2022-12-30</t>
        </is>
      </c>
      <c r="E453" s="3" t="n">
        <v>103.18</v>
      </c>
      <c r="F453" s="3" t="n">
        <v>22.05</v>
      </c>
    </row>
    <row r="454">
      <c r="A454" s="3" t="inlineStr">
        <is>
          <t>Antelopus Selan Ener..</t>
        </is>
      </c>
      <c r="B454" s="3" t="inlineStr">
        <is>
          <t>2022-09-30</t>
        </is>
      </c>
      <c r="C454" s="3" t="n">
        <v>283.2</v>
      </c>
      <c r="D454" s="3" t="inlineStr">
        <is>
          <t>2022-12-30</t>
        </is>
      </c>
      <c r="E454" s="3" t="n">
        <v>241.65</v>
      </c>
      <c r="F454" s="3" t="n">
        <v>-14.67</v>
      </c>
    </row>
    <row r="455">
      <c r="A455" s="3" t="inlineStr">
        <is>
          <t>Anant Raj Ltd.</t>
        </is>
      </c>
      <c r="B455" s="3" t="inlineStr">
        <is>
          <t>2022-09-30</t>
        </is>
      </c>
      <c r="C455" s="3" t="n">
        <v>97.05</v>
      </c>
      <c r="D455" s="3" t="inlineStr">
        <is>
          <t>2022-12-30</t>
        </is>
      </c>
      <c r="E455" s="3" t="n">
        <v>112.1</v>
      </c>
      <c r="F455" s="3" t="n">
        <v>15.51</v>
      </c>
    </row>
    <row r="456">
      <c r="A456" s="3" t="inlineStr">
        <is>
          <t>Autoline Industries ..</t>
        </is>
      </c>
      <c r="B456" s="3" t="inlineStr">
        <is>
          <t>2022-09-30</t>
        </is>
      </c>
      <c r="C456" s="3" t="n">
        <v>98.8</v>
      </c>
      <c r="D456" s="3" t="inlineStr">
        <is>
          <t>2022-12-30</t>
        </is>
      </c>
      <c r="E456" s="3" t="n">
        <v>78.59999999999999</v>
      </c>
      <c r="F456" s="3" t="n">
        <v>-20.45</v>
      </c>
    </row>
    <row r="457">
      <c r="A457" s="3" t="inlineStr">
        <is>
          <t>DB Corp Ltd.</t>
        </is>
      </c>
      <c r="B457" s="3" t="inlineStr">
        <is>
          <t>2022-09-30</t>
        </is>
      </c>
      <c r="C457" s="3" t="n">
        <v>122.85</v>
      </c>
      <c r="D457" s="3" t="inlineStr">
        <is>
          <t>2022-12-30</t>
        </is>
      </c>
      <c r="E457" s="3" t="n">
        <v>123.35</v>
      </c>
      <c r="F457" s="3" t="n">
        <v>0.41</v>
      </c>
    </row>
    <row r="458">
      <c r="A458" s="3" t="inlineStr">
        <is>
          <t>KRBL Ltd.</t>
        </is>
      </c>
      <c r="B458" s="3" t="inlineStr">
        <is>
          <t>2022-09-30</t>
        </is>
      </c>
      <c r="C458" s="3" t="n">
        <v>367.55</v>
      </c>
      <c r="D458" s="3" t="inlineStr">
        <is>
          <t>2022-12-30</t>
        </is>
      </c>
      <c r="E458" s="3" t="n">
        <v>391.15</v>
      </c>
      <c r="F458" s="3" t="n">
        <v>6.42</v>
      </c>
    </row>
    <row r="459">
      <c r="A459" s="3" t="inlineStr">
        <is>
          <t>Aditya Birla Fashion..</t>
        </is>
      </c>
      <c r="B459" s="3" t="inlineStr">
        <is>
          <t>2022-09-30</t>
        </is>
      </c>
      <c r="C459" s="3" t="n">
        <v>349.1</v>
      </c>
      <c r="D459" s="3" t="inlineStr">
        <is>
          <t>2022-12-30</t>
        </is>
      </c>
      <c r="E459" s="3" t="n">
        <v>287.5</v>
      </c>
      <c r="F459" s="3" t="n">
        <v>-17.65</v>
      </c>
    </row>
    <row r="460">
      <c r="A460" s="3" t="inlineStr">
        <is>
          <t>Pricol Ltd.</t>
        </is>
      </c>
      <c r="B460" s="3" t="inlineStr">
        <is>
          <t>2022-09-30</t>
        </is>
      </c>
      <c r="C460" s="3" t="n">
        <v>190.2</v>
      </c>
      <c r="D460" s="3" t="inlineStr">
        <is>
          <t>2022-12-30</t>
        </is>
      </c>
      <c r="E460" s="3" t="n">
        <v>190.85</v>
      </c>
      <c r="F460" s="3" t="n">
        <v>0.34</v>
      </c>
    </row>
    <row r="461">
      <c r="A461" s="3" t="inlineStr">
        <is>
          <t>Semac Construction L..</t>
        </is>
      </c>
      <c r="B461" s="3" t="inlineStr">
        <is>
          <t>2022-09-30</t>
        </is>
      </c>
      <c r="C461" s="3" t="n">
        <v>904.1</v>
      </c>
      <c r="D461" s="3" t="inlineStr">
        <is>
          <t>2022-12-30</t>
        </is>
      </c>
      <c r="E461" s="3" t="n">
        <v>1092.8</v>
      </c>
      <c r="F461" s="3" t="n">
        <v>20.87</v>
      </c>
    </row>
    <row r="462">
      <c r="A462" s="3" t="inlineStr">
        <is>
          <t>Apollo Sindoori Hote..</t>
        </is>
      </c>
      <c r="B462" s="3" t="inlineStr">
        <is>
          <t>2022-09-30</t>
        </is>
      </c>
      <c r="C462" s="3" t="n">
        <v>1251.8</v>
      </c>
      <c r="D462" s="3" t="inlineStr">
        <is>
          <t>2022-12-30</t>
        </is>
      </c>
      <c r="E462" s="3" t="n">
        <v>1254.85</v>
      </c>
      <c r="F462" s="3" t="n">
        <v>0.24</v>
      </c>
    </row>
    <row r="463">
      <c r="A463" s="3" t="inlineStr">
        <is>
          <t>Diamines &amp; Chemicals..</t>
        </is>
      </c>
      <c r="B463" s="3" t="inlineStr">
        <is>
          <t>2022-09-30</t>
        </is>
      </c>
      <c r="C463" s="3" t="n">
        <v>505.95</v>
      </c>
      <c r="D463" s="3" t="inlineStr">
        <is>
          <t>2022-12-30</t>
        </is>
      </c>
      <c r="E463" s="3" t="n">
        <v>464.3</v>
      </c>
      <c r="F463" s="3" t="n">
        <v>-8.23</v>
      </c>
    </row>
    <row r="464">
      <c r="A464" s="3" t="inlineStr">
        <is>
          <t>Timex Group India Ltd.</t>
        </is>
      </c>
      <c r="B464" s="3" t="inlineStr">
        <is>
          <t>2022-09-30</t>
        </is>
      </c>
      <c r="C464" s="3" t="n">
        <v>109.4</v>
      </c>
      <c r="D464" s="3" t="inlineStr">
        <is>
          <t>2022-12-30</t>
        </is>
      </c>
      <c r="E464" s="3" t="n">
        <v>148.6</v>
      </c>
      <c r="F464" s="3" t="n">
        <v>35.83</v>
      </c>
    </row>
    <row r="465">
      <c r="A465" s="3" t="inlineStr">
        <is>
          <t>Hampton Sky Realty L..</t>
        </is>
      </c>
      <c r="B465" s="3" t="inlineStr">
        <is>
          <t>2022-09-30</t>
        </is>
      </c>
      <c r="C465" s="3" t="n">
        <v>47.25</v>
      </c>
      <c r="D465" s="3" t="inlineStr">
        <is>
          <t>2022-12-30</t>
        </is>
      </c>
      <c r="E465" s="3" t="n">
        <v>41.6</v>
      </c>
      <c r="F465" s="3" t="n">
        <v>-11.96</v>
      </c>
    </row>
    <row r="466">
      <c r="A466" s="3" t="inlineStr">
        <is>
          <t>Vikram Thermo (India..</t>
        </is>
      </c>
      <c r="B466" s="3" t="inlineStr">
        <is>
          <t>2022-09-30</t>
        </is>
      </c>
      <c r="C466" s="3" t="n">
        <v>55.45</v>
      </c>
      <c r="D466" s="3" t="inlineStr">
        <is>
          <t>2022-12-30</t>
        </is>
      </c>
      <c r="E466" s="3" t="n">
        <v>61</v>
      </c>
      <c r="F466" s="3" t="n">
        <v>10.01</v>
      </c>
    </row>
    <row r="467">
      <c r="A467" s="3" t="inlineStr">
        <is>
          <t>Best Agrolife Ltd.</t>
        </is>
      </c>
      <c r="B467" s="3" t="inlineStr">
        <is>
          <t>2022-09-30</t>
        </is>
      </c>
      <c r="C467" s="3" t="n">
        <v>84</v>
      </c>
      <c r="D467" s="3" t="inlineStr">
        <is>
          <t>2022-12-30</t>
        </is>
      </c>
      <c r="E467" s="3" t="n">
        <v>101.2</v>
      </c>
      <c r="F467" s="3" t="n">
        <v>20.48</v>
      </c>
    </row>
    <row r="468">
      <c r="A468" s="3" t="inlineStr">
        <is>
          <t>Cochin Shipyard Ltd.</t>
        </is>
      </c>
      <c r="B468" s="3" t="inlineStr">
        <is>
          <t>2022-09-30</t>
        </is>
      </c>
      <c r="C468" s="3" t="n">
        <v>219.78</v>
      </c>
      <c r="D468" s="3" t="inlineStr">
        <is>
          <t>2022-12-30</t>
        </is>
      </c>
      <c r="E468" s="3" t="n">
        <v>265.5</v>
      </c>
      <c r="F468" s="3" t="n">
        <v>20.8</v>
      </c>
    </row>
    <row r="469">
      <c r="A469" s="3" t="inlineStr">
        <is>
          <t>Praveg Ltd.</t>
        </is>
      </c>
      <c r="B469" s="3" t="inlineStr">
        <is>
          <t>2022-09-30</t>
        </is>
      </c>
      <c r="C469" s="3" t="n">
        <v>220.6</v>
      </c>
      <c r="D469" s="3" t="inlineStr">
        <is>
          <t>2022-12-30</t>
        </is>
      </c>
      <c r="E469" s="3" t="n">
        <v>267.25</v>
      </c>
      <c r="F469" s="3" t="n">
        <v>21.15</v>
      </c>
    </row>
    <row r="470">
      <c r="A470" s="3" t="inlineStr">
        <is>
          <t>KPIT Technologies Ltd.</t>
        </is>
      </c>
      <c r="B470" s="3" t="inlineStr">
        <is>
          <t>2022-09-30</t>
        </is>
      </c>
      <c r="C470" s="3" t="n">
        <v>659.9</v>
      </c>
      <c r="D470" s="3" t="inlineStr">
        <is>
          <t>2022-12-30</t>
        </is>
      </c>
      <c r="E470" s="3" t="n">
        <v>704.25</v>
      </c>
      <c r="F470" s="3" t="n">
        <v>6.72</v>
      </c>
    </row>
    <row r="471">
      <c r="A471" s="3" t="inlineStr">
        <is>
          <t>Mazagon Dock Shipbui..</t>
        </is>
      </c>
      <c r="B471" s="3" t="inlineStr">
        <is>
          <t>2022-09-30</t>
        </is>
      </c>
      <c r="C471" s="3" t="n">
        <v>246.75</v>
      </c>
      <c r="D471" s="3" t="inlineStr">
        <is>
          <t>2022-12-30</t>
        </is>
      </c>
      <c r="E471" s="3" t="n">
        <v>396</v>
      </c>
      <c r="F471" s="3" t="n">
        <v>60.49</v>
      </c>
    </row>
    <row r="472">
      <c r="A472" s="3" t="inlineStr">
        <is>
          <t>NAVA Ltd.</t>
        </is>
      </c>
      <c r="B472" s="3" t="inlineStr">
        <is>
          <t>2022-12-30</t>
        </is>
      </c>
      <c r="C472" s="3" t="n">
        <v>123.5</v>
      </c>
      <c r="D472" s="3" t="inlineStr">
        <is>
          <t>2023-03-31</t>
        </is>
      </c>
      <c r="E472" s="3" t="n">
        <v>109.03</v>
      </c>
      <c r="F472" s="3" t="n">
        <v>-11.72</v>
      </c>
    </row>
    <row r="473">
      <c r="A473" s="3" t="inlineStr">
        <is>
          <t>Sunflag Iron &amp; Steel..</t>
        </is>
      </c>
      <c r="B473" s="3" t="inlineStr">
        <is>
          <t>2022-12-30</t>
        </is>
      </c>
      <c r="C473" s="3" t="n">
        <v>112.25</v>
      </c>
      <c r="D473" s="3" t="inlineStr">
        <is>
          <t>2023-03-31</t>
        </is>
      </c>
      <c r="E473" s="3" t="n">
        <v>147.45</v>
      </c>
      <c r="F473" s="3" t="n">
        <v>31.36</v>
      </c>
    </row>
    <row r="474">
      <c r="A474" s="3" t="inlineStr">
        <is>
          <t>Sandesh Ltd.</t>
        </is>
      </c>
      <c r="B474" s="3" t="inlineStr">
        <is>
          <t>2022-12-30</t>
        </is>
      </c>
      <c r="C474" s="3" t="n">
        <v>1233.1</v>
      </c>
      <c r="D474" s="3" t="inlineStr">
        <is>
          <t>2023-03-31</t>
        </is>
      </c>
      <c r="E474" s="3" t="n">
        <v>961.3</v>
      </c>
      <c r="F474" s="3" t="n">
        <v>-22.04</v>
      </c>
    </row>
    <row r="475">
      <c r="A475" s="3" t="inlineStr">
        <is>
          <t>GIC Housing Finance ..</t>
        </is>
      </c>
      <c r="B475" s="3" t="inlineStr">
        <is>
          <t>2022-12-30</t>
        </is>
      </c>
      <c r="C475" s="3" t="n">
        <v>212.55</v>
      </c>
      <c r="D475" s="3" t="inlineStr">
        <is>
          <t>2023-03-31</t>
        </is>
      </c>
      <c r="E475" s="3" t="n">
        <v>154.85</v>
      </c>
      <c r="F475" s="3" t="n">
        <v>-27.15</v>
      </c>
    </row>
    <row r="476">
      <c r="A476" s="3" t="inlineStr">
        <is>
          <t>SPR Auto Technologie..</t>
        </is>
      </c>
      <c r="B476" s="3" t="inlineStr">
        <is>
          <t>2022-12-30</t>
        </is>
      </c>
      <c r="C476" s="3" t="n">
        <v>576.8</v>
      </c>
      <c r="D476" s="3" t="inlineStr">
        <is>
          <t>2023-03-31</t>
        </is>
      </c>
      <c r="E476" s="3" t="n">
        <v>503.53</v>
      </c>
      <c r="F476" s="3" t="n">
        <v>-12.7</v>
      </c>
    </row>
    <row r="477">
      <c r="A477" s="3" t="inlineStr">
        <is>
          <t>Sanghvi Movers Ltd.</t>
        </is>
      </c>
      <c r="B477" s="3" t="inlineStr">
        <is>
          <t>2022-12-30</t>
        </is>
      </c>
      <c r="C477" s="3" t="n">
        <v>163</v>
      </c>
      <c r="D477" s="3" t="inlineStr">
        <is>
          <t>2023-03-31</t>
        </is>
      </c>
      <c r="E477" s="3" t="n">
        <v>176.08</v>
      </c>
      <c r="F477" s="3" t="n">
        <v>8.02</v>
      </c>
    </row>
    <row r="478">
      <c r="A478" s="3" t="inlineStr">
        <is>
          <t>Aries Agro Ltd.</t>
        </is>
      </c>
      <c r="B478" s="3" t="inlineStr">
        <is>
          <t>2022-12-30</t>
        </is>
      </c>
      <c r="C478" s="3" t="n">
        <v>206.45</v>
      </c>
      <c r="D478" s="3" t="inlineStr">
        <is>
          <t>2023-03-31</t>
        </is>
      </c>
      <c r="E478" s="3" t="n">
        <v>148.45</v>
      </c>
      <c r="F478" s="3" t="n">
        <v>-28.09</v>
      </c>
    </row>
    <row r="479">
      <c r="A479" s="3" t="inlineStr">
        <is>
          <t>Donear Industries Ltd.</t>
        </is>
      </c>
      <c r="B479" s="3" t="inlineStr">
        <is>
          <t>2022-12-30</t>
        </is>
      </c>
      <c r="C479" s="3" t="n">
        <v>86.59999999999999</v>
      </c>
      <c r="D479" s="3" t="inlineStr">
        <is>
          <t>2023-03-31</t>
        </is>
      </c>
      <c r="E479" s="3" t="n">
        <v>80.59999999999999</v>
      </c>
      <c r="F479" s="3" t="n">
        <v>-6.93</v>
      </c>
    </row>
    <row r="480">
      <c r="A480" s="3" t="inlineStr">
        <is>
          <t>Indbank Merchant Ban..</t>
        </is>
      </c>
      <c r="B480" s="3" t="inlineStr">
        <is>
          <t>2022-12-30</t>
        </is>
      </c>
      <c r="C480" s="3" t="n">
        <v>32.25</v>
      </c>
      <c r="D480" s="3" t="inlineStr">
        <is>
          <t>2023-03-31</t>
        </is>
      </c>
      <c r="E480" s="3" t="n">
        <v>21.1</v>
      </c>
      <c r="F480" s="3" t="n">
        <v>-34.57</v>
      </c>
    </row>
    <row r="481">
      <c r="A481" s="3" t="inlineStr">
        <is>
          <t>Jindal Worldwide Ltd.</t>
        </is>
      </c>
      <c r="B481" s="3" t="inlineStr">
        <is>
          <t>2022-12-30</t>
        </is>
      </c>
      <c r="C481" s="3" t="n">
        <v>85.5</v>
      </c>
      <c r="D481" s="3" t="inlineStr">
        <is>
          <t>2023-03-31</t>
        </is>
      </c>
      <c r="E481" s="3" t="n">
        <v>64.15000000000001</v>
      </c>
      <c r="F481" s="3" t="n">
        <v>-24.97</v>
      </c>
    </row>
    <row r="482">
      <c r="A482" s="3" t="inlineStr">
        <is>
          <t>KCP Sugar &amp; Industri..</t>
        </is>
      </c>
      <c r="B482" s="3" t="inlineStr">
        <is>
          <t>2022-12-30</t>
        </is>
      </c>
      <c r="C482" s="3" t="n">
        <v>32.65</v>
      </c>
      <c r="D482" s="3" t="inlineStr">
        <is>
          <t>2023-03-31</t>
        </is>
      </c>
      <c r="E482" s="3" t="n">
        <v>23.55</v>
      </c>
      <c r="F482" s="3" t="n">
        <v>-27.87</v>
      </c>
    </row>
    <row r="483">
      <c r="A483" s="3" t="inlineStr">
        <is>
          <t>Rashtriya Chemicals ..</t>
        </is>
      </c>
      <c r="B483" s="3" t="inlineStr">
        <is>
          <t>2022-12-30</t>
        </is>
      </c>
      <c r="C483" s="3" t="n">
        <v>134.55</v>
      </c>
      <c r="D483" s="3" t="inlineStr">
        <is>
          <t>2023-03-31</t>
        </is>
      </c>
      <c r="E483" s="3" t="n">
        <v>95.34999999999999</v>
      </c>
      <c r="F483" s="3" t="n">
        <v>-29.13</v>
      </c>
    </row>
    <row r="484">
      <c r="A484" s="3" t="inlineStr">
        <is>
          <t>NACL Industries Ltd.</t>
        </is>
      </c>
      <c r="B484" s="3" t="inlineStr">
        <is>
          <t>2022-12-30</t>
        </is>
      </c>
      <c r="C484" s="3" t="n">
        <v>96.26000000000001</v>
      </c>
      <c r="D484" s="3" t="inlineStr">
        <is>
          <t>2023-03-31</t>
        </is>
      </c>
      <c r="E484" s="3" t="n">
        <v>74.90000000000001</v>
      </c>
      <c r="F484" s="3" t="n">
        <v>-22.19</v>
      </c>
    </row>
    <row r="485">
      <c r="A485" s="3" t="inlineStr">
        <is>
          <t>Mold-Tek Technologie..</t>
        </is>
      </c>
      <c r="B485" s="3" t="inlineStr">
        <is>
          <t>2022-12-30</t>
        </is>
      </c>
      <c r="C485" s="3" t="n">
        <v>141.9</v>
      </c>
      <c r="D485" s="3" t="inlineStr">
        <is>
          <t>2023-03-31</t>
        </is>
      </c>
      <c r="E485" s="3" t="n">
        <v>244.1</v>
      </c>
      <c r="F485" s="3" t="n">
        <v>72.02</v>
      </c>
    </row>
    <row r="486">
      <c r="A486" s="3" t="inlineStr">
        <is>
          <t>Denis Chem Lab Ltd.</t>
        </is>
      </c>
      <c r="B486" s="3" t="inlineStr">
        <is>
          <t>2022-12-30</t>
        </is>
      </c>
      <c r="C486" s="3" t="n">
        <v>101.85</v>
      </c>
      <c r="D486" s="3" t="inlineStr">
        <is>
          <t>2023-03-31</t>
        </is>
      </c>
      <c r="E486" s="3" t="n">
        <v>63.78</v>
      </c>
      <c r="F486" s="3" t="n">
        <v>-37.38</v>
      </c>
    </row>
    <row r="487">
      <c r="A487" s="3" t="inlineStr">
        <is>
          <t>Wealth First Portfol..</t>
        </is>
      </c>
      <c r="B487" s="3" t="inlineStr">
        <is>
          <t>2022-12-30</t>
        </is>
      </c>
      <c r="C487" s="3" t="n">
        <v>382.5</v>
      </c>
      <c r="D487" s="3" t="inlineStr">
        <is>
          <t>2023-03-31</t>
        </is>
      </c>
      <c r="E487" s="3" t="n">
        <v>284.7</v>
      </c>
      <c r="F487" s="3" t="n">
        <v>-25.57</v>
      </c>
    </row>
    <row r="488">
      <c r="A488" s="3" t="inlineStr">
        <is>
          <t>Nucleus Software Exp..</t>
        </is>
      </c>
      <c r="B488" s="3" t="inlineStr">
        <is>
          <t>2023-03-31</t>
        </is>
      </c>
      <c r="C488" s="3" t="n">
        <v>639.3</v>
      </c>
      <c r="D488" s="3" t="inlineStr">
        <is>
          <t>2023-06-30</t>
        </is>
      </c>
      <c r="E488" s="3" t="n">
        <v>1073.4</v>
      </c>
      <c r="F488" s="3" t="n">
        <v>67.90000000000001</v>
      </c>
    </row>
    <row r="489">
      <c r="A489" s="3" t="inlineStr">
        <is>
          <t>Finolex Cables Ltd.</t>
        </is>
      </c>
      <c r="B489" s="3" t="inlineStr">
        <is>
          <t>2023-03-31</t>
        </is>
      </c>
      <c r="C489" s="3" t="n">
        <v>812.6</v>
      </c>
      <c r="D489" s="3" t="inlineStr">
        <is>
          <t>2023-06-30</t>
        </is>
      </c>
      <c r="E489" s="3" t="n">
        <v>858.75</v>
      </c>
      <c r="F489" s="3" t="n">
        <v>5.68</v>
      </c>
    </row>
    <row r="490">
      <c r="A490" s="3" t="inlineStr">
        <is>
          <t>Ingersoll-Rand (Indi..</t>
        </is>
      </c>
      <c r="B490" s="3" t="inlineStr">
        <is>
          <t>2023-03-31</t>
        </is>
      </c>
      <c r="C490" s="3" t="n">
        <v>2618.95</v>
      </c>
      <c r="D490" s="3" t="inlineStr">
        <is>
          <t>2023-06-30</t>
        </is>
      </c>
      <c r="E490" s="3" t="n">
        <v>2859.2</v>
      </c>
      <c r="F490" s="3" t="n">
        <v>9.17</v>
      </c>
    </row>
    <row r="491">
      <c r="A491" s="3" t="inlineStr">
        <is>
          <t>Shivalik Bimetal Con..</t>
        </is>
      </c>
      <c r="B491" s="3" t="inlineStr">
        <is>
          <t>2023-03-31</t>
        </is>
      </c>
      <c r="C491" s="3" t="n">
        <v>513.45</v>
      </c>
      <c r="D491" s="3" t="inlineStr">
        <is>
          <t>2023-06-30</t>
        </is>
      </c>
      <c r="E491" s="3" t="n">
        <v>617.2</v>
      </c>
      <c r="F491" s="3" t="n">
        <v>20.21</v>
      </c>
    </row>
    <row r="492">
      <c r="A492" s="3" t="inlineStr">
        <is>
          <t>Vibrant Global Capit..</t>
        </is>
      </c>
      <c r="B492" s="3" t="inlineStr">
        <is>
          <t>2023-03-31</t>
        </is>
      </c>
      <c r="C492" s="3" t="n">
        <v>58.7</v>
      </c>
      <c r="D492" s="3" t="inlineStr">
        <is>
          <t>2023-06-30</t>
        </is>
      </c>
      <c r="E492" s="3" t="n">
        <v>48.05</v>
      </c>
      <c r="F492" s="3" t="n">
        <v>-18.14</v>
      </c>
    </row>
    <row r="493">
      <c r="A493" s="3" t="inlineStr">
        <is>
          <t>Anupam Rasayan India..</t>
        </is>
      </c>
      <c r="B493" s="3" t="inlineStr">
        <is>
          <t>2023-03-31</t>
        </is>
      </c>
      <c r="C493" s="3" t="n">
        <v>865.35</v>
      </c>
      <c r="D493" s="3" t="inlineStr">
        <is>
          <t>2023-06-30</t>
        </is>
      </c>
      <c r="E493" s="3" t="n">
        <v>1030</v>
      </c>
      <c r="F493" s="3" t="n">
        <v>19.03</v>
      </c>
    </row>
    <row r="494">
      <c r="A494" s="3" t="inlineStr">
        <is>
          <t>Himatsingka Seide Ltd.</t>
        </is>
      </c>
      <c r="B494" s="3" t="inlineStr">
        <is>
          <t>2023-06-30</t>
        </is>
      </c>
      <c r="C494" s="3" t="n">
        <v>114.95</v>
      </c>
      <c r="D494" s="3" t="inlineStr">
        <is>
          <t>2023-09-29</t>
        </is>
      </c>
      <c r="E494" s="3" t="n">
        <v>136.95</v>
      </c>
      <c r="F494" s="3" t="n">
        <v>19.14</v>
      </c>
    </row>
    <row r="495">
      <c r="A495" s="3" t="inlineStr">
        <is>
          <t>Welspun Enterprises ..</t>
        </is>
      </c>
      <c r="B495" s="3" t="inlineStr">
        <is>
          <t>2023-06-30</t>
        </is>
      </c>
      <c r="C495" s="3" t="n">
        <v>201.8</v>
      </c>
      <c r="D495" s="3" t="inlineStr">
        <is>
          <t>2023-09-29</t>
        </is>
      </c>
      <c r="E495" s="3" t="n">
        <v>283.9</v>
      </c>
      <c r="F495" s="3" t="n">
        <v>40.68</v>
      </c>
    </row>
    <row r="496">
      <c r="A496" s="3" t="inlineStr">
        <is>
          <t>Dhunseri Ventures Ltd.</t>
        </is>
      </c>
      <c r="B496" s="3" t="inlineStr">
        <is>
          <t>2023-06-30</t>
        </is>
      </c>
      <c r="C496" s="3" t="n">
        <v>284.7</v>
      </c>
      <c r="D496" s="3" t="inlineStr">
        <is>
          <t>2023-09-29</t>
        </is>
      </c>
      <c r="E496" s="3" t="n">
        <v>267.85</v>
      </c>
      <c r="F496" s="3" t="n">
        <v>-5.92</v>
      </c>
    </row>
    <row r="497">
      <c r="A497" s="3" t="inlineStr">
        <is>
          <t>Sarla Performance Fi..</t>
        </is>
      </c>
      <c r="B497" s="3" t="inlineStr">
        <is>
          <t>2023-06-30</t>
        </is>
      </c>
      <c r="C497" s="3" t="n">
        <v>48.65</v>
      </c>
      <c r="D497" s="3" t="inlineStr">
        <is>
          <t>2023-09-29</t>
        </is>
      </c>
      <c r="E497" s="3" t="n">
        <v>49.35</v>
      </c>
      <c r="F497" s="3" t="n">
        <v>1.44</v>
      </c>
    </row>
    <row r="498">
      <c r="A498" s="3" t="inlineStr">
        <is>
          <t>Snowman Logistics Ltd.</t>
        </is>
      </c>
      <c r="B498" s="3" t="inlineStr">
        <is>
          <t>2023-06-30</t>
        </is>
      </c>
      <c r="C498" s="3" t="n">
        <v>45.85</v>
      </c>
      <c r="D498" s="3" t="inlineStr">
        <is>
          <t>2023-09-29</t>
        </is>
      </c>
      <c r="E498" s="3" t="n">
        <v>50.45</v>
      </c>
      <c r="F498" s="3" t="n">
        <v>10.03</v>
      </c>
    </row>
    <row r="499">
      <c r="A499" s="3" t="inlineStr">
        <is>
          <t>Pearl Global Industr..</t>
        </is>
      </c>
      <c r="B499" s="3" t="inlineStr">
        <is>
          <t>2023-06-30</t>
        </is>
      </c>
      <c r="C499" s="3" t="n">
        <v>160.93</v>
      </c>
      <c r="D499" s="3" t="inlineStr">
        <is>
          <t>2023-09-29</t>
        </is>
      </c>
      <c r="E499" s="3" t="n">
        <v>252.2</v>
      </c>
      <c r="F499" s="3" t="n">
        <v>56.71</v>
      </c>
    </row>
    <row r="500">
      <c r="A500" s="3" t="inlineStr">
        <is>
          <t>LG Balakrishnan &amp; Br..</t>
        </is>
      </c>
      <c r="B500" s="3" t="inlineStr">
        <is>
          <t>2023-06-30</t>
        </is>
      </c>
      <c r="C500" s="3" t="n">
        <v>1142.6</v>
      </c>
      <c r="D500" s="3" t="inlineStr">
        <is>
          <t>2023-09-29</t>
        </is>
      </c>
      <c r="E500" s="3" t="n">
        <v>1063.65</v>
      </c>
      <c r="F500" s="3" t="n">
        <v>-6.91</v>
      </c>
    </row>
    <row r="501">
      <c r="A501" s="3" t="inlineStr">
        <is>
          <t>Disa India Ltd.</t>
        </is>
      </c>
      <c r="B501" s="3" t="inlineStr">
        <is>
          <t>2023-06-30</t>
        </is>
      </c>
      <c r="C501" s="3" t="n">
        <v>10100.8</v>
      </c>
      <c r="D501" s="3" t="inlineStr">
        <is>
          <t>2023-09-29</t>
        </is>
      </c>
      <c r="E501" s="3" t="n">
        <v>14245</v>
      </c>
      <c r="F501" s="3" t="n">
        <v>41.03</v>
      </c>
    </row>
    <row r="502">
      <c r="A502" s="3" t="inlineStr">
        <is>
          <t>Godawari Power &amp; Isp..</t>
        </is>
      </c>
      <c r="B502" s="3" t="inlineStr">
        <is>
          <t>2023-06-30</t>
        </is>
      </c>
      <c r="C502" s="3" t="n">
        <v>105.71</v>
      </c>
      <c r="D502" s="3" t="inlineStr">
        <is>
          <t>2023-09-29</t>
        </is>
      </c>
      <c r="E502" s="3" t="n">
        <v>126.71</v>
      </c>
      <c r="F502" s="3" t="n">
        <v>19.87</v>
      </c>
    </row>
    <row r="503">
      <c r="A503" s="3" t="inlineStr">
        <is>
          <t>Century Plyboards (I..</t>
        </is>
      </c>
      <c r="B503" s="3" t="inlineStr">
        <is>
          <t>2023-06-30</t>
        </is>
      </c>
      <c r="C503" s="3" t="n">
        <v>661.8</v>
      </c>
      <c r="D503" s="3" t="inlineStr">
        <is>
          <t>2023-09-29</t>
        </is>
      </c>
      <c r="E503" s="3" t="n">
        <v>647.3</v>
      </c>
      <c r="F503" s="3" t="n">
        <v>-2.19</v>
      </c>
    </row>
    <row r="504">
      <c r="A504" s="3" t="inlineStr">
        <is>
          <t>Cambridge Technology..</t>
        </is>
      </c>
      <c r="B504" s="3" t="inlineStr">
        <is>
          <t>2023-06-30</t>
        </is>
      </c>
      <c r="C504" s="3" t="n">
        <v>70.7</v>
      </c>
      <c r="D504" s="3" t="inlineStr">
        <is>
          <t>2023-09-29</t>
        </is>
      </c>
      <c r="E504" s="3" t="n">
        <v>61.25</v>
      </c>
      <c r="F504" s="3" t="n">
        <v>-13.37</v>
      </c>
    </row>
    <row r="505">
      <c r="A505" s="3" t="inlineStr">
        <is>
          <t>Datamatics Global Se..</t>
        </is>
      </c>
      <c r="B505" s="3" t="inlineStr">
        <is>
          <t>2023-06-30</t>
        </is>
      </c>
      <c r="C505" s="3" t="n">
        <v>558.2</v>
      </c>
      <c r="D505" s="3" t="inlineStr">
        <is>
          <t>2023-09-29</t>
        </is>
      </c>
      <c r="E505" s="3" t="n">
        <v>603.6</v>
      </c>
      <c r="F505" s="3" t="n">
        <v>8.130000000000001</v>
      </c>
    </row>
    <row r="506">
      <c r="A506" s="3" t="inlineStr">
        <is>
          <t>63 Moons Technologie..</t>
        </is>
      </c>
      <c r="B506" s="3" t="inlineStr">
        <is>
          <t>2023-06-30</t>
        </is>
      </c>
      <c r="C506" s="3" t="n">
        <v>243.65</v>
      </c>
      <c r="D506" s="3" t="inlineStr">
        <is>
          <t>2023-09-29</t>
        </is>
      </c>
      <c r="E506" s="3" t="n">
        <v>280.3</v>
      </c>
      <c r="F506" s="3" t="n">
        <v>15.04</v>
      </c>
    </row>
    <row r="507">
      <c r="A507" s="3" t="inlineStr">
        <is>
          <t>GKW Ltd.</t>
        </is>
      </c>
      <c r="B507" s="3" t="inlineStr">
        <is>
          <t>2023-06-30</t>
        </is>
      </c>
      <c r="C507" s="3" t="n">
        <v>860.35</v>
      </c>
      <c r="D507" s="3" t="inlineStr">
        <is>
          <t>2023-09-29</t>
        </is>
      </c>
      <c r="E507" s="3" t="n">
        <v>935</v>
      </c>
      <c r="F507" s="3" t="n">
        <v>8.68</v>
      </c>
    </row>
    <row r="508">
      <c r="A508" s="3" t="inlineStr">
        <is>
          <t>HEG Advanced Materia..</t>
        </is>
      </c>
      <c r="B508" s="3" t="inlineStr">
        <is>
          <t>2023-06-30</t>
        </is>
      </c>
      <c r="C508" s="3" t="n">
        <v>326.07</v>
      </c>
      <c r="D508" s="3" t="inlineStr">
        <is>
          <t>2023-09-29</t>
        </is>
      </c>
      <c r="E508" s="3" t="n">
        <v>344.66</v>
      </c>
      <c r="F508" s="3" t="n">
        <v>5.7</v>
      </c>
    </row>
    <row r="509">
      <c r="A509" s="3" t="inlineStr">
        <is>
          <t>Hirect Ltd.</t>
        </is>
      </c>
      <c r="B509" s="3" t="inlineStr">
        <is>
          <t>2023-06-30</t>
        </is>
      </c>
      <c r="C509" s="3" t="n">
        <v>155.08</v>
      </c>
      <c r="D509" s="3" t="inlineStr">
        <is>
          <t>2023-09-29</t>
        </is>
      </c>
      <c r="E509" s="3" t="n">
        <v>172.38</v>
      </c>
      <c r="F509" s="3" t="n">
        <v>11.16</v>
      </c>
    </row>
    <row r="510">
      <c r="A510" s="3" t="inlineStr">
        <is>
          <t>Hitech Corporation L..</t>
        </is>
      </c>
      <c r="B510" s="3" t="inlineStr">
        <is>
          <t>2023-06-30</t>
        </is>
      </c>
      <c r="C510" s="3" t="n">
        <v>240.15</v>
      </c>
      <c r="D510" s="3" t="inlineStr">
        <is>
          <t>2023-09-29</t>
        </is>
      </c>
      <c r="E510" s="3" t="n">
        <v>227.05</v>
      </c>
      <c r="F510" s="3" t="n">
        <v>-5.45</v>
      </c>
    </row>
    <row r="511">
      <c r="A511" s="3" t="inlineStr">
        <is>
          <t>Indo Count Industrie..</t>
        </is>
      </c>
      <c r="B511" s="3" t="inlineStr">
        <is>
          <t>2023-06-30</t>
        </is>
      </c>
      <c r="C511" s="3" t="n">
        <v>206.95</v>
      </c>
      <c r="D511" s="3" t="inlineStr">
        <is>
          <t>2023-09-29</t>
        </is>
      </c>
      <c r="E511" s="3" t="n">
        <v>223.45</v>
      </c>
      <c r="F511" s="3" t="n">
        <v>7.97</v>
      </c>
    </row>
    <row r="512">
      <c r="A512" s="3" t="inlineStr">
        <is>
          <t>L&amp;T Finance Ltd.</t>
        </is>
      </c>
      <c r="B512" s="3" t="inlineStr">
        <is>
          <t>2023-06-30</t>
        </is>
      </c>
      <c r="C512" s="3" t="n">
        <v>127.7</v>
      </c>
      <c r="D512" s="3" t="inlineStr">
        <is>
          <t>2023-09-29</t>
        </is>
      </c>
      <c r="E512" s="3" t="n">
        <v>133.1</v>
      </c>
      <c r="F512" s="3" t="n">
        <v>4.23</v>
      </c>
    </row>
    <row r="513">
      <c r="A513" s="3" t="inlineStr">
        <is>
          <t>Mahindra &amp; Mahindra ..</t>
        </is>
      </c>
      <c r="B513" s="3" t="inlineStr">
        <is>
          <t>2023-06-30</t>
        </is>
      </c>
      <c r="C513" s="3" t="n">
        <v>327.36</v>
      </c>
      <c r="D513" s="3" t="inlineStr">
        <is>
          <t>2023-09-29</t>
        </is>
      </c>
      <c r="E513" s="3" t="n">
        <v>293.21</v>
      </c>
      <c r="F513" s="3" t="n">
        <v>-10.43</v>
      </c>
    </row>
    <row r="514">
      <c r="A514" s="3" t="inlineStr">
        <is>
          <t>Man Infraconstructio..</t>
        </is>
      </c>
      <c r="B514" s="3" t="inlineStr">
        <is>
          <t>2023-06-30</t>
        </is>
      </c>
      <c r="C514" s="3" t="n">
        <v>114</v>
      </c>
      <c r="D514" s="3" t="inlineStr">
        <is>
          <t>2023-09-29</t>
        </is>
      </c>
      <c r="E514" s="3" t="n">
        <v>152.1</v>
      </c>
      <c r="F514" s="3" t="n">
        <v>33.42</v>
      </c>
    </row>
    <row r="515">
      <c r="A515" s="3" t="inlineStr">
        <is>
          <t>NLC India Ltd.</t>
        </is>
      </c>
      <c r="B515" s="3" t="inlineStr">
        <is>
          <t>2023-06-30</t>
        </is>
      </c>
      <c r="C515" s="3" t="n">
        <v>108.45</v>
      </c>
      <c r="D515" s="3" t="inlineStr">
        <is>
          <t>2023-09-29</t>
        </is>
      </c>
      <c r="E515" s="3" t="n">
        <v>134.95</v>
      </c>
      <c r="F515" s="3" t="n">
        <v>24.44</v>
      </c>
    </row>
    <row r="516">
      <c r="A516" s="3" t="inlineStr">
        <is>
          <t>Power Finance Corpor..</t>
        </is>
      </c>
      <c r="B516" s="3" t="inlineStr">
        <is>
          <t>2023-06-30</t>
        </is>
      </c>
      <c r="C516" s="3" t="n">
        <v>172.72</v>
      </c>
      <c r="D516" s="3" t="inlineStr">
        <is>
          <t>2023-09-29</t>
        </is>
      </c>
      <c r="E516" s="3" t="n">
        <v>251.9</v>
      </c>
      <c r="F516" s="3" t="n">
        <v>45.84</v>
      </c>
    </row>
    <row r="517">
      <c r="A517" s="3" t="inlineStr">
        <is>
          <t>PTC India Financial ..</t>
        </is>
      </c>
      <c r="B517" s="3" t="inlineStr">
        <is>
          <t>2023-06-30</t>
        </is>
      </c>
      <c r="C517" s="3" t="n">
        <v>20</v>
      </c>
      <c r="D517" s="3" t="inlineStr">
        <is>
          <t>2023-09-29</t>
        </is>
      </c>
      <c r="E517" s="3" t="n">
        <v>29.25</v>
      </c>
      <c r="F517" s="3" t="n">
        <v>46.25</v>
      </c>
    </row>
    <row r="518">
      <c r="A518" s="3" t="inlineStr">
        <is>
          <t>Repco Home Finance L..</t>
        </is>
      </c>
      <c r="B518" s="3" t="inlineStr">
        <is>
          <t>2023-06-30</t>
        </is>
      </c>
      <c r="C518" s="3" t="n">
        <v>312.15</v>
      </c>
      <c r="D518" s="3" t="inlineStr">
        <is>
          <t>2023-09-29</t>
        </is>
      </c>
      <c r="E518" s="3" t="n">
        <v>384.4</v>
      </c>
      <c r="F518" s="3" t="n">
        <v>23.15</v>
      </c>
    </row>
    <row r="519">
      <c r="A519" s="3" t="inlineStr">
        <is>
          <t>Sarda Energy &amp; Miner..</t>
        </is>
      </c>
      <c r="B519" s="3" t="inlineStr">
        <is>
          <t>2023-06-30</t>
        </is>
      </c>
      <c r="C519" s="3" t="n">
        <v>146.78</v>
      </c>
      <c r="D519" s="3" t="inlineStr">
        <is>
          <t>2023-09-29</t>
        </is>
      </c>
      <c r="E519" s="3" t="n">
        <v>220.3</v>
      </c>
      <c r="F519" s="3" t="n">
        <v>50.09</v>
      </c>
    </row>
    <row r="520">
      <c r="A520" s="3" t="inlineStr">
        <is>
          <t>Saregama India Ltd.</t>
        </is>
      </c>
      <c r="B520" s="3" t="inlineStr">
        <is>
          <t>2023-06-30</t>
        </is>
      </c>
      <c r="C520" s="3" t="n">
        <v>408</v>
      </c>
      <c r="D520" s="3" t="inlineStr">
        <is>
          <t>2023-09-29</t>
        </is>
      </c>
      <c r="E520" s="3" t="n">
        <v>362.45</v>
      </c>
      <c r="F520" s="3" t="n">
        <v>-11.16</v>
      </c>
    </row>
    <row r="521">
      <c r="A521" s="3" t="inlineStr">
        <is>
          <t>Tanla Platforms Ltd.</t>
        </is>
      </c>
      <c r="B521" s="3" t="inlineStr">
        <is>
          <t>2023-06-30</t>
        </is>
      </c>
      <c r="C521" s="3" t="n">
        <v>1022.85</v>
      </c>
      <c r="D521" s="3" t="inlineStr">
        <is>
          <t>2023-09-29</t>
        </is>
      </c>
      <c r="E521" s="3" t="n">
        <v>1037.6</v>
      </c>
      <c r="F521" s="3" t="n">
        <v>1.44</v>
      </c>
    </row>
    <row r="522">
      <c r="A522" s="3" t="inlineStr">
        <is>
          <t>Tips Music Ltd.</t>
        </is>
      </c>
      <c r="B522" s="3" t="inlineStr">
        <is>
          <t>2023-06-30</t>
        </is>
      </c>
      <c r="C522" s="3" t="n">
        <v>267.2</v>
      </c>
      <c r="D522" s="3" t="inlineStr">
        <is>
          <t>2023-09-29</t>
        </is>
      </c>
      <c r="E522" s="3" t="n">
        <v>309.25</v>
      </c>
      <c r="F522" s="3" t="n">
        <v>15.74</v>
      </c>
    </row>
    <row r="523">
      <c r="A523" s="3" t="inlineStr">
        <is>
          <t>V2 Retail Ltd.</t>
        </is>
      </c>
      <c r="B523" s="3" t="inlineStr">
        <is>
          <t>2023-06-30</t>
        </is>
      </c>
      <c r="C523" s="3" t="n">
        <v>13.24</v>
      </c>
      <c r="D523" s="3" t="inlineStr">
        <is>
          <t>2023-09-29</t>
        </is>
      </c>
      <c r="E523" s="3" t="n">
        <v>16.6</v>
      </c>
      <c r="F523" s="3" t="n">
        <v>25.38</v>
      </c>
    </row>
    <row r="524">
      <c r="A524" s="3" t="inlineStr">
        <is>
          <t>Xchanging Solutions ..</t>
        </is>
      </c>
      <c r="B524" s="3" t="inlineStr">
        <is>
          <t>2023-06-30</t>
        </is>
      </c>
      <c r="C524" s="3" t="n">
        <v>88</v>
      </c>
      <c r="D524" s="3" t="inlineStr">
        <is>
          <t>2023-09-29</t>
        </is>
      </c>
      <c r="E524" s="3" t="n">
        <v>91.40000000000001</v>
      </c>
      <c r="F524" s="3" t="n">
        <v>3.86</v>
      </c>
    </row>
    <row r="525">
      <c r="A525" s="3" t="inlineStr">
        <is>
          <t>Muthoot Capital Serv..</t>
        </is>
      </c>
      <c r="B525" s="3" t="inlineStr">
        <is>
          <t>2023-06-30</t>
        </is>
      </c>
      <c r="C525" s="3" t="n">
        <v>384.65</v>
      </c>
      <c r="D525" s="3" t="inlineStr">
        <is>
          <t>2023-09-29</t>
        </is>
      </c>
      <c r="E525" s="3" t="n">
        <v>437.45</v>
      </c>
      <c r="F525" s="3" t="n">
        <v>13.73</v>
      </c>
    </row>
    <row r="526">
      <c r="A526" s="3" t="inlineStr">
        <is>
          <t>Welspun Specialty So..</t>
        </is>
      </c>
      <c r="B526" s="3" t="inlineStr">
        <is>
          <t>2023-06-30</t>
        </is>
      </c>
      <c r="C526" s="3" t="n">
        <v>24.95</v>
      </c>
      <c r="D526" s="3" t="inlineStr">
        <is>
          <t>2023-09-29</t>
        </is>
      </c>
      <c r="E526" s="3" t="n">
        <v>33.55</v>
      </c>
      <c r="F526" s="3" t="n">
        <v>34.47</v>
      </c>
    </row>
    <row r="527">
      <c r="A527" s="3" t="inlineStr">
        <is>
          <t>Garware Hi-Tech Film..</t>
        </is>
      </c>
      <c r="B527" s="3" t="inlineStr">
        <is>
          <t>2023-06-30</t>
        </is>
      </c>
      <c r="C527" s="3" t="n">
        <v>882.35</v>
      </c>
      <c r="D527" s="3" t="inlineStr">
        <is>
          <t>2023-09-29</t>
        </is>
      </c>
      <c r="E527" s="3" t="n">
        <v>1462.2</v>
      </c>
      <c r="F527" s="3" t="n">
        <v>65.72</v>
      </c>
    </row>
    <row r="528">
      <c r="A528" s="3" t="inlineStr">
        <is>
          <t>High Energy Batterie..</t>
        </is>
      </c>
      <c r="B528" s="3" t="inlineStr">
        <is>
          <t>2023-06-30</t>
        </is>
      </c>
      <c r="C528" s="3" t="n">
        <v>512.5</v>
      </c>
      <c r="D528" s="3" t="inlineStr">
        <is>
          <t>2023-09-29</t>
        </is>
      </c>
      <c r="E528" s="3" t="n">
        <v>538.45</v>
      </c>
      <c r="F528" s="3" t="n">
        <v>5.06</v>
      </c>
    </row>
    <row r="529">
      <c r="A529" s="3" t="inlineStr">
        <is>
          <t>SNL Bearings Ltd.</t>
        </is>
      </c>
      <c r="B529" s="3" t="inlineStr">
        <is>
          <t>2023-06-30</t>
        </is>
      </c>
      <c r="C529" s="3" t="n">
        <v>338.45</v>
      </c>
      <c r="D529" s="3" t="inlineStr">
        <is>
          <t>2023-09-29</t>
        </is>
      </c>
      <c r="E529" s="3" t="n">
        <v>376</v>
      </c>
      <c r="F529" s="3" t="n">
        <v>11.09</v>
      </c>
    </row>
    <row r="530">
      <c r="A530" s="3" t="inlineStr">
        <is>
          <t>Lancor Holdings Ltd.</t>
        </is>
      </c>
      <c r="B530" s="3" t="inlineStr">
        <is>
          <t>2023-06-30</t>
        </is>
      </c>
      <c r="C530" s="3" t="n">
        <v>31.39</v>
      </c>
      <c r="D530" s="3" t="inlineStr">
        <is>
          <t>2023-09-29</t>
        </is>
      </c>
      <c r="E530" s="3" t="n">
        <v>37.12</v>
      </c>
      <c r="F530" s="3" t="n">
        <v>18.25</v>
      </c>
    </row>
    <row r="531">
      <c r="A531" s="3" t="inlineStr">
        <is>
          <t>International Convey..</t>
        </is>
      </c>
      <c r="B531" s="3" t="inlineStr">
        <is>
          <t>2023-06-30</t>
        </is>
      </c>
      <c r="C531" s="3" t="n">
        <v>71.09999999999999</v>
      </c>
      <c r="D531" s="3" t="inlineStr">
        <is>
          <t>2023-09-29</t>
        </is>
      </c>
      <c r="E531" s="3" t="n">
        <v>81.55</v>
      </c>
      <c r="F531" s="3" t="n">
        <v>14.7</v>
      </c>
    </row>
    <row r="532">
      <c r="A532" s="3" t="inlineStr">
        <is>
          <t>Avonmore Capital &amp; M..</t>
        </is>
      </c>
      <c r="B532" s="3" t="inlineStr">
        <is>
          <t>2023-06-30</t>
        </is>
      </c>
      <c r="C532" s="3" t="n">
        <v>7.47</v>
      </c>
      <c r="D532" s="3" t="inlineStr">
        <is>
          <t>2023-09-29</t>
        </is>
      </c>
      <c r="E532" s="3" t="n">
        <v>6.62</v>
      </c>
      <c r="F532" s="3" t="n">
        <v>-11.38</v>
      </c>
    </row>
    <row r="533">
      <c r="A533" s="3" t="inlineStr">
        <is>
          <t>Starteck Finance Ltd.</t>
        </is>
      </c>
      <c r="B533" s="3" t="inlineStr">
        <is>
          <t>2023-06-30</t>
        </is>
      </c>
      <c r="C533" s="3" t="n">
        <v>148.55</v>
      </c>
      <c r="D533" s="3" t="inlineStr">
        <is>
          <t>2023-09-29</t>
        </is>
      </c>
      <c r="E533" s="3" t="n">
        <v>155</v>
      </c>
      <c r="F533" s="3" t="n">
        <v>4.34</v>
      </c>
    </row>
    <row r="534">
      <c r="A534" s="3" t="inlineStr">
        <is>
          <t>Tasty Bite Eatables ..</t>
        </is>
      </c>
      <c r="B534" s="3" t="inlineStr">
        <is>
          <t>2023-06-30</t>
        </is>
      </c>
      <c r="C534" s="3" t="n">
        <v>13612.75</v>
      </c>
      <c r="D534" s="3" t="inlineStr">
        <is>
          <t>2023-09-29</t>
        </is>
      </c>
      <c r="E534" s="3" t="n">
        <v>16319.5</v>
      </c>
      <c r="F534" s="3" t="n">
        <v>19.88</v>
      </c>
    </row>
    <row r="535">
      <c r="A535" s="3" t="inlineStr">
        <is>
          <t>Taneja Aerospace &amp; A..</t>
        </is>
      </c>
      <c r="B535" s="3" t="inlineStr">
        <is>
          <t>2023-06-30</t>
        </is>
      </c>
      <c r="C535" s="3" t="n">
        <v>172.85</v>
      </c>
      <c r="D535" s="3" t="inlineStr">
        <is>
          <t>2023-09-29</t>
        </is>
      </c>
      <c r="E535" s="3" t="n">
        <v>244.7</v>
      </c>
      <c r="F535" s="3" t="n">
        <v>41.57</v>
      </c>
    </row>
    <row r="536">
      <c r="A536" s="3" t="inlineStr">
        <is>
          <t>Rajoo Engineers Ltd.</t>
        </is>
      </c>
      <c r="B536" s="3" t="inlineStr">
        <is>
          <t>2023-06-30</t>
        </is>
      </c>
      <c r="C536" s="3" t="n">
        <v>16.46</v>
      </c>
      <c r="D536" s="3" t="inlineStr">
        <is>
          <t>2023-09-29</t>
        </is>
      </c>
      <c r="E536" s="3" t="n">
        <v>31.09</v>
      </c>
      <c r="F536" s="3" t="n">
        <v>88.88</v>
      </c>
    </row>
    <row r="537">
      <c r="A537" s="3" t="inlineStr">
        <is>
          <t>Eldeco Housing &amp; Ind..</t>
        </is>
      </c>
      <c r="B537" s="3" t="inlineStr">
        <is>
          <t>2023-06-30</t>
        </is>
      </c>
      <c r="C537" s="3" t="n">
        <v>828.55</v>
      </c>
      <c r="D537" s="3" t="inlineStr">
        <is>
          <t>2023-09-29</t>
        </is>
      </c>
      <c r="E537" s="3" t="n">
        <v>718.6</v>
      </c>
      <c r="F537" s="3" t="n">
        <v>-13.27</v>
      </c>
    </row>
    <row r="538">
      <c r="A538" s="3" t="inlineStr">
        <is>
          <t>Fortis Malar Hospita..</t>
        </is>
      </c>
      <c r="B538" s="3" t="inlineStr">
        <is>
          <t>2023-06-30</t>
        </is>
      </c>
      <c r="C538" s="3" t="n">
        <v>61.98</v>
      </c>
      <c r="D538" s="3" t="inlineStr">
        <is>
          <t>2023-09-29</t>
        </is>
      </c>
      <c r="E538" s="3" t="n">
        <v>56.41</v>
      </c>
      <c r="F538" s="3" t="n">
        <v>-8.99</v>
      </c>
    </row>
    <row r="539">
      <c r="A539" s="3" t="inlineStr">
        <is>
          <t>Carysil Ltd.</t>
        </is>
      </c>
      <c r="B539" s="3" t="inlineStr">
        <is>
          <t>2023-06-30</t>
        </is>
      </c>
      <c r="C539" s="3" t="n">
        <v>704.9</v>
      </c>
      <c r="D539" s="3" t="inlineStr">
        <is>
          <t>2023-09-29</t>
        </is>
      </c>
      <c r="E539" s="3" t="n">
        <v>620.1</v>
      </c>
      <c r="F539" s="3" t="n">
        <v>-12.03</v>
      </c>
    </row>
    <row r="540">
      <c r="A540" s="3" t="inlineStr">
        <is>
          <t>Alufluoride Ltd.</t>
        </is>
      </c>
      <c r="B540" s="3" t="inlineStr">
        <is>
          <t>2023-06-30</t>
        </is>
      </c>
      <c r="C540" s="3" t="n">
        <v>418.05</v>
      </c>
      <c r="D540" s="3" t="inlineStr">
        <is>
          <t>2023-09-29</t>
        </is>
      </c>
      <c r="E540" s="3" t="n">
        <v>439.05</v>
      </c>
      <c r="F540" s="3" t="n">
        <v>5.02</v>
      </c>
    </row>
    <row r="541">
      <c r="A541" s="3" t="inlineStr">
        <is>
          <t>M K Exim (India) Ltd.</t>
        </is>
      </c>
      <c r="B541" s="3" t="inlineStr">
        <is>
          <t>2023-06-30</t>
        </is>
      </c>
      <c r="C541" s="3" t="n">
        <v>66.01000000000001</v>
      </c>
      <c r="D541" s="3" t="inlineStr">
        <is>
          <t>2023-09-29</t>
        </is>
      </c>
      <c r="E541" s="3" t="n">
        <v>74.5</v>
      </c>
      <c r="F541" s="3" t="n">
        <v>12.86</v>
      </c>
    </row>
    <row r="542">
      <c r="A542" s="3" t="inlineStr">
        <is>
          <t>Dilip Buildcon Ltd.</t>
        </is>
      </c>
      <c r="B542" s="3" t="inlineStr">
        <is>
          <t>2023-06-30</t>
        </is>
      </c>
      <c r="C542" s="3" t="n">
        <v>238.2</v>
      </c>
      <c r="D542" s="3" t="inlineStr">
        <is>
          <t>2023-09-29</t>
        </is>
      </c>
      <c r="E542" s="3" t="n">
        <v>311.35</v>
      </c>
      <c r="F542" s="3" t="n">
        <v>30.71</v>
      </c>
    </row>
    <row r="543">
      <c r="A543" s="3" t="inlineStr">
        <is>
          <t>S P Apparels Ltd.</t>
        </is>
      </c>
      <c r="B543" s="3" t="inlineStr">
        <is>
          <t>2023-06-30</t>
        </is>
      </c>
      <c r="C543" s="3" t="n">
        <v>465.35</v>
      </c>
      <c r="D543" s="3" t="inlineStr">
        <is>
          <t>2023-09-29</t>
        </is>
      </c>
      <c r="E543" s="3" t="n">
        <v>505.85</v>
      </c>
      <c r="F543" s="3" t="n">
        <v>8.699999999999999</v>
      </c>
    </row>
    <row r="544">
      <c r="A544" s="3" t="inlineStr">
        <is>
          <t>Nippon Life India As..</t>
        </is>
      </c>
      <c r="B544" s="3" t="inlineStr">
        <is>
          <t>2023-06-30</t>
        </is>
      </c>
      <c r="C544" s="3" t="n">
        <v>288.15</v>
      </c>
      <c r="D544" s="3" t="inlineStr">
        <is>
          <t>2023-09-29</t>
        </is>
      </c>
      <c r="E544" s="3" t="n">
        <v>327.95</v>
      </c>
      <c r="F544" s="3" t="n">
        <v>13.81</v>
      </c>
    </row>
    <row r="545">
      <c r="A545" s="3" t="inlineStr">
        <is>
          <t>Shree Ganesh Remedie..</t>
        </is>
      </c>
      <c r="B545" s="3" t="inlineStr">
        <is>
          <t>2023-06-30</t>
        </is>
      </c>
      <c r="C545" s="3" t="n">
        <v>408.8</v>
      </c>
      <c r="D545" s="3" t="inlineStr">
        <is>
          <t>2023-09-29</t>
        </is>
      </c>
      <c r="E545" s="3" t="n">
        <v>486.4</v>
      </c>
      <c r="F545" s="3" t="n">
        <v>18.98</v>
      </c>
    </row>
    <row r="546">
      <c r="A546" s="3" t="inlineStr">
        <is>
          <t>Hindustan Aeronautic..</t>
        </is>
      </c>
      <c r="B546" s="3" t="inlineStr">
        <is>
          <t>2023-06-30</t>
        </is>
      </c>
      <c r="C546" s="3" t="n">
        <v>1896.25</v>
      </c>
      <c r="D546" s="3" t="inlineStr">
        <is>
          <t>2023-09-29</t>
        </is>
      </c>
      <c r="E546" s="3" t="n">
        <v>1928.15</v>
      </c>
      <c r="F546" s="3" t="n">
        <v>1.68</v>
      </c>
    </row>
    <row r="547">
      <c r="A547" s="3" t="inlineStr">
        <is>
          <t>Sandhar Technologies..</t>
        </is>
      </c>
      <c r="B547" s="3" t="inlineStr">
        <is>
          <t>2023-06-30</t>
        </is>
      </c>
      <c r="C547" s="3" t="n">
        <v>316.6</v>
      </c>
      <c r="D547" s="3" t="inlineStr">
        <is>
          <t>2023-09-29</t>
        </is>
      </c>
      <c r="E547" s="3" t="n">
        <v>406.3</v>
      </c>
      <c r="F547" s="3" t="n">
        <v>28.33</v>
      </c>
    </row>
    <row r="548">
      <c r="A548" s="3" t="inlineStr">
        <is>
          <t>Max India Ltd.</t>
        </is>
      </c>
      <c r="B548" s="3" t="inlineStr">
        <is>
          <t>2023-06-30</t>
        </is>
      </c>
      <c r="C548" s="3" t="n">
        <v>112.41</v>
      </c>
      <c r="D548" s="3" t="inlineStr">
        <is>
          <t>2023-09-29</t>
        </is>
      </c>
      <c r="E548" s="3" t="n">
        <v>133.76</v>
      </c>
      <c r="F548" s="3" t="n">
        <v>18.99</v>
      </c>
    </row>
    <row r="549">
      <c r="A549" s="3" t="inlineStr">
        <is>
          <t>Sigma Solve Ltd.</t>
        </is>
      </c>
      <c r="B549" s="3" t="inlineStr">
        <is>
          <t>2023-06-30</t>
        </is>
      </c>
      <c r="C549" s="3" t="n">
        <v>35.9</v>
      </c>
      <c r="D549" s="3" t="inlineStr">
        <is>
          <t>2023-09-29</t>
        </is>
      </c>
      <c r="E549" s="3" t="n">
        <v>47.17</v>
      </c>
      <c r="F549" s="3" t="n">
        <v>31.39</v>
      </c>
    </row>
    <row r="550">
      <c r="A550" s="3" t="inlineStr">
        <is>
          <t>Vijaya Diagnostic Ce..</t>
        </is>
      </c>
      <c r="B550" s="3" t="inlineStr">
        <is>
          <t>2023-06-30</t>
        </is>
      </c>
      <c r="C550" s="3" t="n">
        <v>472.7</v>
      </c>
      <c r="D550" s="3" t="inlineStr">
        <is>
          <t>2023-09-29</t>
        </is>
      </c>
      <c r="E550" s="3" t="n">
        <v>499.2</v>
      </c>
      <c r="F550" s="3" t="n">
        <v>5.61</v>
      </c>
    </row>
    <row r="551">
      <c r="A551" s="3" t="inlineStr">
        <is>
          <t>Sigachi Industries L..</t>
        </is>
      </c>
      <c r="B551" s="3" t="inlineStr">
        <is>
          <t>2023-06-30</t>
        </is>
      </c>
      <c r="C551" s="3" t="n">
        <v>30.96</v>
      </c>
      <c r="D551" s="3" t="inlineStr">
        <is>
          <t>2023-09-29</t>
        </is>
      </c>
      <c r="E551" s="3" t="n">
        <v>40.02</v>
      </c>
      <c r="F551" s="3" t="n">
        <v>29.26</v>
      </c>
    </row>
    <row r="552">
      <c r="A552" s="3" t="inlineStr">
        <is>
          <t>Tega Industries Ltd.</t>
        </is>
      </c>
      <c r="B552" s="3" t="inlineStr">
        <is>
          <t>2023-06-30</t>
        </is>
      </c>
      <c r="C552" s="3" t="n">
        <v>971.4</v>
      </c>
      <c r="D552" s="3" t="inlineStr">
        <is>
          <t>2023-09-29</t>
        </is>
      </c>
      <c r="E552" s="3" t="n">
        <v>930.75</v>
      </c>
      <c r="F552" s="3" t="n">
        <v>-4.18</v>
      </c>
    </row>
    <row r="553">
      <c r="A553" s="3" t="inlineStr">
        <is>
          <t>CMS Info Systems Ltd.</t>
        </is>
      </c>
      <c r="B553" s="3" t="inlineStr">
        <is>
          <t>2023-06-30</t>
        </is>
      </c>
      <c r="C553" s="3" t="n">
        <v>367.95</v>
      </c>
      <c r="D553" s="3" t="inlineStr">
        <is>
          <t>2023-09-29</t>
        </is>
      </c>
      <c r="E553" s="3" t="n">
        <v>350.1</v>
      </c>
      <c r="F553" s="3" t="n">
        <v>-4.85</v>
      </c>
    </row>
    <row r="554">
      <c r="A554" s="3" t="inlineStr">
        <is>
          <t>Wim Plast Ltd.</t>
        </is>
      </c>
      <c r="B554" s="3" t="inlineStr">
        <is>
          <t>2023-09-29</t>
        </is>
      </c>
      <c r="C554" s="3" t="n">
        <v>709.65</v>
      </c>
      <c r="D554" s="3" t="inlineStr">
        <is>
          <t>2023-12-29</t>
        </is>
      </c>
      <c r="E554" s="3" t="n">
        <v>613.75</v>
      </c>
      <c r="F554" s="3" t="n">
        <v>-13.51</v>
      </c>
    </row>
    <row r="555">
      <c r="A555" s="3" t="inlineStr">
        <is>
          <t>Empire Industries Ltd.</t>
        </is>
      </c>
      <c r="B555" s="3" t="inlineStr">
        <is>
          <t>2023-09-29</t>
        </is>
      </c>
      <c r="C555" s="3" t="n">
        <v>1076.6</v>
      </c>
      <c r="D555" s="3" t="inlineStr">
        <is>
          <t>2023-12-29</t>
        </is>
      </c>
      <c r="E555" s="3" t="n">
        <v>934.55</v>
      </c>
      <c r="F555" s="3" t="n">
        <v>-13.19</v>
      </c>
    </row>
    <row r="556">
      <c r="A556" s="3" t="inlineStr">
        <is>
          <t>AK Capital Services ..</t>
        </is>
      </c>
      <c r="B556" s="3" t="inlineStr">
        <is>
          <t>2023-09-29</t>
        </is>
      </c>
      <c r="C556" s="3" t="n">
        <v>719.95</v>
      </c>
      <c r="D556" s="3" t="inlineStr">
        <is>
          <t>2023-12-29</t>
        </is>
      </c>
      <c r="E556" s="3" t="n">
        <v>760.35</v>
      </c>
      <c r="F556" s="3" t="n">
        <v>5.61</v>
      </c>
    </row>
    <row r="557">
      <c r="A557" s="3" t="inlineStr">
        <is>
          <t>West Coast Paper Mil..</t>
        </is>
      </c>
      <c r="B557" s="3" t="inlineStr">
        <is>
          <t>2023-09-29</t>
        </is>
      </c>
      <c r="C557" s="3" t="n">
        <v>703.3</v>
      </c>
      <c r="D557" s="3" t="inlineStr">
        <is>
          <t>2023-12-29</t>
        </is>
      </c>
      <c r="E557" s="3" t="n">
        <v>729.4</v>
      </c>
      <c r="F557" s="3" t="n">
        <v>3.71</v>
      </c>
    </row>
    <row r="558">
      <c r="A558" s="3" t="inlineStr">
        <is>
          <t>G M Breweries Ltd.</t>
        </is>
      </c>
      <c r="B558" s="3" t="inlineStr">
        <is>
          <t>2023-09-29</t>
        </is>
      </c>
      <c r="C558" s="3" t="n">
        <v>581.28</v>
      </c>
      <c r="D558" s="3" t="inlineStr">
        <is>
          <t>2023-12-29</t>
        </is>
      </c>
      <c r="E558" s="3" t="n">
        <v>564.4</v>
      </c>
      <c r="F558" s="3" t="n">
        <v>-2.9</v>
      </c>
    </row>
    <row r="559">
      <c r="A559" s="3" t="inlineStr">
        <is>
          <t>Seshasayee Paper &amp; B..</t>
        </is>
      </c>
      <c r="B559" s="3" t="inlineStr">
        <is>
          <t>2023-09-29</t>
        </is>
      </c>
      <c r="C559" s="3" t="n">
        <v>384.45</v>
      </c>
      <c r="D559" s="3" t="inlineStr">
        <is>
          <t>2023-12-29</t>
        </is>
      </c>
      <c r="E559" s="3" t="n">
        <v>354.15</v>
      </c>
      <c r="F559" s="3" t="n">
        <v>-7.88</v>
      </c>
    </row>
    <row r="560">
      <c r="A560" s="3" t="inlineStr">
        <is>
          <t>Gujarat Themis Biosy..</t>
        </is>
      </c>
      <c r="B560" s="3" t="inlineStr">
        <is>
          <t>2023-09-29</t>
        </is>
      </c>
      <c r="C560" s="3" t="n">
        <v>136.45</v>
      </c>
      <c r="D560" s="3" t="inlineStr">
        <is>
          <t>2023-12-29</t>
        </is>
      </c>
      <c r="E560" s="3" t="n">
        <v>171.03</v>
      </c>
      <c r="F560" s="3" t="n">
        <v>25.34</v>
      </c>
    </row>
    <row r="561">
      <c r="A561" s="3" t="inlineStr">
        <is>
          <t>Coal India Ltd.</t>
        </is>
      </c>
      <c r="B561" s="3" t="inlineStr">
        <is>
          <t>2023-09-29</t>
        </is>
      </c>
      <c r="C561" s="3" t="n">
        <v>295.2</v>
      </c>
      <c r="D561" s="3" t="inlineStr">
        <is>
          <t>2023-12-29</t>
        </is>
      </c>
      <c r="E561" s="3" t="n">
        <v>376</v>
      </c>
      <c r="F561" s="3" t="n">
        <v>27.37</v>
      </c>
    </row>
    <row r="562">
      <c r="A562" s="3" t="inlineStr">
        <is>
          <t>Marathon Nextgen Rea..</t>
        </is>
      </c>
      <c r="B562" s="3" t="inlineStr">
        <is>
          <t>2023-09-29</t>
        </is>
      </c>
      <c r="C562" s="3" t="n">
        <v>453.7</v>
      </c>
      <c r="D562" s="3" t="inlineStr">
        <is>
          <t>2023-12-29</t>
        </is>
      </c>
      <c r="E562" s="3" t="n">
        <v>417.1</v>
      </c>
      <c r="F562" s="3" t="n">
        <v>-8.07</v>
      </c>
    </row>
    <row r="563">
      <c r="A563" s="3" t="inlineStr">
        <is>
          <t>Indbank Merchant Ban..</t>
        </is>
      </c>
      <c r="B563" s="3" t="inlineStr">
        <is>
          <t>2023-09-29</t>
        </is>
      </c>
      <c r="C563" s="3" t="n">
        <v>37.3</v>
      </c>
      <c r="D563" s="3" t="inlineStr">
        <is>
          <t>2023-12-29</t>
        </is>
      </c>
      <c r="E563" s="3" t="n">
        <v>38</v>
      </c>
      <c r="F563" s="3" t="n">
        <v>1.88</v>
      </c>
    </row>
    <row r="564">
      <c r="A564" s="3" t="inlineStr">
        <is>
          <t>Edelweiss Financial ..</t>
        </is>
      </c>
      <c r="B564" s="3" t="inlineStr">
        <is>
          <t>2023-09-29</t>
        </is>
      </c>
      <c r="C564" s="3" t="n">
        <v>61.25</v>
      </c>
      <c r="D564" s="3" t="inlineStr">
        <is>
          <t>2023-12-29</t>
        </is>
      </c>
      <c r="E564" s="3" t="n">
        <v>77.84999999999999</v>
      </c>
      <c r="F564" s="3" t="n">
        <v>27.1</v>
      </c>
    </row>
    <row r="565">
      <c r="A565" s="3" t="inlineStr">
        <is>
          <t>GFL Ltd.</t>
        </is>
      </c>
      <c r="B565" s="3" t="inlineStr">
        <is>
          <t>2023-09-29</t>
        </is>
      </c>
      <c r="C565" s="3" t="n">
        <v>86.84999999999999</v>
      </c>
      <c r="D565" s="3" t="inlineStr">
        <is>
          <t>2023-12-29</t>
        </is>
      </c>
      <c r="E565" s="3" t="n">
        <v>97.2</v>
      </c>
      <c r="F565" s="3" t="n">
        <v>11.92</v>
      </c>
    </row>
    <row r="566">
      <c r="A566" s="3" t="inlineStr">
        <is>
          <t>Andhra Paper Ltd.</t>
        </is>
      </c>
      <c r="B566" s="3" t="inlineStr">
        <is>
          <t>2023-09-29</t>
        </is>
      </c>
      <c r="C566" s="3" t="n">
        <v>119.49</v>
      </c>
      <c r="D566" s="3" t="inlineStr">
        <is>
          <t>2023-12-29</t>
        </is>
      </c>
      <c r="E566" s="3" t="n">
        <v>121.97</v>
      </c>
      <c r="F566" s="3" t="n">
        <v>2.08</v>
      </c>
    </row>
    <row r="567">
      <c r="A567" s="3" t="inlineStr">
        <is>
          <t>JSW Energy Ltd.</t>
        </is>
      </c>
      <c r="B567" s="3" t="inlineStr">
        <is>
          <t>2023-09-29</t>
        </is>
      </c>
      <c r="C567" s="3" t="n">
        <v>437.4</v>
      </c>
      <c r="D567" s="3" t="inlineStr">
        <is>
          <t>2023-12-29</t>
        </is>
      </c>
      <c r="E567" s="3" t="n">
        <v>409.05</v>
      </c>
      <c r="F567" s="3" t="n">
        <v>-6.48</v>
      </c>
    </row>
    <row r="568">
      <c r="A568" s="3" t="inlineStr">
        <is>
          <t>Maharashtra Seamless..</t>
        </is>
      </c>
      <c r="B568" s="3" t="inlineStr">
        <is>
          <t>2023-09-29</t>
        </is>
      </c>
      <c r="C568" s="3" t="n">
        <v>614.2</v>
      </c>
      <c r="D568" s="3" t="inlineStr">
        <is>
          <t>2023-12-29</t>
        </is>
      </c>
      <c r="E568" s="3" t="n">
        <v>925.35</v>
      </c>
      <c r="F568" s="3" t="n">
        <v>50.66</v>
      </c>
    </row>
    <row r="569">
      <c r="A569" s="3" t="inlineStr">
        <is>
          <t>Ruchi Infrastructure..</t>
        </is>
      </c>
      <c r="B569" s="3" t="inlineStr">
        <is>
          <t>2023-09-29</t>
        </is>
      </c>
      <c r="C569" s="3" t="n">
        <v>13.4</v>
      </c>
      <c r="D569" s="3" t="inlineStr">
        <is>
          <t>2023-12-29</t>
        </is>
      </c>
      <c r="E569" s="3" t="n">
        <v>11.6</v>
      </c>
      <c r="F569" s="3" t="n">
        <v>-13.43</v>
      </c>
    </row>
    <row r="570">
      <c r="A570" s="3" t="inlineStr">
        <is>
          <t>Shipping Corporation..</t>
        </is>
      </c>
      <c r="B570" s="3" t="inlineStr">
        <is>
          <t>2023-09-29</t>
        </is>
      </c>
      <c r="C570" s="3" t="n">
        <v>146</v>
      </c>
      <c r="D570" s="3" t="inlineStr">
        <is>
          <t>2023-12-29</t>
        </is>
      </c>
      <c r="E570" s="3" t="n">
        <v>162.9</v>
      </c>
      <c r="F570" s="3" t="n">
        <v>11.58</v>
      </c>
    </row>
    <row r="571">
      <c r="A571" s="3" t="inlineStr">
        <is>
          <t>SJVN Ltd.</t>
        </is>
      </c>
      <c r="B571" s="3" t="inlineStr">
        <is>
          <t>2023-09-29</t>
        </is>
      </c>
      <c r="C571" s="3" t="n">
        <v>73.15000000000001</v>
      </c>
      <c r="D571" s="3" t="inlineStr">
        <is>
          <t>2023-12-29</t>
        </is>
      </c>
      <c r="E571" s="3" t="n">
        <v>90.95</v>
      </c>
      <c r="F571" s="3" t="n">
        <v>24.33</v>
      </c>
    </row>
    <row r="572">
      <c r="A572" s="3" t="inlineStr">
        <is>
          <t>Tata Investment Corp..</t>
        </is>
      </c>
      <c r="B572" s="3" t="inlineStr">
        <is>
          <t>2023-09-29</t>
        </is>
      </c>
      <c r="C572" s="3" t="n">
        <v>327.34</v>
      </c>
      <c r="D572" s="3" t="inlineStr">
        <is>
          <t>2023-12-29</t>
        </is>
      </c>
      <c r="E572" s="3" t="n">
        <v>428.21</v>
      </c>
      <c r="F572" s="3" t="n">
        <v>30.82</v>
      </c>
    </row>
    <row r="573">
      <c r="A573" s="3" t="inlineStr">
        <is>
          <t>Veljan Denison Ltd.</t>
        </is>
      </c>
      <c r="B573" s="3" t="inlineStr">
        <is>
          <t>2023-09-29</t>
        </is>
      </c>
      <c r="C573" s="3" t="n">
        <v>1053.78</v>
      </c>
      <c r="D573" s="3" t="inlineStr">
        <is>
          <t>2023-12-29</t>
        </is>
      </c>
      <c r="E573" s="3" t="n">
        <v>983.75</v>
      </c>
      <c r="F573" s="3" t="n">
        <v>-6.65</v>
      </c>
    </row>
    <row r="574">
      <c r="A574" s="3" t="inlineStr">
        <is>
          <t>Menon Pistons Ltd.</t>
        </is>
      </c>
      <c r="B574" s="3" t="inlineStr">
        <is>
          <t>2023-09-29</t>
        </is>
      </c>
      <c r="C574" s="3" t="n">
        <v>83.88</v>
      </c>
      <c r="D574" s="3" t="inlineStr">
        <is>
          <t>2023-12-29</t>
        </is>
      </c>
      <c r="E574" s="3" t="n">
        <v>82.42</v>
      </c>
      <c r="F574" s="3" t="n">
        <v>-1.74</v>
      </c>
    </row>
    <row r="575">
      <c r="A575" s="3" t="inlineStr">
        <is>
          <t>Bhilwara Technical T..</t>
        </is>
      </c>
      <c r="B575" s="3" t="inlineStr">
        <is>
          <t>2023-09-29</t>
        </is>
      </c>
      <c r="C575" s="3" t="n">
        <v>26.51</v>
      </c>
      <c r="D575" s="3" t="inlineStr">
        <is>
          <t>2023-12-29</t>
        </is>
      </c>
      <c r="E575" s="3" t="n">
        <v>36.85</v>
      </c>
      <c r="F575" s="3" t="n">
        <v>39</v>
      </c>
    </row>
    <row r="576">
      <c r="A576" s="3" t="inlineStr">
        <is>
          <t>Creative Castings Ltd.</t>
        </is>
      </c>
      <c r="B576" s="3" t="inlineStr">
        <is>
          <t>2023-09-29</t>
        </is>
      </c>
      <c r="C576" s="3" t="n">
        <v>841.8</v>
      </c>
      <c r="D576" s="3" t="inlineStr">
        <is>
          <t>2023-12-29</t>
        </is>
      </c>
      <c r="E576" s="3" t="n">
        <v>799.65</v>
      </c>
      <c r="F576" s="3" t="n">
        <v>-5.01</v>
      </c>
    </row>
    <row r="577">
      <c r="A577" s="3" t="inlineStr">
        <is>
          <t>Madhav Infra Project..</t>
        </is>
      </c>
      <c r="B577" s="3" t="inlineStr">
        <is>
          <t>2023-09-29</t>
        </is>
      </c>
      <c r="C577" s="3" t="n">
        <v>7.62</v>
      </c>
      <c r="D577" s="3" t="inlineStr">
        <is>
          <t>2023-12-29</t>
        </is>
      </c>
      <c r="E577" s="3" t="n">
        <v>11.8</v>
      </c>
      <c r="F577" s="3" t="n">
        <v>54.86</v>
      </c>
    </row>
    <row r="578">
      <c r="A578" s="3" t="inlineStr">
        <is>
          <t>IIFL Capital Service..</t>
        </is>
      </c>
      <c r="B578" s="3" t="inlineStr">
        <is>
          <t>2023-09-29</t>
        </is>
      </c>
      <c r="C578" s="3" t="n">
        <v>86.90000000000001</v>
      </c>
      <c r="D578" s="3" t="inlineStr">
        <is>
          <t>2023-12-29</t>
        </is>
      </c>
      <c r="E578" s="3" t="n">
        <v>146.8</v>
      </c>
      <c r="F578" s="3" t="n">
        <v>68.93000000000001</v>
      </c>
    </row>
    <row r="579">
      <c r="A579" s="3" t="inlineStr">
        <is>
          <t>Krsnaa Diagnostics L..</t>
        </is>
      </c>
      <c r="B579" s="3" t="inlineStr">
        <is>
          <t>2023-09-29</t>
        </is>
      </c>
      <c r="C579" s="3" t="n">
        <v>681.4</v>
      </c>
      <c r="D579" s="3" t="inlineStr">
        <is>
          <t>2023-12-29</t>
        </is>
      </c>
      <c r="E579" s="3" t="n">
        <v>706</v>
      </c>
      <c r="F579" s="3" t="n">
        <v>3.61</v>
      </c>
    </row>
    <row r="580">
      <c r="A580" s="3" t="inlineStr">
        <is>
          <t>C.E. Info Systems Ltd.</t>
        </is>
      </c>
      <c r="B580" s="3" t="inlineStr">
        <is>
          <t>2023-09-29</t>
        </is>
      </c>
      <c r="C580" s="3" t="n">
        <v>1994.55</v>
      </c>
      <c r="D580" s="3" t="inlineStr">
        <is>
          <t>2023-12-29</t>
        </is>
      </c>
      <c r="E580" s="3" t="n">
        <v>1945.2</v>
      </c>
      <c r="F580" s="3" t="n">
        <v>-2.47</v>
      </c>
    </row>
    <row r="581">
      <c r="A581" s="3" t="inlineStr">
        <is>
          <t>Fidel Softech Ltd.</t>
        </is>
      </c>
      <c r="B581" s="3" t="inlineStr">
        <is>
          <t>2023-09-29</t>
        </is>
      </c>
      <c r="C581" s="3" t="n">
        <v>114</v>
      </c>
      <c r="D581" s="3" t="inlineStr">
        <is>
          <t>2023-12-29</t>
        </is>
      </c>
      <c r="E581" s="3" t="n">
        <v>110.45</v>
      </c>
      <c r="F581" s="3" t="n">
        <v>-3.11</v>
      </c>
    </row>
    <row r="582">
      <c r="A582" s="3" t="inlineStr">
        <is>
          <t>NMDC Ltd.</t>
        </is>
      </c>
      <c r="B582" s="3" t="inlineStr">
        <is>
          <t>2023-09-29</t>
        </is>
      </c>
      <c r="C582" s="3" t="n">
        <v>49.32</v>
      </c>
      <c r="D582" s="3" t="inlineStr">
        <is>
          <t>2024-03-28</t>
        </is>
      </c>
      <c r="E582" s="3" t="n">
        <v>67.25</v>
      </c>
      <c r="F582" s="3" t="n">
        <v>36.35</v>
      </c>
    </row>
    <row r="583">
      <c r="A583" s="3" t="inlineStr">
        <is>
          <t>W H Brady &amp; Company ..</t>
        </is>
      </c>
      <c r="B583" s="3" t="inlineStr">
        <is>
          <t>2023-09-29</t>
        </is>
      </c>
      <c r="C583" s="3" t="n">
        <v>432.2</v>
      </c>
      <c r="D583" s="3" t="inlineStr">
        <is>
          <t>2024-03-28</t>
        </is>
      </c>
      <c r="E583" s="3" t="n">
        <v>433.8</v>
      </c>
      <c r="F583" s="3" t="n">
        <v>0.37</v>
      </c>
    </row>
    <row r="584">
      <c r="A584" s="3" t="inlineStr">
        <is>
          <t>DLF Ltd.</t>
        </is>
      </c>
      <c r="B584" s="3" t="inlineStr">
        <is>
          <t>2023-12-29</t>
        </is>
      </c>
      <c r="C584" s="3" t="n">
        <v>726.4</v>
      </c>
      <c r="D584" s="3" t="inlineStr">
        <is>
          <t>2024-03-28</t>
        </is>
      </c>
      <c r="E584" s="3" t="n">
        <v>897</v>
      </c>
      <c r="F584" s="3" t="n">
        <v>23.49</v>
      </c>
    </row>
    <row r="585">
      <c r="A585" s="3" t="inlineStr">
        <is>
          <t>Jubilant Pharmova Ltd.</t>
        </is>
      </c>
      <c r="B585" s="3" t="inlineStr">
        <is>
          <t>2023-12-29</t>
        </is>
      </c>
      <c r="C585" s="3" t="n">
        <v>545.45</v>
      </c>
      <c r="D585" s="3" t="inlineStr">
        <is>
          <t>2024-03-28</t>
        </is>
      </c>
      <c r="E585" s="3" t="n">
        <v>569.9</v>
      </c>
      <c r="F585" s="3" t="n">
        <v>4.48</v>
      </c>
    </row>
    <row r="586">
      <c r="A586" s="3" t="inlineStr">
        <is>
          <t>Brigade Enterprises ..</t>
        </is>
      </c>
      <c r="B586" s="3" t="inlineStr">
        <is>
          <t>2023-12-29</t>
        </is>
      </c>
      <c r="C586" s="3" t="n">
        <v>672.5599999999999</v>
      </c>
      <c r="D586" s="3" t="inlineStr">
        <is>
          <t>2024-03-28</t>
        </is>
      </c>
      <c r="E586" s="3" t="n">
        <v>701.48</v>
      </c>
      <c r="F586" s="3" t="n">
        <v>4.3</v>
      </c>
    </row>
    <row r="587">
      <c r="A587" s="3" t="inlineStr">
        <is>
          <t>Oil India Ltd.</t>
        </is>
      </c>
      <c r="B587" s="3" t="inlineStr">
        <is>
          <t>2023-12-29</t>
        </is>
      </c>
      <c r="C587" s="3" t="n">
        <v>248.1</v>
      </c>
      <c r="D587" s="3" t="inlineStr">
        <is>
          <t>2024-03-28</t>
        </is>
      </c>
      <c r="E587" s="3" t="n">
        <v>400.17</v>
      </c>
      <c r="F587" s="3" t="n">
        <v>61.29</v>
      </c>
    </row>
    <row r="588">
      <c r="A588" s="3" t="inlineStr">
        <is>
          <t>3M India Ltd.</t>
        </is>
      </c>
      <c r="B588" s="3" t="inlineStr">
        <is>
          <t>2023-12-29</t>
        </is>
      </c>
      <c r="C588" s="3" t="n">
        <v>37309.15</v>
      </c>
      <c r="D588" s="3" t="inlineStr">
        <is>
          <t>2024-03-28</t>
        </is>
      </c>
      <c r="E588" s="3" t="n">
        <v>31193.35</v>
      </c>
      <c r="F588" s="3" t="n">
        <v>-16.39</v>
      </c>
    </row>
    <row r="589">
      <c r="A589" s="3" t="inlineStr">
        <is>
          <t>Nila Infrastructures..</t>
        </is>
      </c>
      <c r="B589" s="3" t="inlineStr">
        <is>
          <t>2023-12-29</t>
        </is>
      </c>
      <c r="C589" s="3" t="n">
        <v>9.050000000000001</v>
      </c>
      <c r="D589" s="3" t="inlineStr">
        <is>
          <t>2024-03-28</t>
        </is>
      </c>
      <c r="E589" s="3" t="n">
        <v>10.3</v>
      </c>
      <c r="F589" s="3" t="n">
        <v>13.81</v>
      </c>
    </row>
    <row r="590">
      <c r="A590" s="3" t="inlineStr">
        <is>
          <t>Geojit Financial Ser..</t>
        </is>
      </c>
      <c r="B590" s="3" t="inlineStr">
        <is>
          <t>2023-12-29</t>
        </is>
      </c>
      <c r="C590" s="3" t="n">
        <v>78.2</v>
      </c>
      <c r="D590" s="3" t="inlineStr">
        <is>
          <t>2024-03-28</t>
        </is>
      </c>
      <c r="E590" s="3" t="n">
        <v>64.2</v>
      </c>
      <c r="F590" s="3" t="n">
        <v>-17.9</v>
      </c>
    </row>
    <row r="591">
      <c r="A591" s="3" t="inlineStr">
        <is>
          <t>Mphasis Ltd.</t>
        </is>
      </c>
      <c r="B591" s="3" t="inlineStr">
        <is>
          <t>2023-12-29</t>
        </is>
      </c>
      <c r="C591" s="3" t="n">
        <v>2739.75</v>
      </c>
      <c r="D591" s="3" t="inlineStr">
        <is>
          <t>2024-03-28</t>
        </is>
      </c>
      <c r="E591" s="3" t="n">
        <v>2388.05</v>
      </c>
      <c r="F591" s="3" t="n">
        <v>-12.84</v>
      </c>
    </row>
    <row r="592">
      <c r="A592" s="3" t="inlineStr">
        <is>
          <t>Arihant Superstructu..</t>
        </is>
      </c>
      <c r="B592" s="3" t="inlineStr">
        <is>
          <t>2023-12-29</t>
        </is>
      </c>
      <c r="C592" s="3" t="n">
        <v>271</v>
      </c>
      <c r="D592" s="3" t="inlineStr">
        <is>
          <t>2024-03-28</t>
        </is>
      </c>
      <c r="E592" s="3" t="n">
        <v>329.2</v>
      </c>
      <c r="F592" s="3" t="n">
        <v>21.48</v>
      </c>
    </row>
    <row r="593">
      <c r="A593" s="3" t="inlineStr">
        <is>
          <t>Sreeleathers Ltd.</t>
        </is>
      </c>
      <c r="B593" s="3" t="inlineStr">
        <is>
          <t>2023-12-29</t>
        </is>
      </c>
      <c r="C593" s="3" t="n">
        <v>397.15</v>
      </c>
      <c r="D593" s="3" t="inlineStr">
        <is>
          <t>2024-03-28</t>
        </is>
      </c>
      <c r="E593" s="3" t="n">
        <v>276.4</v>
      </c>
      <c r="F593" s="3" t="n">
        <v>-30.4</v>
      </c>
    </row>
    <row r="594">
      <c r="A594" s="3" t="inlineStr">
        <is>
          <t>Sinclairs Hotels Ltd.</t>
        </is>
      </c>
      <c r="B594" s="3" t="inlineStr">
        <is>
          <t>2023-12-29</t>
        </is>
      </c>
      <c r="C594" s="3" t="n">
        <v>104.48</v>
      </c>
      <c r="D594" s="3" t="inlineStr">
        <is>
          <t>2024-03-28</t>
        </is>
      </c>
      <c r="E594" s="3" t="n">
        <v>125.8</v>
      </c>
      <c r="F594" s="3" t="n">
        <v>20.41</v>
      </c>
    </row>
    <row r="595">
      <c r="A595" s="3" t="inlineStr">
        <is>
          <t>NTPC Ltd.</t>
        </is>
      </c>
      <c r="B595" s="3" t="inlineStr">
        <is>
          <t>2023-12-29</t>
        </is>
      </c>
      <c r="C595" s="3" t="n">
        <v>311.15</v>
      </c>
      <c r="D595" s="3" t="inlineStr">
        <is>
          <t>2024-03-28</t>
        </is>
      </c>
      <c r="E595" s="3" t="n">
        <v>335.8</v>
      </c>
      <c r="F595" s="3" t="n">
        <v>7.92</v>
      </c>
    </row>
    <row r="596">
      <c r="A596" s="3" t="inlineStr">
        <is>
          <t>Intellect Design Are..</t>
        </is>
      </c>
      <c r="B596" s="3" t="inlineStr">
        <is>
          <t>2023-12-29</t>
        </is>
      </c>
      <c r="C596" s="3" t="n">
        <v>836.6</v>
      </c>
      <c r="D596" s="3" t="inlineStr">
        <is>
          <t>2024-03-28</t>
        </is>
      </c>
      <c r="E596" s="3" t="n">
        <v>1096.8</v>
      </c>
      <c r="F596" s="3" t="n">
        <v>31.1</v>
      </c>
    </row>
    <row r="597">
      <c r="A597" s="3" t="inlineStr">
        <is>
          <t>Autoline Industries ..</t>
        </is>
      </c>
      <c r="B597" s="3" t="inlineStr">
        <is>
          <t>2023-12-29</t>
        </is>
      </c>
      <c r="C597" s="3" t="n">
        <v>130.6</v>
      </c>
      <c r="D597" s="3" t="inlineStr">
        <is>
          <t>2024-03-28</t>
        </is>
      </c>
      <c r="E597" s="3" t="n">
        <v>114.3</v>
      </c>
      <c r="F597" s="3" t="n">
        <v>-12.48</v>
      </c>
    </row>
    <row r="598">
      <c r="A598" s="3" t="inlineStr">
        <is>
          <t>Hindustan Aeronautic..</t>
        </is>
      </c>
      <c r="B598" s="3" t="inlineStr">
        <is>
          <t>2023-12-29</t>
        </is>
      </c>
      <c r="C598" s="3" t="n">
        <v>2804</v>
      </c>
      <c r="D598" s="3" t="inlineStr">
        <is>
          <t>2024-03-28</t>
        </is>
      </c>
      <c r="E598" s="3" t="n">
        <v>3327</v>
      </c>
      <c r="F598" s="3" t="n">
        <v>18.65</v>
      </c>
    </row>
    <row r="599">
      <c r="A599" s="3" t="inlineStr">
        <is>
          <t>AstraZeneca Pharma I..</t>
        </is>
      </c>
      <c r="B599" s="3" t="inlineStr">
        <is>
          <t>2023-12-29</t>
        </is>
      </c>
      <c r="C599" s="3" t="n">
        <v>5526.6</v>
      </c>
      <c r="D599" s="3" t="inlineStr">
        <is>
          <t>2024-03-28</t>
        </is>
      </c>
      <c r="E599" s="3" t="n">
        <v>5328.45</v>
      </c>
      <c r="F599" s="3" t="n">
        <v>-3.59</v>
      </c>
    </row>
    <row r="600">
      <c r="A600" s="3" t="inlineStr">
        <is>
          <t>Bajaj Auto Ltd.</t>
        </is>
      </c>
      <c r="B600" s="3" t="inlineStr">
        <is>
          <t>2023-12-29</t>
        </is>
      </c>
      <c r="C600" s="3" t="n">
        <v>6797.25</v>
      </c>
      <c r="D600" s="3" t="inlineStr">
        <is>
          <t>2024-03-28</t>
        </is>
      </c>
      <c r="E600" s="3" t="n">
        <v>9148.15</v>
      </c>
      <c r="F600" s="3" t="n">
        <v>34.59</v>
      </c>
    </row>
    <row r="601">
      <c r="A601" s="3" t="inlineStr">
        <is>
          <t>CESC Ltd.</t>
        </is>
      </c>
      <c r="B601" s="3" t="inlineStr">
        <is>
          <t>2023-12-29</t>
        </is>
      </c>
      <c r="C601" s="3" t="n">
        <v>132.5</v>
      </c>
      <c r="D601" s="3" t="inlineStr">
        <is>
          <t>2024-03-28</t>
        </is>
      </c>
      <c r="E601" s="3" t="n">
        <v>121.65</v>
      </c>
      <c r="F601" s="3" t="n">
        <v>-8.19</v>
      </c>
    </row>
    <row r="602">
      <c r="A602" s="3" t="inlineStr">
        <is>
          <t>Dhanuka Agritech Ltd.</t>
        </is>
      </c>
      <c r="B602" s="3" t="inlineStr">
        <is>
          <t>2023-12-29</t>
        </is>
      </c>
      <c r="C602" s="3" t="n">
        <v>1057</v>
      </c>
      <c r="D602" s="3" t="inlineStr">
        <is>
          <t>2024-03-28</t>
        </is>
      </c>
      <c r="E602" s="3" t="n">
        <v>1025.85</v>
      </c>
      <c r="F602" s="3" t="n">
        <v>-2.95</v>
      </c>
    </row>
    <row r="603">
      <c r="A603" s="3" t="inlineStr">
        <is>
          <t>Dredging Corporation..</t>
        </is>
      </c>
      <c r="B603" s="3" t="inlineStr">
        <is>
          <t>2023-12-29</t>
        </is>
      </c>
      <c r="C603" s="3" t="n">
        <v>599.25</v>
      </c>
      <c r="D603" s="3" t="inlineStr">
        <is>
          <t>2024-03-28</t>
        </is>
      </c>
      <c r="E603" s="3" t="n">
        <v>679.6</v>
      </c>
      <c r="F603" s="3" t="n">
        <v>13.41</v>
      </c>
    </row>
    <row r="604">
      <c r="A604" s="3" t="inlineStr">
        <is>
          <t>Engineers India Ltd.</t>
        </is>
      </c>
      <c r="B604" s="3" t="inlineStr">
        <is>
          <t>2023-12-29</t>
        </is>
      </c>
      <c r="C604" s="3" t="n">
        <v>171.45</v>
      </c>
      <c r="D604" s="3" t="inlineStr">
        <is>
          <t>2024-03-28</t>
        </is>
      </c>
      <c r="E604" s="3" t="n">
        <v>201.95</v>
      </c>
      <c r="F604" s="3" t="n">
        <v>17.79</v>
      </c>
    </row>
    <row r="605">
      <c r="A605" s="3" t="inlineStr">
        <is>
          <t>FCS Software Solutio..</t>
        </is>
      </c>
      <c r="B605" s="3" t="inlineStr">
        <is>
          <t>2023-12-29</t>
        </is>
      </c>
      <c r="C605" s="3" t="n">
        <v>4.15</v>
      </c>
      <c r="D605" s="3" t="inlineStr">
        <is>
          <t>2024-03-28</t>
        </is>
      </c>
      <c r="E605" s="3" t="n">
        <v>3.65</v>
      </c>
      <c r="F605" s="3" t="n">
        <v>-12.05</v>
      </c>
    </row>
    <row r="606">
      <c r="A606" s="3" t="inlineStr">
        <is>
          <t>GlaxoSmithKline Phar..</t>
        </is>
      </c>
      <c r="B606" s="3" t="inlineStr">
        <is>
          <t>2023-12-29</t>
        </is>
      </c>
      <c r="C606" s="3" t="n">
        <v>1898.15</v>
      </c>
      <c r="D606" s="3" t="inlineStr">
        <is>
          <t>2024-03-28</t>
        </is>
      </c>
      <c r="E606" s="3" t="n">
        <v>1946.6</v>
      </c>
      <c r="F606" s="3" t="n">
        <v>2.55</v>
      </c>
    </row>
    <row r="607">
      <c r="A607" s="3" t="inlineStr">
        <is>
          <t>Pilani Investment an..</t>
        </is>
      </c>
      <c r="B607" s="3" t="inlineStr">
        <is>
          <t>2023-12-29</t>
        </is>
      </c>
      <c r="C607" s="3" t="n">
        <v>3186.4</v>
      </c>
      <c r="D607" s="3" t="inlineStr">
        <is>
          <t>2024-03-28</t>
        </is>
      </c>
      <c r="E607" s="3" t="n">
        <v>3405.55</v>
      </c>
      <c r="F607" s="3" t="n">
        <v>6.88</v>
      </c>
    </row>
    <row r="608">
      <c r="A608" s="3" t="inlineStr">
        <is>
          <t>Steel Authority of I..</t>
        </is>
      </c>
      <c r="B608" s="3" t="inlineStr">
        <is>
          <t>2023-12-29</t>
        </is>
      </c>
      <c r="C608" s="3" t="n">
        <v>123.65</v>
      </c>
      <c r="D608" s="3" t="inlineStr">
        <is>
          <t>2024-03-28</t>
        </is>
      </c>
      <c r="E608" s="3" t="n">
        <v>134.25</v>
      </c>
      <c r="F608" s="3" t="n">
        <v>8.57</v>
      </c>
    </row>
    <row r="609">
      <c r="A609" s="3" t="inlineStr">
        <is>
          <t>Surana Telecom and P..</t>
        </is>
      </c>
      <c r="B609" s="3" t="inlineStr">
        <is>
          <t>2023-12-29</t>
        </is>
      </c>
      <c r="C609" s="3" t="n">
        <v>15.45</v>
      </c>
      <c r="D609" s="3" t="inlineStr">
        <is>
          <t>2024-03-28</t>
        </is>
      </c>
      <c r="E609" s="3" t="n">
        <v>14.7</v>
      </c>
      <c r="F609" s="3" t="n">
        <v>-4.85</v>
      </c>
    </row>
    <row r="610">
      <c r="A610" s="3" t="inlineStr">
        <is>
          <t>Tata Consumer Produc..</t>
        </is>
      </c>
      <c r="B610" s="3" t="inlineStr">
        <is>
          <t>2023-12-29</t>
        </is>
      </c>
      <c r="C610" s="3" t="n">
        <v>1073.46</v>
      </c>
      <c r="D610" s="3" t="inlineStr">
        <is>
          <t>2024-03-28</t>
        </is>
      </c>
      <c r="E610" s="3" t="n">
        <v>1082.74</v>
      </c>
      <c r="F610" s="3" t="n">
        <v>0.86</v>
      </c>
    </row>
    <row r="611">
      <c r="A611" s="3" t="inlineStr">
        <is>
          <t>Tata Power Company L..</t>
        </is>
      </c>
      <c r="B611" s="3" t="inlineStr">
        <is>
          <t>2023-12-29</t>
        </is>
      </c>
      <c r="C611" s="3" t="n">
        <v>332.15</v>
      </c>
      <c r="D611" s="3" t="inlineStr">
        <is>
          <t>2024-03-28</t>
        </is>
      </c>
      <c r="E611" s="3" t="n">
        <v>394.2</v>
      </c>
      <c r="F611" s="3" t="n">
        <v>18.68</v>
      </c>
    </row>
    <row r="612">
      <c r="A612" s="3" t="inlineStr">
        <is>
          <t>Wipro Ltd.</t>
        </is>
      </c>
      <c r="B612" s="3" t="inlineStr">
        <is>
          <t>2023-12-29</t>
        </is>
      </c>
      <c r="C612" s="3" t="n">
        <v>235.65</v>
      </c>
      <c r="D612" s="3" t="inlineStr">
        <is>
          <t>2024-03-28</t>
        </is>
      </c>
      <c r="E612" s="3" t="n">
        <v>240.05</v>
      </c>
      <c r="F612" s="3" t="n">
        <v>1.87</v>
      </c>
    </row>
    <row r="613">
      <c r="A613" s="3" t="inlineStr">
        <is>
          <t>Alkem Laboratories L..</t>
        </is>
      </c>
      <c r="B613" s="3" t="inlineStr">
        <is>
          <t>2023-12-29</t>
        </is>
      </c>
      <c r="C613" s="3" t="n">
        <v>5202.6</v>
      </c>
      <c r="D613" s="3" t="inlineStr">
        <is>
          <t>2024-03-28</t>
        </is>
      </c>
      <c r="E613" s="3" t="n">
        <v>4942</v>
      </c>
      <c r="F613" s="3" t="n">
        <v>-5.01</v>
      </c>
    </row>
    <row r="614">
      <c r="A614" s="3" t="inlineStr">
        <is>
          <t>Quest Capital Market..</t>
        </is>
      </c>
      <c r="B614" s="3" t="inlineStr">
        <is>
          <t>2023-12-29</t>
        </is>
      </c>
      <c r="C614" s="3" t="n">
        <v>389.85</v>
      </c>
      <c r="D614" s="3" t="inlineStr">
        <is>
          <t>2024-03-28</t>
        </is>
      </c>
      <c r="E614" s="3" t="n">
        <v>321.65</v>
      </c>
      <c r="F614" s="3" t="n">
        <v>-17.49</v>
      </c>
    </row>
    <row r="615">
      <c r="A615" s="3" t="inlineStr">
        <is>
          <t>Shardul Securities L..</t>
        </is>
      </c>
      <c r="B615" s="3" t="inlineStr">
        <is>
          <t>2023-12-29</t>
        </is>
      </c>
      <c r="C615" s="3" t="n">
        <v>31.93</v>
      </c>
      <c r="D615" s="3" t="inlineStr">
        <is>
          <t>2024-03-28</t>
        </is>
      </c>
      <c r="E615" s="3" t="n">
        <v>34.09</v>
      </c>
      <c r="F615" s="3" t="n">
        <v>6.76</v>
      </c>
    </row>
    <row r="616">
      <c r="A616" s="3" t="inlineStr">
        <is>
          <t>Apollo Finvest (Indi..</t>
        </is>
      </c>
      <c r="B616" s="3" t="inlineStr">
        <is>
          <t>2023-12-29</t>
        </is>
      </c>
      <c r="C616" s="3" t="n">
        <v>805.75</v>
      </c>
      <c r="D616" s="3" t="inlineStr">
        <is>
          <t>2024-03-28</t>
        </is>
      </c>
      <c r="E616" s="3" t="n">
        <v>970</v>
      </c>
      <c r="F616" s="3" t="n">
        <v>20.38</v>
      </c>
    </row>
    <row r="617">
      <c r="A617" s="3" t="inlineStr">
        <is>
          <t>Elnet Technologies L..</t>
        </is>
      </c>
      <c r="B617" s="3" t="inlineStr">
        <is>
          <t>2023-12-29</t>
        </is>
      </c>
      <c r="C617" s="3" t="n">
        <v>328.5</v>
      </c>
      <c r="D617" s="3" t="inlineStr">
        <is>
          <t>2024-03-28</t>
        </is>
      </c>
      <c r="E617" s="3" t="n">
        <v>330.65</v>
      </c>
      <c r="F617" s="3" t="n">
        <v>0.65</v>
      </c>
    </row>
    <row r="618">
      <c r="A618" s="3" t="inlineStr">
        <is>
          <t>BDH Industries Ltd.</t>
        </is>
      </c>
      <c r="B618" s="3" t="inlineStr">
        <is>
          <t>2023-12-29</t>
        </is>
      </c>
      <c r="C618" s="3" t="n">
        <v>219.2</v>
      </c>
      <c r="D618" s="3" t="inlineStr">
        <is>
          <t>2024-03-28</t>
        </is>
      </c>
      <c r="E618" s="3" t="n">
        <v>281.9</v>
      </c>
      <c r="F618" s="3" t="n">
        <v>28.6</v>
      </c>
    </row>
    <row r="619">
      <c r="A619" s="3" t="inlineStr">
        <is>
          <t>The Investment Trust..</t>
        </is>
      </c>
      <c r="B619" s="3" t="inlineStr">
        <is>
          <t>2023-12-29</t>
        </is>
      </c>
      <c r="C619" s="3" t="n">
        <v>116.05</v>
      </c>
      <c r="D619" s="3" t="inlineStr">
        <is>
          <t>2024-03-28</t>
        </is>
      </c>
      <c r="E619" s="3" t="n">
        <v>133.55</v>
      </c>
      <c r="F619" s="3" t="n">
        <v>15.08</v>
      </c>
    </row>
    <row r="620">
      <c r="A620" s="3" t="inlineStr">
        <is>
          <t>Available Finance Ltd.</t>
        </is>
      </c>
      <c r="B620" s="3" t="inlineStr">
        <is>
          <t>2023-12-29</t>
        </is>
      </c>
      <c r="C620" s="3" t="n">
        <v>177.8</v>
      </c>
      <c r="D620" s="3" t="inlineStr">
        <is>
          <t>2024-03-28</t>
        </is>
      </c>
      <c r="E620" s="3" t="n">
        <v>219.5</v>
      </c>
      <c r="F620" s="3" t="n">
        <v>23.45</v>
      </c>
    </row>
    <row r="621">
      <c r="A621" s="3" t="inlineStr">
        <is>
          <t>Coral India Finance ..</t>
        </is>
      </c>
      <c r="B621" s="3" t="inlineStr">
        <is>
          <t>2023-12-29</t>
        </is>
      </c>
      <c r="C621" s="3" t="n">
        <v>58.5</v>
      </c>
      <c r="D621" s="3" t="inlineStr">
        <is>
          <t>2024-03-28</t>
        </is>
      </c>
      <c r="E621" s="3" t="n">
        <v>37</v>
      </c>
      <c r="F621" s="3" t="n">
        <v>-36.75</v>
      </c>
    </row>
    <row r="622">
      <c r="A622" s="3" t="inlineStr">
        <is>
          <t>East West Freight Ca..</t>
        </is>
      </c>
      <c r="B622" s="3" t="inlineStr">
        <is>
          <t>2023-12-29</t>
        </is>
      </c>
      <c r="C622" s="3" t="n">
        <v>8.06</v>
      </c>
      <c r="D622" s="3" t="inlineStr">
        <is>
          <t>2024-03-28</t>
        </is>
      </c>
      <c r="E622" s="3" t="n">
        <v>5.07</v>
      </c>
      <c r="F622" s="3" t="n">
        <v>-37.1</v>
      </c>
    </row>
    <row r="623">
      <c r="A623" s="3" t="inlineStr">
        <is>
          <t>Varun Beverages Ltd.</t>
        </is>
      </c>
      <c r="B623" s="3" t="inlineStr">
        <is>
          <t>2023-12-29</t>
        </is>
      </c>
      <c r="C623" s="3" t="n">
        <v>494.76</v>
      </c>
      <c r="D623" s="3" t="inlineStr">
        <is>
          <t>2024-03-28</t>
        </is>
      </c>
      <c r="E623" s="3" t="n">
        <v>559.4400000000001</v>
      </c>
      <c r="F623" s="3" t="n">
        <v>13.07</v>
      </c>
    </row>
    <row r="624">
      <c r="A624" s="3" t="inlineStr">
        <is>
          <t>Salasar Techno Engin..</t>
        </is>
      </c>
      <c r="B624" s="3" t="inlineStr">
        <is>
          <t>2023-12-29</t>
        </is>
      </c>
      <c r="C624" s="3" t="n">
        <v>13.15</v>
      </c>
      <c r="D624" s="3" t="inlineStr">
        <is>
          <t>2024-03-28</t>
        </is>
      </c>
      <c r="E624" s="3" t="n">
        <v>20</v>
      </c>
      <c r="F624" s="3" t="n">
        <v>52.09</v>
      </c>
    </row>
    <row r="625">
      <c r="A625" s="3" t="inlineStr">
        <is>
          <t>5Paisa Capital Ltd.</t>
        </is>
      </c>
      <c r="B625" s="3" t="inlineStr">
        <is>
          <t>2023-12-29</t>
        </is>
      </c>
      <c r="C625" s="3" t="n">
        <v>571.0599999999999</v>
      </c>
      <c r="D625" s="3" t="inlineStr">
        <is>
          <t>2024-03-28</t>
        </is>
      </c>
      <c r="E625" s="3" t="n">
        <v>509.34</v>
      </c>
      <c r="F625" s="3" t="n">
        <v>-10.81</v>
      </c>
    </row>
    <row r="626">
      <c r="A626" s="3" t="inlineStr">
        <is>
          <t>Bharat Dynamics Ltd.</t>
        </is>
      </c>
      <c r="B626" s="3" t="inlineStr">
        <is>
          <t>2023-12-29</t>
        </is>
      </c>
      <c r="C626" s="3" t="n">
        <v>856.1799999999999</v>
      </c>
      <c r="D626" s="3" t="inlineStr">
        <is>
          <t>2024-03-28</t>
        </is>
      </c>
      <c r="E626" s="3" t="n">
        <v>875.95</v>
      </c>
      <c r="F626" s="3" t="n">
        <v>2.31</v>
      </c>
    </row>
    <row r="627">
      <c r="A627" s="3" t="inlineStr">
        <is>
          <t>Shradha Realty Ltd.</t>
        </is>
      </c>
      <c r="B627" s="3" t="inlineStr">
        <is>
          <t>2023-12-29</t>
        </is>
      </c>
      <c r="C627" s="3" t="n">
        <v>23.41</v>
      </c>
      <c r="D627" s="3" t="inlineStr">
        <is>
          <t>2024-03-28</t>
        </is>
      </c>
      <c r="E627" s="3" t="n">
        <v>22.69</v>
      </c>
      <c r="F627" s="3" t="n">
        <v>-3.08</v>
      </c>
    </row>
    <row r="628">
      <c r="A628" s="3" t="inlineStr">
        <is>
          <t>Zodiac Energy Ltd.</t>
        </is>
      </c>
      <c r="B628" s="3" t="inlineStr">
        <is>
          <t>2023-12-29</t>
        </is>
      </c>
      <c r="C628" s="3" t="n">
        <v>198.45</v>
      </c>
      <c r="D628" s="3" t="inlineStr">
        <is>
          <t>2024-03-28</t>
        </is>
      </c>
      <c r="E628" s="3" t="n">
        <v>387.15</v>
      </c>
      <c r="F628" s="3" t="n">
        <v>95.09</v>
      </c>
    </row>
    <row r="629">
      <c r="A629" s="3" t="inlineStr">
        <is>
          <t>Banka Bioloo Ltd.</t>
        </is>
      </c>
      <c r="B629" s="3" t="inlineStr">
        <is>
          <t>2023-12-29</t>
        </is>
      </c>
      <c r="C629" s="3" t="n">
        <v>105.15</v>
      </c>
      <c r="D629" s="3" t="inlineStr">
        <is>
          <t>2024-03-28</t>
        </is>
      </c>
      <c r="E629" s="3" t="n">
        <v>93.3</v>
      </c>
      <c r="F629" s="3" t="n">
        <v>-11.27</v>
      </c>
    </row>
    <row r="630">
      <c r="A630" s="3" t="inlineStr">
        <is>
          <t>Shree Vasu Logistics..</t>
        </is>
      </c>
      <c r="B630" s="3" t="inlineStr">
        <is>
          <t>2023-12-29</t>
        </is>
      </c>
      <c r="C630" s="3" t="n">
        <v>213.5</v>
      </c>
      <c r="D630" s="3" t="inlineStr">
        <is>
          <t>2024-03-28</t>
        </is>
      </c>
      <c r="E630" s="3" t="n">
        <v>223</v>
      </c>
      <c r="F630" s="3" t="n">
        <v>4.45</v>
      </c>
    </row>
    <row r="631">
      <c r="A631" s="3" t="inlineStr">
        <is>
          <t>Affle 3I Ltd.</t>
        </is>
      </c>
      <c r="B631" s="3" t="inlineStr">
        <is>
          <t>2023-12-29</t>
        </is>
      </c>
      <c r="C631" s="3" t="n">
        <v>1306.1</v>
      </c>
      <c r="D631" s="3" t="inlineStr">
        <is>
          <t>2024-03-28</t>
        </is>
      </c>
      <c r="E631" s="3" t="n">
        <v>1041.7</v>
      </c>
      <c r="F631" s="3" t="n">
        <v>-20.24</v>
      </c>
    </row>
    <row r="632">
      <c r="A632" s="3" t="inlineStr">
        <is>
          <t>Spandana Sphoorty Fi..</t>
        </is>
      </c>
      <c r="B632" s="3" t="inlineStr">
        <is>
          <t>2023-12-29</t>
        </is>
      </c>
      <c r="C632" s="3" t="n">
        <v>1073.38</v>
      </c>
      <c r="D632" s="3" t="inlineStr">
        <is>
          <t>2024-03-28</t>
        </is>
      </c>
      <c r="E632" s="3" t="n">
        <v>799.35</v>
      </c>
      <c r="F632" s="3" t="n">
        <v>-25.53</v>
      </c>
    </row>
    <row r="633">
      <c r="A633" s="3" t="inlineStr">
        <is>
          <t>Indian Railway Cater..</t>
        </is>
      </c>
      <c r="B633" s="3" t="inlineStr">
        <is>
          <t>2023-12-29</t>
        </is>
      </c>
      <c r="C633" s="3" t="n">
        <v>887.5</v>
      </c>
      <c r="D633" s="3" t="inlineStr">
        <is>
          <t>2024-03-28</t>
        </is>
      </c>
      <c r="E633" s="3" t="n">
        <v>929.7</v>
      </c>
      <c r="F633" s="3" t="n">
        <v>4.75</v>
      </c>
    </row>
    <row r="634">
      <c r="A634" s="3" t="inlineStr">
        <is>
          <t>Cohance Lifesciences..</t>
        </is>
      </c>
      <c r="B634" s="3" t="inlineStr">
        <is>
          <t>2023-12-29</t>
        </is>
      </c>
      <c r="C634" s="3" t="n">
        <v>722.8</v>
      </c>
      <c r="D634" s="3" t="inlineStr">
        <is>
          <t>2024-03-28</t>
        </is>
      </c>
      <c r="E634" s="3" t="n">
        <v>677.1</v>
      </c>
      <c r="F634" s="3" t="n">
        <v>-6.32</v>
      </c>
    </row>
    <row r="635">
      <c r="A635" s="3" t="inlineStr">
        <is>
          <t>Supriya Lifescience ..</t>
        </is>
      </c>
      <c r="B635" s="3" t="inlineStr">
        <is>
          <t>2023-12-29</t>
        </is>
      </c>
      <c r="C635" s="3" t="n">
        <v>314.75</v>
      </c>
      <c r="D635" s="3" t="inlineStr">
        <is>
          <t>2024-03-28</t>
        </is>
      </c>
      <c r="E635" s="3" t="n">
        <v>332.95</v>
      </c>
      <c r="F635" s="3" t="n">
        <v>5.78</v>
      </c>
    </row>
    <row r="636">
      <c r="A636" s="3" t="inlineStr">
        <is>
          <t>Triveni Turbine Ltd.</t>
        </is>
      </c>
      <c r="B636" s="3" t="inlineStr">
        <is>
          <t>2024-03-28</t>
        </is>
      </c>
      <c r="C636" s="3" t="n">
        <v>536.7</v>
      </c>
      <c r="D636" s="3" t="inlineStr">
        <is>
          <t>2024-06-28</t>
        </is>
      </c>
      <c r="E636" s="3" t="n">
        <v>620.5</v>
      </c>
      <c r="F636" s="3" t="n">
        <v>15.61</v>
      </c>
    </row>
    <row r="637">
      <c r="A637" s="3" t="inlineStr">
        <is>
          <t>Vadilal Industries L..</t>
        </is>
      </c>
      <c r="B637" s="3" t="inlineStr">
        <is>
          <t>2024-03-28</t>
        </is>
      </c>
      <c r="C637" s="3" t="n">
        <v>4343.55</v>
      </c>
      <c r="D637" s="3" t="inlineStr">
        <is>
          <t>2024-06-28</t>
        </is>
      </c>
      <c r="E637" s="3" t="n">
        <v>4244.4</v>
      </c>
      <c r="F637" s="3" t="n">
        <v>-2.28</v>
      </c>
    </row>
    <row r="638">
      <c r="A638" s="3" t="inlineStr">
        <is>
          <t>Wealth First Portfol..</t>
        </is>
      </c>
      <c r="B638" s="3" t="inlineStr">
        <is>
          <t>2024-03-28</t>
        </is>
      </c>
      <c r="C638" s="3" t="n">
        <v>625.55</v>
      </c>
      <c r="D638" s="3" t="inlineStr">
        <is>
          <t>2024-06-28</t>
        </is>
      </c>
      <c r="E638" s="3" t="n">
        <v>791</v>
      </c>
      <c r="F638" s="3" t="n">
        <v>26.45</v>
      </c>
    </row>
    <row r="639">
      <c r="A639" s="3" t="inlineStr">
        <is>
          <t>ABB India Ltd.</t>
        </is>
      </c>
      <c r="B639" s="3" t="inlineStr">
        <is>
          <t>2024-03-28</t>
        </is>
      </c>
      <c r="C639" s="3" t="n">
        <v>6360.85</v>
      </c>
      <c r="D639" s="3" t="inlineStr">
        <is>
          <t>2024-06-28</t>
        </is>
      </c>
      <c r="E639" s="3" t="n">
        <v>8490.9</v>
      </c>
      <c r="F639" s="3" t="n">
        <v>33.49</v>
      </c>
    </row>
    <row r="640">
      <c r="A640" s="3" t="inlineStr">
        <is>
          <t>CG Power and Industr..</t>
        </is>
      </c>
      <c r="B640" s="3" t="inlineStr">
        <is>
          <t>2024-03-28</t>
        </is>
      </c>
      <c r="C640" s="3" t="n">
        <v>540.9</v>
      </c>
      <c r="D640" s="3" t="inlineStr">
        <is>
          <t>2024-06-28</t>
        </is>
      </c>
      <c r="E640" s="3" t="n">
        <v>704.7</v>
      </c>
      <c r="F640" s="3" t="n">
        <v>30.28</v>
      </c>
    </row>
    <row r="641">
      <c r="A641" s="3" t="inlineStr">
        <is>
          <t>Cummins India Ltd.</t>
        </is>
      </c>
      <c r="B641" s="3" t="inlineStr">
        <is>
          <t>2024-03-28</t>
        </is>
      </c>
      <c r="C641" s="3" t="n">
        <v>3006.25</v>
      </c>
      <c r="D641" s="3" t="inlineStr">
        <is>
          <t>2024-06-28</t>
        </is>
      </c>
      <c r="E641" s="3" t="n">
        <v>3966.85</v>
      </c>
      <c r="F641" s="3" t="n">
        <v>31.95</v>
      </c>
    </row>
    <row r="642">
      <c r="A642" s="3" t="inlineStr">
        <is>
          <t>Sam Industries Ltd.</t>
        </is>
      </c>
      <c r="B642" s="3" t="inlineStr">
        <is>
          <t>2024-03-28</t>
        </is>
      </c>
      <c r="C642" s="3" t="n">
        <v>106.02</v>
      </c>
      <c r="D642" s="3" t="inlineStr">
        <is>
          <t>2024-06-28</t>
        </is>
      </c>
      <c r="E642" s="3" t="n">
        <v>75.65000000000001</v>
      </c>
      <c r="F642" s="3" t="n">
        <v>-28.65</v>
      </c>
    </row>
    <row r="643">
      <c r="A643" s="3" t="inlineStr">
        <is>
          <t>Taj GVK Hotels &amp; Res..</t>
        </is>
      </c>
      <c r="B643" s="3" t="inlineStr">
        <is>
          <t>2024-03-28</t>
        </is>
      </c>
      <c r="C643" s="3" t="n">
        <v>382.85</v>
      </c>
      <c r="D643" s="3" t="inlineStr">
        <is>
          <t>2024-06-28</t>
        </is>
      </c>
      <c r="E643" s="3" t="n">
        <v>338.5</v>
      </c>
      <c r="F643" s="3" t="n">
        <v>-11.58</v>
      </c>
    </row>
    <row r="644">
      <c r="A644" s="3" t="inlineStr">
        <is>
          <t>Saraswati Commercial..</t>
        </is>
      </c>
      <c r="B644" s="3" t="inlineStr">
        <is>
          <t>2024-03-28</t>
        </is>
      </c>
      <c r="C644" s="3" t="n">
        <v>5586.05</v>
      </c>
      <c r="D644" s="3" t="inlineStr">
        <is>
          <t>2024-06-28</t>
        </is>
      </c>
      <c r="E644" s="3" t="n">
        <v>7521.65</v>
      </c>
      <c r="F644" s="3" t="n">
        <v>34.65</v>
      </c>
    </row>
    <row r="645">
      <c r="A645" s="3" t="inlineStr">
        <is>
          <t>Emerald Finance Ltd.</t>
        </is>
      </c>
      <c r="B645" s="3" t="inlineStr">
        <is>
          <t>2024-03-28</t>
        </is>
      </c>
      <c r="C645" s="3" t="n">
        <v>36.63</v>
      </c>
      <c r="D645" s="3" t="inlineStr">
        <is>
          <t>2024-06-28</t>
        </is>
      </c>
      <c r="E645" s="3" t="n">
        <v>30.05</v>
      </c>
      <c r="F645" s="3" t="n">
        <v>-17.96</v>
      </c>
    </row>
    <row r="646">
      <c r="A646" s="3" t="inlineStr">
        <is>
          <t>Marathon Nextgen Rea..</t>
        </is>
      </c>
      <c r="B646" s="3" t="inlineStr">
        <is>
          <t>2024-03-28</t>
        </is>
      </c>
      <c r="C646" s="3" t="n">
        <v>512.5</v>
      </c>
      <c r="D646" s="3" t="inlineStr">
        <is>
          <t>2024-07-31</t>
        </is>
      </c>
      <c r="E646" s="3" t="n">
        <v>607.75</v>
      </c>
      <c r="F646" s="3" t="n">
        <v>18.59</v>
      </c>
    </row>
    <row r="647">
      <c r="A647" s="3" t="inlineStr">
        <is>
          <t>Hindustan Composites..</t>
        </is>
      </c>
      <c r="B647" s="3" t="inlineStr">
        <is>
          <t>2024-06-28</t>
        </is>
      </c>
      <c r="C647" s="3" t="n">
        <v>517.1</v>
      </c>
      <c r="D647" s="3" t="inlineStr">
        <is>
          <t>2024-07-31</t>
        </is>
      </c>
      <c r="E647" s="3" t="n">
        <v>603.05</v>
      </c>
      <c r="F647" s="3" t="n">
        <v>16.62</v>
      </c>
    </row>
    <row r="648">
      <c r="A648" s="3" t="inlineStr">
        <is>
          <t>Sasken Technologies ..</t>
        </is>
      </c>
      <c r="B648" s="3" t="inlineStr">
        <is>
          <t>2024-06-28</t>
        </is>
      </c>
      <c r="C648" s="3" t="n">
        <v>1785.35</v>
      </c>
      <c r="D648" s="3" t="inlineStr">
        <is>
          <t>2024-07-31</t>
        </is>
      </c>
      <c r="E648" s="3" t="n">
        <v>1677.25</v>
      </c>
      <c r="F648" s="3" t="n">
        <v>-6.05</v>
      </c>
    </row>
    <row r="649">
      <c r="A649" s="3" t="inlineStr">
        <is>
          <t>EIH Associated Hotel..</t>
        </is>
      </c>
      <c r="B649" s="3" t="inlineStr">
        <is>
          <t>2024-06-28</t>
        </is>
      </c>
      <c r="C649" s="3" t="n">
        <v>459.88</v>
      </c>
      <c r="D649" s="3" t="inlineStr">
        <is>
          <t>2024-07-31</t>
        </is>
      </c>
      <c r="E649" s="3" t="n">
        <v>470.23</v>
      </c>
      <c r="F649" s="3" t="n">
        <v>2.25</v>
      </c>
    </row>
    <row r="650">
      <c r="A650" s="3" t="inlineStr">
        <is>
          <t>Rajapalayam Mills Ltd.</t>
        </is>
      </c>
      <c r="B650" s="3" t="inlineStr">
        <is>
          <t>2024-06-28</t>
        </is>
      </c>
      <c r="C650" s="3" t="n">
        <v>1104.85</v>
      </c>
      <c r="D650" s="3" t="inlineStr">
        <is>
          <t>2024-07-31</t>
        </is>
      </c>
      <c r="E650" s="3" t="n">
        <v>1157.3</v>
      </c>
      <c r="F650" s="3" t="n">
        <v>4.75</v>
      </c>
    </row>
    <row r="651">
      <c r="A651" s="3" t="inlineStr">
        <is>
          <t>Hester Biosciences L..</t>
        </is>
      </c>
      <c r="B651" s="3" t="inlineStr">
        <is>
          <t>2024-06-28</t>
        </is>
      </c>
      <c r="C651" s="3" t="n">
        <v>2400.45</v>
      </c>
      <c r="D651" s="3" t="inlineStr">
        <is>
          <t>2024-07-31</t>
        </is>
      </c>
      <c r="E651" s="3" t="n">
        <v>3116.2</v>
      </c>
      <c r="F651" s="3" t="n">
        <v>29.82</v>
      </c>
    </row>
    <row r="652">
      <c r="A652" s="3" t="inlineStr">
        <is>
          <t>GeeCee Ventures Ltd.</t>
        </is>
      </c>
      <c r="B652" s="3" t="inlineStr">
        <is>
          <t>2024-06-28</t>
        </is>
      </c>
      <c r="C652" s="3" t="n">
        <v>381.35</v>
      </c>
      <c r="D652" s="3" t="inlineStr">
        <is>
          <t>2024-07-31</t>
        </is>
      </c>
      <c r="E652" s="3" t="n">
        <v>383.5</v>
      </c>
      <c r="F652" s="3" t="n">
        <v>0.5600000000000001</v>
      </c>
    </row>
    <row r="653">
      <c r="A653" s="3" t="inlineStr">
        <is>
          <t>Cera Sanitaryware Ltd.</t>
        </is>
      </c>
      <c r="B653" s="3" t="inlineStr">
        <is>
          <t>2024-06-28</t>
        </is>
      </c>
      <c r="C653" s="3" t="n">
        <v>8683.25</v>
      </c>
      <c r="D653" s="3" t="inlineStr">
        <is>
          <t>2024-07-31</t>
        </is>
      </c>
      <c r="E653" s="3" t="n">
        <v>8933.15</v>
      </c>
      <c r="F653" s="3" t="n">
        <v>2.88</v>
      </c>
    </row>
    <row r="654">
      <c r="A654" s="3" t="inlineStr">
        <is>
          <t>Privi Speciality Che..</t>
        </is>
      </c>
      <c r="B654" s="3" t="inlineStr">
        <is>
          <t>2024-06-28</t>
        </is>
      </c>
      <c r="C654" s="3" t="n">
        <v>1446.95</v>
      </c>
      <c r="D654" s="3" t="inlineStr">
        <is>
          <t>2024-07-31</t>
        </is>
      </c>
      <c r="E654" s="3" t="n">
        <v>1596.1</v>
      </c>
      <c r="F654" s="3" t="n">
        <v>10.31</v>
      </c>
    </row>
    <row r="655">
      <c r="A655" s="3" t="inlineStr">
        <is>
          <t>Kirloskar Pneumatic ..</t>
        </is>
      </c>
      <c r="B655" s="3" t="inlineStr">
        <is>
          <t>2024-06-28</t>
        </is>
      </c>
      <c r="C655" s="3" t="n">
        <v>672.78</v>
      </c>
      <c r="D655" s="3" t="inlineStr">
        <is>
          <t>2024-07-31</t>
        </is>
      </c>
      <c r="E655" s="3" t="n">
        <v>677.48</v>
      </c>
      <c r="F655" s="3" t="n">
        <v>0.7</v>
      </c>
    </row>
    <row r="656">
      <c r="A656" s="3" t="inlineStr">
        <is>
          <t>Polson Ltd.</t>
        </is>
      </c>
      <c r="B656" s="3" t="inlineStr">
        <is>
          <t>2024-06-28</t>
        </is>
      </c>
      <c r="C656" s="3" t="n">
        <v>15603.9</v>
      </c>
      <c r="D656" s="3" t="inlineStr">
        <is>
          <t>2024-07-31</t>
        </is>
      </c>
      <c r="E656" s="3" t="n">
        <v>15276.95</v>
      </c>
      <c r="F656" s="3" t="n">
        <v>-2.1</v>
      </c>
    </row>
    <row r="657">
      <c r="A657" s="3" t="inlineStr">
        <is>
          <t>KNR Constructions Ltd.</t>
        </is>
      </c>
      <c r="B657" s="3" t="inlineStr">
        <is>
          <t>2024-06-28</t>
        </is>
      </c>
      <c r="C657" s="3" t="n">
        <v>348.7</v>
      </c>
      <c r="D657" s="3" t="inlineStr">
        <is>
          <t>2024-07-31</t>
        </is>
      </c>
      <c r="E657" s="3" t="n">
        <v>405</v>
      </c>
      <c r="F657" s="3" t="n">
        <v>16.15</v>
      </c>
    </row>
    <row r="658">
      <c r="A658" s="3" t="inlineStr">
        <is>
          <t>Sandesh Ltd.</t>
        </is>
      </c>
      <c r="B658" s="3" t="inlineStr">
        <is>
          <t>2024-06-28</t>
        </is>
      </c>
      <c r="C658" s="3" t="n">
        <v>1549.8</v>
      </c>
      <c r="D658" s="3" t="inlineStr">
        <is>
          <t>2024-07-31</t>
        </is>
      </c>
      <c r="E658" s="3" t="n">
        <v>1651.1</v>
      </c>
      <c r="F658" s="3" t="n">
        <v>6.54</v>
      </c>
    </row>
    <row r="659">
      <c r="A659" s="3" t="inlineStr">
        <is>
          <t>JK Paper Ltd.</t>
        </is>
      </c>
      <c r="B659" s="3" t="inlineStr">
        <is>
          <t>2024-06-28</t>
        </is>
      </c>
      <c r="C659" s="3" t="n">
        <v>542.15</v>
      </c>
      <c r="D659" s="3" t="inlineStr">
        <is>
          <t>2024-07-31</t>
        </is>
      </c>
      <c r="E659" s="3" t="n">
        <v>505.9</v>
      </c>
      <c r="F659" s="3" t="n">
        <v>-6.69</v>
      </c>
    </row>
    <row r="660">
      <c r="A660" s="3" t="inlineStr">
        <is>
          <t>Roto Pumps Ltd.</t>
        </is>
      </c>
      <c r="B660" s="3" t="inlineStr">
        <is>
          <t>2024-06-28</t>
        </is>
      </c>
      <c r="C660" s="3" t="n">
        <v>87.84</v>
      </c>
      <c r="D660" s="3" t="inlineStr">
        <is>
          <t>2024-07-31</t>
        </is>
      </c>
      <c r="E660" s="3" t="n">
        <v>114.42</v>
      </c>
      <c r="F660" s="3" t="n">
        <v>30.26</v>
      </c>
    </row>
    <row r="661">
      <c r="A661" s="3" t="inlineStr">
        <is>
          <t>Bayer Cropscience Ltd.</t>
        </is>
      </c>
      <c r="B661" s="3" t="inlineStr">
        <is>
          <t>2024-06-28</t>
        </is>
      </c>
      <c r="C661" s="3" t="n">
        <v>6712.4</v>
      </c>
      <c r="D661" s="3" t="inlineStr">
        <is>
          <t>2024-07-31</t>
        </is>
      </c>
      <c r="E661" s="3" t="n">
        <v>6956.5</v>
      </c>
      <c r="F661" s="3" t="n">
        <v>3.64</v>
      </c>
    </row>
    <row r="662">
      <c r="A662" s="3" t="inlineStr">
        <is>
          <t>Cantabil Retail Indi..</t>
        </is>
      </c>
      <c r="B662" s="3" t="inlineStr">
        <is>
          <t>2024-06-28</t>
        </is>
      </c>
      <c r="C662" s="3" t="n">
        <v>248.43</v>
      </c>
      <c r="D662" s="3" t="inlineStr">
        <is>
          <t>2024-07-31</t>
        </is>
      </c>
      <c r="E662" s="3" t="n">
        <v>282.25</v>
      </c>
      <c r="F662" s="3" t="n">
        <v>13.61</v>
      </c>
    </row>
    <row r="663">
      <c r="A663" s="3" t="inlineStr">
        <is>
          <t>VST Tillers Tractors..</t>
        </is>
      </c>
      <c r="B663" s="3" t="inlineStr">
        <is>
          <t>2024-06-28</t>
        </is>
      </c>
      <c r="C663" s="3" t="n">
        <v>4171.95</v>
      </c>
      <c r="D663" s="3" t="inlineStr">
        <is>
          <t>2024-07-31</t>
        </is>
      </c>
      <c r="E663" s="3" t="n">
        <v>4248.7</v>
      </c>
      <c r="F663" s="3" t="n">
        <v>1.84</v>
      </c>
    </row>
    <row r="664">
      <c r="A664" s="3" t="inlineStr">
        <is>
          <t>Orient Cement Ltd.</t>
        </is>
      </c>
      <c r="B664" s="3" t="inlineStr">
        <is>
          <t>2024-06-28</t>
        </is>
      </c>
      <c r="C664" s="3" t="n">
        <v>275.25</v>
      </c>
      <c r="D664" s="3" t="inlineStr">
        <is>
          <t>2024-07-31</t>
        </is>
      </c>
      <c r="E664" s="3" t="n">
        <v>349.25</v>
      </c>
      <c r="F664" s="3" t="n">
        <v>26.88</v>
      </c>
    </row>
    <row r="665">
      <c r="A665" s="3" t="inlineStr">
        <is>
          <t>Endurance Technologi..</t>
        </is>
      </c>
      <c r="B665" s="3" t="inlineStr">
        <is>
          <t>2024-06-28</t>
        </is>
      </c>
      <c r="C665" s="3" t="n">
        <v>2678.15</v>
      </c>
      <c r="D665" s="3" t="inlineStr">
        <is>
          <t>2024-07-31</t>
        </is>
      </c>
      <c r="E665" s="3" t="n">
        <v>2600.9</v>
      </c>
      <c r="F665" s="3" t="n">
        <v>-2.88</v>
      </c>
    </row>
    <row r="666">
      <c r="A666" s="3" t="inlineStr">
        <is>
          <t>Finolex Cables Ltd.</t>
        </is>
      </c>
      <c r="B666" s="3" t="inlineStr">
        <is>
          <t>2024-06-28</t>
        </is>
      </c>
      <c r="C666" s="3" t="n">
        <v>1559.4</v>
      </c>
      <c r="D666" s="3" t="inlineStr">
        <is>
          <t>2024-07-31</t>
        </is>
      </c>
      <c r="E666" s="3" t="n">
        <v>1533.15</v>
      </c>
      <c r="F666" s="3" t="n">
        <v>-1.68</v>
      </c>
    </row>
    <row r="667">
      <c r="A667" s="3" t="inlineStr">
        <is>
          <t>Honda India Power Pr..</t>
        </is>
      </c>
      <c r="B667" s="3" t="inlineStr">
        <is>
          <t>2024-06-28</t>
        </is>
      </c>
      <c r="C667" s="3" t="n">
        <v>3736.15</v>
      </c>
      <c r="D667" s="3" t="inlineStr">
        <is>
          <t>2024-07-31</t>
        </is>
      </c>
      <c r="E667" s="3" t="n">
        <v>3997.7</v>
      </c>
      <c r="F667" s="3" t="n">
        <v>7</v>
      </c>
    </row>
    <row r="668">
      <c r="A668" s="3" t="inlineStr">
        <is>
          <t>Technocraft Industri..</t>
        </is>
      </c>
      <c r="B668" s="3" t="inlineStr">
        <is>
          <t>2024-06-28</t>
        </is>
      </c>
      <c r="C668" s="3" t="n">
        <v>2887.4</v>
      </c>
      <c r="D668" s="3" t="inlineStr">
        <is>
          <t>2024-07-31</t>
        </is>
      </c>
      <c r="E668" s="3" t="n">
        <v>3706.35</v>
      </c>
      <c r="F668" s="3" t="n">
        <v>28.36</v>
      </c>
    </row>
    <row r="669">
      <c r="A669" s="3" t="inlineStr">
        <is>
          <t>Rashtriya Chemicals ..</t>
        </is>
      </c>
      <c r="B669" s="3" t="inlineStr">
        <is>
          <t>2024-06-28</t>
        </is>
      </c>
      <c r="C669" s="3" t="n">
        <v>193.19</v>
      </c>
      <c r="D669" s="3" t="inlineStr">
        <is>
          <t>2024-07-31</t>
        </is>
      </c>
      <c r="E669" s="3" t="n">
        <v>218.59</v>
      </c>
      <c r="F669" s="3" t="n">
        <v>13.15</v>
      </c>
    </row>
    <row r="670">
      <c r="A670" s="3" t="inlineStr">
        <is>
          <t>Saregama India Ltd.</t>
        </is>
      </c>
      <c r="B670" s="3" t="inlineStr">
        <is>
          <t>2024-06-28</t>
        </is>
      </c>
      <c r="C670" s="3" t="n">
        <v>555.45</v>
      </c>
      <c r="D670" s="3" t="inlineStr">
        <is>
          <t>2024-07-31</t>
        </is>
      </c>
      <c r="E670" s="3" t="n">
        <v>554</v>
      </c>
      <c r="F670" s="3" t="n">
        <v>-0.26</v>
      </c>
    </row>
    <row r="671">
      <c r="A671" s="3" t="inlineStr">
        <is>
          <t>Shree Ganesh Remedie..</t>
        </is>
      </c>
      <c r="B671" s="3" t="inlineStr">
        <is>
          <t>2024-06-28</t>
        </is>
      </c>
      <c r="C671" s="3" t="n">
        <v>809.4</v>
      </c>
      <c r="D671" s="3" t="inlineStr">
        <is>
          <t>2024-07-31</t>
        </is>
      </c>
      <c r="E671" s="3" t="n">
        <v>848.45</v>
      </c>
      <c r="F671" s="3" t="n">
        <v>4.82</v>
      </c>
    </row>
    <row r="672">
      <c r="A672" s="3" t="inlineStr">
        <is>
          <t>Dhanuka Agritech Ltd.</t>
        </is>
      </c>
      <c r="B672" s="3" t="inlineStr">
        <is>
          <t>2024-06-28</t>
        </is>
      </c>
      <c r="C672" s="3" t="n">
        <v>1685.9</v>
      </c>
      <c r="D672" s="3" t="inlineStr">
        <is>
          <t>2024-07-31</t>
        </is>
      </c>
      <c r="E672" s="3" t="n">
        <v>1731.35</v>
      </c>
      <c r="F672" s="3" t="n">
        <v>2.7</v>
      </c>
    </row>
    <row r="673">
      <c r="A673" s="3" t="inlineStr">
        <is>
          <t>Alldigi Tech Ltd.</t>
        </is>
      </c>
      <c r="B673" s="3" t="inlineStr">
        <is>
          <t>2024-06-28</t>
        </is>
      </c>
      <c r="C673" s="3" t="n">
        <v>1154.05</v>
      </c>
      <c r="D673" s="3" t="inlineStr">
        <is>
          <t>2024-07-31</t>
        </is>
      </c>
      <c r="E673" s="3" t="n">
        <v>1082.7</v>
      </c>
      <c r="F673" s="3" t="n">
        <v>-6.18</v>
      </c>
    </row>
    <row r="674">
      <c r="A674" s="3" t="inlineStr">
        <is>
          <t>Bannari Amman Sugars..</t>
        </is>
      </c>
      <c r="B674" s="3" t="inlineStr">
        <is>
          <t>2024-06-28</t>
        </is>
      </c>
      <c r="C674" s="3" t="n">
        <v>3142.95</v>
      </c>
      <c r="D674" s="3" t="inlineStr">
        <is>
          <t>2024-07-31</t>
        </is>
      </c>
      <c r="E674" s="3" t="n">
        <v>3209.4</v>
      </c>
      <c r="F674" s="3" t="n">
        <v>2.11</v>
      </c>
    </row>
    <row r="675">
      <c r="A675" s="3" t="inlineStr">
        <is>
          <t>The Bombay Burmah Tr..</t>
        </is>
      </c>
      <c r="B675" s="3" t="inlineStr">
        <is>
          <t>2024-06-28</t>
        </is>
      </c>
      <c r="C675" s="3" t="n">
        <v>2025.5</v>
      </c>
      <c r="D675" s="3" t="inlineStr">
        <is>
          <t>2024-07-31</t>
        </is>
      </c>
      <c r="E675" s="3" t="n">
        <v>2279.55</v>
      </c>
      <c r="F675" s="3" t="n">
        <v>12.54</v>
      </c>
    </row>
    <row r="676">
      <c r="A676" s="3" t="inlineStr">
        <is>
          <t>Bhansali Engineering..</t>
        </is>
      </c>
      <c r="B676" s="3" t="inlineStr">
        <is>
          <t>2024-06-28</t>
        </is>
      </c>
      <c r="C676" s="3" t="n">
        <v>129.71</v>
      </c>
      <c r="D676" s="3" t="inlineStr">
        <is>
          <t>2024-07-31</t>
        </is>
      </c>
      <c r="E676" s="3" t="n">
        <v>150.69</v>
      </c>
      <c r="F676" s="3" t="n">
        <v>16.17</v>
      </c>
    </row>
    <row r="677">
      <c r="A677" s="3" t="inlineStr">
        <is>
          <t>Emami Ltd.</t>
        </is>
      </c>
      <c r="B677" s="3" t="inlineStr">
        <is>
          <t>2024-06-28</t>
        </is>
      </c>
      <c r="C677" s="3" t="n">
        <v>689.3</v>
      </c>
      <c r="D677" s="3" t="inlineStr">
        <is>
          <t>2024-07-31</t>
        </is>
      </c>
      <c r="E677" s="3" t="n">
        <v>816.95</v>
      </c>
      <c r="F677" s="3" t="n">
        <v>18.52</v>
      </c>
    </row>
    <row r="678">
      <c r="A678" s="3" t="inlineStr">
        <is>
          <t>Gujarat Industries P..</t>
        </is>
      </c>
      <c r="B678" s="3" t="inlineStr">
        <is>
          <t>2024-06-28</t>
        </is>
      </c>
      <c r="C678" s="3" t="n">
        <v>236.17</v>
      </c>
      <c r="D678" s="3" t="inlineStr">
        <is>
          <t>2024-07-31</t>
        </is>
      </c>
      <c r="E678" s="3" t="n">
        <v>242.23</v>
      </c>
      <c r="F678" s="3" t="n">
        <v>2.57</v>
      </c>
    </row>
    <row r="679">
      <c r="A679" s="3" t="inlineStr">
        <is>
          <t>Hexa Tradex Ltd.</t>
        </is>
      </c>
      <c r="B679" s="3" t="inlineStr">
        <is>
          <t>2024-06-28</t>
        </is>
      </c>
      <c r="C679" s="3" t="n">
        <v>199.65</v>
      </c>
      <c r="D679" s="3" t="inlineStr">
        <is>
          <t>2024-07-31</t>
        </is>
      </c>
      <c r="E679" s="3" t="n">
        <v>224.13</v>
      </c>
      <c r="F679" s="3" t="n">
        <v>12.26</v>
      </c>
    </row>
    <row r="680">
      <c r="A680" s="3" t="inlineStr">
        <is>
          <t>Jindal Poly Investme..</t>
        </is>
      </c>
      <c r="B680" s="3" t="inlineStr">
        <is>
          <t>2024-06-28</t>
        </is>
      </c>
      <c r="C680" s="3" t="n">
        <v>891.75</v>
      </c>
      <c r="D680" s="3" t="inlineStr">
        <is>
          <t>2024-07-31</t>
        </is>
      </c>
      <c r="E680" s="3" t="n">
        <v>883.3</v>
      </c>
      <c r="F680" s="3" t="n">
        <v>-0.95</v>
      </c>
    </row>
    <row r="681">
      <c r="A681" s="3" t="inlineStr">
        <is>
          <t>Mawana Sugars Ltd.</t>
        </is>
      </c>
      <c r="B681" s="3" t="inlineStr">
        <is>
          <t>2024-06-28</t>
        </is>
      </c>
      <c r="C681" s="3" t="n">
        <v>120.03</v>
      </c>
      <c r="D681" s="3" t="inlineStr">
        <is>
          <t>2024-07-31</t>
        </is>
      </c>
      <c r="E681" s="3" t="n">
        <v>119.15</v>
      </c>
      <c r="F681" s="3" t="n">
        <v>-0.73</v>
      </c>
    </row>
    <row r="682">
      <c r="A682" s="3" t="inlineStr">
        <is>
          <t>Nalwa Sons Investmen..</t>
        </is>
      </c>
      <c r="B682" s="3" t="inlineStr">
        <is>
          <t>2024-06-28</t>
        </is>
      </c>
      <c r="C682" s="3" t="n">
        <v>4361.15</v>
      </c>
      <c r="D682" s="3" t="inlineStr">
        <is>
          <t>2024-07-31</t>
        </is>
      </c>
      <c r="E682" s="3" t="n">
        <v>4527.4</v>
      </c>
      <c r="F682" s="3" t="n">
        <v>3.81</v>
      </c>
    </row>
    <row r="683">
      <c r="A683" s="3" t="inlineStr">
        <is>
          <t>The Peria Karamalai ..</t>
        </is>
      </c>
      <c r="B683" s="3" t="inlineStr">
        <is>
          <t>2024-06-28</t>
        </is>
      </c>
      <c r="C683" s="3" t="n">
        <v>515.6</v>
      </c>
      <c r="D683" s="3" t="inlineStr">
        <is>
          <t>2024-07-31</t>
        </is>
      </c>
      <c r="E683" s="3" t="n">
        <v>413.6</v>
      </c>
      <c r="F683" s="3" t="n">
        <v>-19.78</v>
      </c>
    </row>
    <row r="684">
      <c r="A684" s="3" t="inlineStr">
        <is>
          <t>Persistent Systems L..</t>
        </is>
      </c>
      <c r="B684" s="3" t="inlineStr">
        <is>
          <t>2024-06-28</t>
        </is>
      </c>
      <c r="C684" s="3" t="n">
        <v>4241.45</v>
      </c>
      <c r="D684" s="3" t="inlineStr">
        <is>
          <t>2024-07-31</t>
        </is>
      </c>
      <c r="E684" s="3" t="n">
        <v>4832.3</v>
      </c>
      <c r="F684" s="3" t="n">
        <v>13.93</v>
      </c>
    </row>
    <row r="685">
      <c r="A685" s="3" t="inlineStr">
        <is>
          <t>Raymond Ltd.</t>
        </is>
      </c>
      <c r="B685" s="3" t="inlineStr">
        <is>
          <t>2024-06-28</t>
        </is>
      </c>
      <c r="C685" s="3" t="n">
        <v>2922.8</v>
      </c>
      <c r="D685" s="3" t="inlineStr">
        <is>
          <t>2024-07-31</t>
        </is>
      </c>
      <c r="E685" s="3" t="n">
        <v>1969.45</v>
      </c>
      <c r="F685" s="3" t="n">
        <v>-32.62</v>
      </c>
    </row>
    <row r="686">
      <c r="A686" s="3" t="inlineStr">
        <is>
          <t>Ramkrishna Forgings ..</t>
        </is>
      </c>
      <c r="B686" s="3" t="inlineStr">
        <is>
          <t>2024-06-28</t>
        </is>
      </c>
      <c r="C686" s="3" t="n">
        <v>890</v>
      </c>
      <c r="D686" s="3" t="inlineStr">
        <is>
          <t>2024-07-31</t>
        </is>
      </c>
      <c r="E686" s="3" t="n">
        <v>857.85</v>
      </c>
      <c r="F686" s="3" t="n">
        <v>-3.61</v>
      </c>
    </row>
    <row r="687">
      <c r="A687" s="3" t="inlineStr">
        <is>
          <t>Seamec Ltd.</t>
        </is>
      </c>
      <c r="B687" s="3" t="inlineStr">
        <is>
          <t>2024-06-28</t>
        </is>
      </c>
      <c r="C687" s="3" t="n">
        <v>1266.05</v>
      </c>
      <c r="D687" s="3" t="inlineStr">
        <is>
          <t>2024-07-31</t>
        </is>
      </c>
      <c r="E687" s="3" t="n">
        <v>1588.3</v>
      </c>
      <c r="F687" s="3" t="n">
        <v>25.45</v>
      </c>
    </row>
    <row r="688">
      <c r="A688" s="3" t="inlineStr">
        <is>
          <t>Somany Ceramics Ltd.</t>
        </is>
      </c>
      <c r="B688" s="3" t="inlineStr">
        <is>
          <t>2024-06-28</t>
        </is>
      </c>
      <c r="C688" s="3" t="n">
        <v>832.4</v>
      </c>
      <c r="D688" s="3" t="inlineStr">
        <is>
          <t>2024-07-31</t>
        </is>
      </c>
      <c r="E688" s="3" t="n">
        <v>775.65</v>
      </c>
      <c r="F688" s="3" t="n">
        <v>-6.82</v>
      </c>
    </row>
    <row r="689">
      <c r="A689" s="3" t="inlineStr">
        <is>
          <t>Sudarshan Chemical I..</t>
        </is>
      </c>
      <c r="B689" s="3" t="inlineStr">
        <is>
          <t>2024-06-28</t>
        </is>
      </c>
      <c r="C689" s="3" t="n">
        <v>901.15</v>
      </c>
      <c r="D689" s="3" t="inlineStr">
        <is>
          <t>2024-07-31</t>
        </is>
      </c>
      <c r="E689" s="3" t="n">
        <v>936.85</v>
      </c>
      <c r="F689" s="3" t="n">
        <v>3.96</v>
      </c>
    </row>
    <row r="690">
      <c r="A690" s="3" t="inlineStr">
        <is>
          <t>V-Mart Retail Ltd.</t>
        </is>
      </c>
      <c r="B690" s="3" t="inlineStr">
        <is>
          <t>2024-06-28</t>
        </is>
      </c>
      <c r="C690" s="3" t="n">
        <v>730.59</v>
      </c>
      <c r="D690" s="3" t="inlineStr">
        <is>
          <t>2024-07-31</t>
        </is>
      </c>
      <c r="E690" s="3" t="n">
        <v>856.24</v>
      </c>
      <c r="F690" s="3" t="n">
        <v>17.2</v>
      </c>
    </row>
    <row r="691">
      <c r="A691" s="3" t="inlineStr">
        <is>
          <t>Zensar Technologies ..</t>
        </is>
      </c>
      <c r="B691" s="3" t="inlineStr">
        <is>
          <t>2024-06-28</t>
        </is>
      </c>
      <c r="C691" s="3" t="n">
        <v>747.35</v>
      </c>
      <c r="D691" s="3" t="inlineStr">
        <is>
          <t>2024-07-31</t>
        </is>
      </c>
      <c r="E691" s="3" t="n">
        <v>793.35</v>
      </c>
      <c r="F691" s="3" t="n">
        <v>6.16</v>
      </c>
    </row>
    <row r="692">
      <c r="A692" s="3" t="inlineStr">
        <is>
          <t>Duncan Engineering L..</t>
        </is>
      </c>
      <c r="B692" s="3" t="inlineStr">
        <is>
          <t>2024-06-28</t>
        </is>
      </c>
      <c r="C692" s="3" t="n">
        <v>556.55</v>
      </c>
      <c r="D692" s="3" t="inlineStr">
        <is>
          <t>2024-07-31</t>
        </is>
      </c>
      <c r="E692" s="3" t="n">
        <v>641.8</v>
      </c>
      <c r="F692" s="3" t="n">
        <v>15.32</v>
      </c>
    </row>
    <row r="693">
      <c r="A693" s="3" t="inlineStr">
        <is>
          <t>Bajaj Steel Industri..</t>
        </is>
      </c>
      <c r="B693" s="3" t="inlineStr">
        <is>
          <t>2024-06-28</t>
        </is>
      </c>
      <c r="C693" s="3" t="n">
        <v>406.94</v>
      </c>
      <c r="D693" s="3" t="inlineStr">
        <is>
          <t>2024-07-31</t>
        </is>
      </c>
      <c r="E693" s="3" t="n">
        <v>455.69</v>
      </c>
      <c r="F693" s="3" t="n">
        <v>11.98</v>
      </c>
    </row>
    <row r="694">
      <c r="A694" s="3" t="inlineStr">
        <is>
          <t>Nitin Castings Ltd.</t>
        </is>
      </c>
      <c r="B694" s="3" t="inlineStr">
        <is>
          <t>2024-06-28</t>
        </is>
      </c>
      <c r="C694" s="3" t="n">
        <v>859.95</v>
      </c>
      <c r="D694" s="3" t="inlineStr">
        <is>
          <t>2024-07-31</t>
        </is>
      </c>
      <c r="E694" s="3" t="n">
        <v>725</v>
      </c>
      <c r="F694" s="3" t="n">
        <v>-15.69</v>
      </c>
    </row>
    <row r="695">
      <c r="A695" s="3" t="inlineStr">
        <is>
          <t>Stylam Industries Ltd.</t>
        </is>
      </c>
      <c r="B695" s="3" t="inlineStr">
        <is>
          <t>2024-06-28</t>
        </is>
      </c>
      <c r="C695" s="3" t="n">
        <v>1921.9</v>
      </c>
      <c r="D695" s="3" t="inlineStr">
        <is>
          <t>2024-07-31</t>
        </is>
      </c>
      <c r="E695" s="3" t="n">
        <v>1976.2</v>
      </c>
      <c r="F695" s="3" t="n">
        <v>2.83</v>
      </c>
    </row>
    <row r="696">
      <c r="A696" s="3" t="inlineStr">
        <is>
          <t>Premco Global Ltd.</t>
        </is>
      </c>
      <c r="B696" s="3" t="inlineStr">
        <is>
          <t>2024-06-28</t>
        </is>
      </c>
      <c r="C696" s="3" t="n">
        <v>498.75</v>
      </c>
      <c r="D696" s="3" t="inlineStr">
        <is>
          <t>2024-07-31</t>
        </is>
      </c>
      <c r="E696" s="3" t="n">
        <v>470.7</v>
      </c>
      <c r="F696" s="3" t="n">
        <v>-5.62</v>
      </c>
    </row>
    <row r="697">
      <c r="A697" s="3" t="inlineStr">
        <is>
          <t>Sunshield Chemicals ..</t>
        </is>
      </c>
      <c r="B697" s="3" t="inlineStr">
        <is>
          <t>2024-06-28</t>
        </is>
      </c>
      <c r="C697" s="3" t="n">
        <v>1011.81</v>
      </c>
      <c r="D697" s="3" t="inlineStr">
        <is>
          <t>2024-07-31</t>
        </is>
      </c>
      <c r="E697" s="3" t="n">
        <v>1037.9</v>
      </c>
      <c r="F697" s="3" t="n">
        <v>2.58</v>
      </c>
    </row>
    <row r="698">
      <c r="A698" s="3" t="inlineStr">
        <is>
          <t>Prerna Infrabuild Ltd.</t>
        </is>
      </c>
      <c r="B698" s="3" t="inlineStr">
        <is>
          <t>2024-06-28</t>
        </is>
      </c>
      <c r="C698" s="3" t="n">
        <v>43.39</v>
      </c>
      <c r="D698" s="3" t="inlineStr">
        <is>
          <t>2024-07-31</t>
        </is>
      </c>
      <c r="E698" s="3" t="n">
        <v>38.48</v>
      </c>
      <c r="F698" s="3" t="n">
        <v>-11.32</v>
      </c>
    </row>
    <row r="699">
      <c r="A699" s="3" t="inlineStr">
        <is>
          <t>Pokarna Ltd.</t>
        </is>
      </c>
      <c r="B699" s="3" t="inlineStr">
        <is>
          <t>2024-06-28</t>
        </is>
      </c>
      <c r="C699" s="3" t="n">
        <v>705.3</v>
      </c>
      <c r="D699" s="3" t="inlineStr">
        <is>
          <t>2024-07-31</t>
        </is>
      </c>
      <c r="E699" s="3" t="n">
        <v>726.55</v>
      </c>
      <c r="F699" s="3" t="n">
        <v>3.01</v>
      </c>
    </row>
    <row r="700">
      <c r="A700" s="3" t="inlineStr">
        <is>
          <t>HBG Hotels Ltd.</t>
        </is>
      </c>
      <c r="B700" s="3" t="inlineStr">
        <is>
          <t>2024-06-28</t>
        </is>
      </c>
      <c r="C700" s="3" t="n">
        <v>134.85</v>
      </c>
      <c r="D700" s="3" t="inlineStr">
        <is>
          <t>2024-07-31</t>
        </is>
      </c>
      <c r="E700" s="3" t="n">
        <v>135.7</v>
      </c>
      <c r="F700" s="3" t="n">
        <v>0.63</v>
      </c>
    </row>
    <row r="701">
      <c r="A701" s="3" t="inlineStr">
        <is>
          <t>Mercantile Ventures ..</t>
        </is>
      </c>
      <c r="B701" s="3" t="inlineStr">
        <is>
          <t>2024-06-28</t>
        </is>
      </c>
      <c r="C701" s="3" t="n">
        <v>30.45</v>
      </c>
      <c r="D701" s="3" t="inlineStr">
        <is>
          <t>2024-07-31</t>
        </is>
      </c>
      <c r="E701" s="3" t="n">
        <v>25.58</v>
      </c>
      <c r="F701" s="3" t="n">
        <v>-15.99</v>
      </c>
    </row>
    <row r="702">
      <c r="A702" s="3" t="inlineStr">
        <is>
          <t>Beekay Steel Industr..</t>
        </is>
      </c>
      <c r="B702" s="3" t="inlineStr">
        <is>
          <t>2024-06-28</t>
        </is>
      </c>
      <c r="C702" s="3" t="n">
        <v>749.65</v>
      </c>
      <c r="D702" s="3" t="inlineStr">
        <is>
          <t>2024-07-31</t>
        </is>
      </c>
      <c r="E702" s="3" t="n">
        <v>724.45</v>
      </c>
      <c r="F702" s="3" t="n">
        <v>-3.36</v>
      </c>
    </row>
    <row r="703">
      <c r="A703" s="3" t="inlineStr">
        <is>
          <t>SunRakshakk Industri..</t>
        </is>
      </c>
      <c r="B703" s="3" t="inlineStr">
        <is>
          <t>2024-06-28</t>
        </is>
      </c>
      <c r="C703" s="3" t="n">
        <v>43.24</v>
      </c>
      <c r="D703" s="3" t="inlineStr">
        <is>
          <t>2024-07-31</t>
        </is>
      </c>
      <c r="E703" s="3" t="n">
        <v>44.3</v>
      </c>
      <c r="F703" s="3" t="n">
        <v>2.45</v>
      </c>
    </row>
    <row r="704">
      <c r="A704" s="3" t="inlineStr">
        <is>
          <t>Mahindra Logistics L..</t>
        </is>
      </c>
      <c r="B704" s="3" t="inlineStr">
        <is>
          <t>2024-06-28</t>
        </is>
      </c>
      <c r="C704" s="3" t="n">
        <v>479.16</v>
      </c>
      <c r="D704" s="3" t="inlineStr">
        <is>
          <t>2024-07-31</t>
        </is>
      </c>
      <c r="E704" s="3" t="n">
        <v>469.25</v>
      </c>
      <c r="F704" s="3" t="n">
        <v>-2.07</v>
      </c>
    </row>
    <row r="705">
      <c r="A705" s="3" t="inlineStr">
        <is>
          <t>NBI Industrial Finan..</t>
        </is>
      </c>
      <c r="B705" s="3" t="inlineStr">
        <is>
          <t>2024-06-28</t>
        </is>
      </c>
      <c r="C705" s="3" t="n">
        <v>2329.55</v>
      </c>
      <c r="D705" s="3" t="inlineStr">
        <is>
          <t>2024-07-31</t>
        </is>
      </c>
      <c r="E705" s="3" t="n">
        <v>2473.7</v>
      </c>
      <c r="F705" s="3" t="n">
        <v>6.19</v>
      </c>
    </row>
    <row r="706">
      <c r="A706" s="3" t="inlineStr">
        <is>
          <t>Naga Dhunseri Group ..</t>
        </is>
      </c>
      <c r="B706" s="3" t="inlineStr">
        <is>
          <t>2024-06-28</t>
        </is>
      </c>
      <c r="C706" s="3" t="n">
        <v>3530.15</v>
      </c>
      <c r="D706" s="3" t="inlineStr">
        <is>
          <t>2024-07-31</t>
        </is>
      </c>
      <c r="E706" s="3" t="n">
        <v>3101.9</v>
      </c>
      <c r="F706" s="3" t="n">
        <v>-12.13</v>
      </c>
    </row>
    <row r="707">
      <c r="A707" s="3" t="inlineStr">
        <is>
          <t>Amber Enterprises In..</t>
        </is>
      </c>
      <c r="B707" s="3" t="inlineStr">
        <is>
          <t>2024-06-28</t>
        </is>
      </c>
      <c r="C707" s="3" t="n">
        <v>4521.75</v>
      </c>
      <c r="D707" s="3" t="inlineStr">
        <is>
          <t>2024-07-31</t>
        </is>
      </c>
      <c r="E707" s="3" t="n">
        <v>4334.5</v>
      </c>
      <c r="F707" s="3" t="n">
        <v>-4.14</v>
      </c>
    </row>
    <row r="708">
      <c r="A708" s="3" t="inlineStr">
        <is>
          <t>Likhitha Infrastruct..</t>
        </is>
      </c>
      <c r="B708" s="3" t="inlineStr">
        <is>
          <t>2024-06-28</t>
        </is>
      </c>
      <c r="C708" s="3" t="n">
        <v>457.2</v>
      </c>
      <c r="D708" s="3" t="inlineStr">
        <is>
          <t>2024-07-31</t>
        </is>
      </c>
      <c r="E708" s="3" t="n">
        <v>446</v>
      </c>
      <c r="F708" s="3" t="n">
        <v>-2.45</v>
      </c>
    </row>
    <row r="709">
      <c r="A709" s="3" t="inlineStr">
        <is>
          <t>Craftsman Automation..</t>
        </is>
      </c>
      <c r="B709" s="3" t="inlineStr">
        <is>
          <t>2024-06-28</t>
        </is>
      </c>
      <c r="C709" s="3" t="n">
        <v>5541.55</v>
      </c>
      <c r="D709" s="3" t="inlineStr">
        <is>
          <t>2024-07-31</t>
        </is>
      </c>
      <c r="E709" s="3" t="n">
        <v>5589.5</v>
      </c>
      <c r="F709" s="3" t="n">
        <v>0.87</v>
      </c>
    </row>
    <row r="710">
      <c r="A710" s="3" t="inlineStr">
        <is>
          <t>Windlas Biotech Ltd.</t>
        </is>
      </c>
      <c r="B710" s="3" t="inlineStr">
        <is>
          <t>2024-06-28</t>
        </is>
      </c>
      <c r="C710" s="3" t="n">
        <v>717.65</v>
      </c>
      <c r="D710" s="3" t="inlineStr">
        <is>
          <t>2024-07-31</t>
        </is>
      </c>
      <c r="E710" s="3" t="n">
        <v>826.55</v>
      </c>
      <c r="F710" s="3" t="n">
        <v>15.17</v>
      </c>
    </row>
    <row r="711">
      <c r="A711" s="3" t="inlineStr">
        <is>
          <t>Sansera Engineering ..</t>
        </is>
      </c>
      <c r="B711" s="3" t="inlineStr">
        <is>
          <t>2024-06-28</t>
        </is>
      </c>
      <c r="C711" s="3" t="n">
        <v>1291.2</v>
      </c>
      <c r="D711" s="3" t="inlineStr">
        <is>
          <t>2024-07-31</t>
        </is>
      </c>
      <c r="E711" s="3" t="n">
        <v>1418.25</v>
      </c>
      <c r="F711" s="3" t="n">
        <v>9.84</v>
      </c>
    </row>
    <row r="712">
      <c r="A712" s="3" t="inlineStr">
        <is>
          <t>Shri Venkatesh Refin..</t>
        </is>
      </c>
      <c r="B712" s="3" t="inlineStr">
        <is>
          <t>2024-06-28</t>
        </is>
      </c>
      <c r="C712" s="3" t="n">
        <v>129.05</v>
      </c>
      <c r="D712" s="3" t="inlineStr">
        <is>
          <t>2024-07-31</t>
        </is>
      </c>
      <c r="E712" s="3" t="n">
        <v>129.5</v>
      </c>
      <c r="F712" s="3" t="n">
        <v>0.35</v>
      </c>
    </row>
    <row r="713">
      <c r="A713" s="3" t="inlineStr">
        <is>
          <t>Paradeep Phosphates ..</t>
        </is>
      </c>
      <c r="B713" s="3" t="inlineStr">
        <is>
          <t>2024-06-28</t>
        </is>
      </c>
      <c r="C713" s="3" t="n">
        <v>83.56</v>
      </c>
      <c r="D713" s="3" t="inlineStr">
        <is>
          <t>2024-07-31</t>
        </is>
      </c>
      <c r="E713" s="3" t="n">
        <v>91.84</v>
      </c>
      <c r="F713" s="3" t="n">
        <v>9.91</v>
      </c>
    </row>
    <row r="714">
      <c r="A714" s="3" t="inlineStr">
        <is>
          <t>Bikaji Foods Interna..</t>
        </is>
      </c>
      <c r="B714" s="3" t="inlineStr">
        <is>
          <t>2024-06-28</t>
        </is>
      </c>
      <c r="C714" s="3" t="n">
        <v>715.6</v>
      </c>
      <c r="D714" s="3" t="inlineStr">
        <is>
          <t>2024-07-31</t>
        </is>
      </c>
      <c r="E714" s="3" t="n">
        <v>715.2</v>
      </c>
      <c r="F714" s="3" t="n">
        <v>-0.06</v>
      </c>
    </row>
    <row r="715">
      <c r="A715" s="3" t="inlineStr">
        <is>
          <t>Alembic Ltd.</t>
        </is>
      </c>
      <c r="B715" s="3" t="inlineStr">
        <is>
          <t>2024-07-31</t>
        </is>
      </c>
      <c r="C715" s="3" t="n">
        <v>142.24</v>
      </c>
      <c r="D715" s="3" t="inlineStr">
        <is>
          <t>2024-07-31</t>
        </is>
      </c>
      <c r="E715" s="3" t="n">
        <v>142.24</v>
      </c>
      <c r="F715" s="3" t="n">
        <v>0</v>
      </c>
    </row>
    <row r="716">
      <c r="A716" s="3" t="inlineStr">
        <is>
          <t>Vinati Organics Ltd.</t>
        </is>
      </c>
      <c r="B716" s="3" t="inlineStr">
        <is>
          <t>2024-07-31</t>
        </is>
      </c>
      <c r="C716" s="3" t="n">
        <v>2206.35</v>
      </c>
      <c r="D716" s="3" t="inlineStr">
        <is>
          <t>2024-07-31</t>
        </is>
      </c>
      <c r="E716" s="3" t="n">
        <v>2206.35</v>
      </c>
      <c r="F716" s="3" t="n">
        <v>0</v>
      </c>
    </row>
    <row r="717">
      <c r="A717" s="3" t="inlineStr">
        <is>
          <t>Nahar Industrial Ent..</t>
        </is>
      </c>
      <c r="B717" s="3" t="inlineStr">
        <is>
          <t>2024-07-31</t>
        </is>
      </c>
      <c r="C717" s="3" t="n">
        <v>170.66</v>
      </c>
      <c r="D717" s="3" t="inlineStr">
        <is>
          <t>2024-07-31</t>
        </is>
      </c>
      <c r="E717" s="3" t="n">
        <v>170.66</v>
      </c>
      <c r="F717" s="3" t="n">
        <v>0</v>
      </c>
    </row>
    <row r="718">
      <c r="A718" s="3" t="inlineStr">
        <is>
          <t>RPG Life Sciences Ltd.</t>
        </is>
      </c>
      <c r="B718" s="3" t="inlineStr">
        <is>
          <t>2024-07-31</t>
        </is>
      </c>
      <c r="C718" s="3" t="n">
        <v>1960.35</v>
      </c>
      <c r="D718" s="3" t="inlineStr">
        <is>
          <t>2024-07-31</t>
        </is>
      </c>
      <c r="E718" s="3" t="n">
        <v>1960.35</v>
      </c>
      <c r="F718" s="3" t="n">
        <v>0</v>
      </c>
    </row>
    <row r="719">
      <c r="A719" s="3" t="inlineStr">
        <is>
          <t>Ultramarine &amp; Pigmen..</t>
        </is>
      </c>
      <c r="B719" s="3" t="inlineStr">
        <is>
          <t>2024-07-31</t>
        </is>
      </c>
      <c r="C719" s="3" t="n">
        <v>532.3</v>
      </c>
      <c r="D719" s="3" t="inlineStr">
        <is>
          <t>2024-07-31</t>
        </is>
      </c>
      <c r="E719" s="3" t="n">
        <v>532.3</v>
      </c>
      <c r="F719" s="3" t="n">
        <v>0</v>
      </c>
    </row>
    <row r="720">
      <c r="A720" s="3" t="inlineStr">
        <is>
          <t>TCPL Packaging Ltd.</t>
        </is>
      </c>
      <c r="B720" s="3" t="inlineStr">
        <is>
          <t>2024-07-31</t>
        </is>
      </c>
      <c r="C720" s="3" t="n">
        <v>2992.05</v>
      </c>
      <c r="D720" s="3" t="inlineStr">
        <is>
          <t>2024-07-31</t>
        </is>
      </c>
      <c r="E720" s="3" t="n">
        <v>2992.05</v>
      </c>
      <c r="F720" s="3" t="n">
        <v>0</v>
      </c>
    </row>
    <row r="721">
      <c r="A721" s="3" t="inlineStr">
        <is>
          <t>Murudeshwar Ceramics..</t>
        </is>
      </c>
      <c r="B721" s="3" t="inlineStr">
        <is>
          <t>2024-07-31</t>
        </is>
      </c>
      <c r="C721" s="3" t="n">
        <v>59.23</v>
      </c>
      <c r="D721" s="3" t="inlineStr">
        <is>
          <t>2024-07-31</t>
        </is>
      </c>
      <c r="E721" s="3" t="n">
        <v>59.23</v>
      </c>
      <c r="F721" s="3" t="n">
        <v>0</v>
      </c>
    </row>
    <row r="722">
      <c r="A722" s="3" t="inlineStr">
        <is>
          <t>Oriental Aromatics L..</t>
        </is>
      </c>
      <c r="B722" s="3" t="inlineStr">
        <is>
          <t>2024-07-31</t>
        </is>
      </c>
      <c r="C722" s="3" t="n">
        <v>461.3</v>
      </c>
      <c r="D722" s="3" t="inlineStr">
        <is>
          <t>2024-07-31</t>
        </is>
      </c>
      <c r="E722" s="3" t="n">
        <v>461.3</v>
      </c>
      <c r="F722" s="3" t="n">
        <v>0</v>
      </c>
    </row>
    <row r="723">
      <c r="A723" s="3" t="inlineStr">
        <is>
          <t>Fermenta Biotech Ltd.</t>
        </is>
      </c>
      <c r="B723" s="3" t="inlineStr">
        <is>
          <t>2024-07-31</t>
        </is>
      </c>
      <c r="C723" s="3" t="n">
        <v>253.9</v>
      </c>
      <c r="D723" s="3" t="inlineStr">
        <is>
          <t>2024-07-31</t>
        </is>
      </c>
      <c r="E723" s="3" t="n">
        <v>253.9</v>
      </c>
      <c r="F723" s="3" t="n">
        <v>0</v>
      </c>
    </row>
    <row r="724">
      <c r="A724" s="3" t="inlineStr">
        <is>
          <t>Sun TV Network Ltd.</t>
        </is>
      </c>
      <c r="B724" s="3" t="inlineStr">
        <is>
          <t>2024-07-31</t>
        </is>
      </c>
      <c r="C724" s="3" t="n">
        <v>901.2</v>
      </c>
      <c r="D724" s="3" t="inlineStr">
        <is>
          <t>2024-07-31</t>
        </is>
      </c>
      <c r="E724" s="3" t="n">
        <v>901.2</v>
      </c>
      <c r="F724" s="3" t="n">
        <v>0</v>
      </c>
    </row>
    <row r="725">
      <c r="A725" s="3" t="inlineStr">
        <is>
          <t>Welspun Enterprises ..</t>
        </is>
      </c>
      <c r="B725" s="3" t="inlineStr">
        <is>
          <t>2024-07-31</t>
        </is>
      </c>
      <c r="C725" s="3" t="n">
        <v>556.4</v>
      </c>
      <c r="D725" s="3" t="inlineStr">
        <is>
          <t>2024-07-31</t>
        </is>
      </c>
      <c r="E725" s="3" t="n">
        <v>556.4</v>
      </c>
      <c r="F725" s="3" t="n">
        <v>0</v>
      </c>
    </row>
    <row r="726">
      <c r="A726" s="3" t="inlineStr">
        <is>
          <t>AMJ Land Holdings Ltd.</t>
        </is>
      </c>
      <c r="B726" s="3" t="inlineStr">
        <is>
          <t>2024-07-31</t>
        </is>
      </c>
      <c r="C726" s="3" t="n">
        <v>56.98</v>
      </c>
      <c r="D726" s="3" t="inlineStr">
        <is>
          <t>2024-07-31</t>
        </is>
      </c>
      <c r="E726" s="3" t="n">
        <v>56.98</v>
      </c>
      <c r="F726" s="3" t="n">
        <v>0</v>
      </c>
    </row>
    <row r="727">
      <c r="A727" s="3" t="inlineStr">
        <is>
          <t>RDB Rasayans Ltd.</t>
        </is>
      </c>
      <c r="B727" s="3" t="inlineStr">
        <is>
          <t>2024-07-31</t>
        </is>
      </c>
      <c r="C727" s="3" t="n">
        <v>171.7</v>
      </c>
      <c r="D727" s="3" t="inlineStr">
        <is>
          <t>2024-07-31</t>
        </is>
      </c>
      <c r="E727" s="3" t="n">
        <v>171.7</v>
      </c>
      <c r="F727" s="3" t="n">
        <v>0</v>
      </c>
    </row>
    <row r="728">
      <c r="A728" s="3" t="inlineStr">
        <is>
          <t>Colgate-Palmolive (I..</t>
        </is>
      </c>
      <c r="B728" s="3" t="inlineStr">
        <is>
          <t>2024-07-31</t>
        </is>
      </c>
      <c r="C728" s="3" t="n">
        <v>3412.1</v>
      </c>
      <c r="D728" s="3" t="inlineStr">
        <is>
          <t>2024-07-31</t>
        </is>
      </c>
      <c r="E728" s="3" t="n">
        <v>3412.1</v>
      </c>
      <c r="F728" s="3" t="n">
        <v>0</v>
      </c>
    </row>
    <row r="729">
      <c r="A729" s="3" t="inlineStr">
        <is>
          <t>Snowman Logistics Ltd.</t>
        </is>
      </c>
      <c r="B729" s="3" t="inlineStr">
        <is>
          <t>2024-07-31</t>
        </is>
      </c>
      <c r="C729" s="3" t="n">
        <v>84.31</v>
      </c>
      <c r="D729" s="3" t="inlineStr">
        <is>
          <t>2024-07-31</t>
        </is>
      </c>
      <c r="E729" s="3" t="n">
        <v>84.31</v>
      </c>
      <c r="F729" s="3" t="n">
        <v>0</v>
      </c>
    </row>
    <row r="730">
      <c r="A730" s="3" t="inlineStr">
        <is>
          <t>Natco Pharma Ltd.</t>
        </is>
      </c>
      <c r="B730" s="3" t="inlineStr">
        <is>
          <t>2024-07-31</t>
        </is>
      </c>
      <c r="C730" s="3" t="n">
        <v>1350.26</v>
      </c>
      <c r="D730" s="3" t="inlineStr">
        <is>
          <t>2024-07-31</t>
        </is>
      </c>
      <c r="E730" s="3" t="n">
        <v>1350.26</v>
      </c>
      <c r="F730" s="3" t="n">
        <v>0</v>
      </c>
    </row>
    <row r="731">
      <c r="A731" s="3" t="inlineStr">
        <is>
          <t>Jindal Saw Ltd.</t>
        </is>
      </c>
      <c r="B731" s="3" t="inlineStr">
        <is>
          <t>2024-07-31</t>
        </is>
      </c>
      <c r="C731" s="3" t="n">
        <v>324.18</v>
      </c>
      <c r="D731" s="3" t="inlineStr">
        <is>
          <t>2024-07-31</t>
        </is>
      </c>
      <c r="E731" s="3" t="n">
        <v>324.18</v>
      </c>
      <c r="F731" s="3" t="n">
        <v>0</v>
      </c>
    </row>
    <row r="732">
      <c r="A732" s="3" t="inlineStr">
        <is>
          <t>Prime Securities Ltd.</t>
        </is>
      </c>
      <c r="B732" s="3" t="inlineStr">
        <is>
          <t>2024-07-31</t>
        </is>
      </c>
      <c r="C732" s="3" t="n">
        <v>262.4</v>
      </c>
      <c r="D732" s="3" t="inlineStr">
        <is>
          <t>2024-07-31</t>
        </is>
      </c>
      <c r="E732" s="3" t="n">
        <v>262.4</v>
      </c>
      <c r="F732" s="3" t="n">
        <v>0</v>
      </c>
    </row>
    <row r="733">
      <c r="A733" s="3" t="inlineStr">
        <is>
          <t>Disa India Ltd.</t>
        </is>
      </c>
      <c r="B733" s="3" t="inlineStr">
        <is>
          <t>2024-07-31</t>
        </is>
      </c>
      <c r="C733" s="3" t="n">
        <v>20138.75</v>
      </c>
      <c r="D733" s="3" t="inlineStr">
        <is>
          <t>2024-07-31</t>
        </is>
      </c>
      <c r="E733" s="3" t="n">
        <v>20138.75</v>
      </c>
      <c r="F733" s="3" t="n">
        <v>0</v>
      </c>
    </row>
    <row r="734">
      <c r="A734" s="3" t="inlineStr">
        <is>
          <t>Bannari Amman Spinni..</t>
        </is>
      </c>
      <c r="B734" s="3" t="inlineStr">
        <is>
          <t>2024-07-31</t>
        </is>
      </c>
      <c r="C734" s="3" t="n">
        <v>57.85</v>
      </c>
      <c r="D734" s="3" t="inlineStr">
        <is>
          <t>2024-07-31</t>
        </is>
      </c>
      <c r="E734" s="3" t="n">
        <v>57.85</v>
      </c>
      <c r="F734" s="3" t="n">
        <v>0</v>
      </c>
    </row>
    <row r="735">
      <c r="A735" s="3" t="inlineStr">
        <is>
          <t>Aries Agro Ltd.</t>
        </is>
      </c>
      <c r="B735" s="3" t="inlineStr">
        <is>
          <t>2024-07-31</t>
        </is>
      </c>
      <c r="C735" s="3" t="n">
        <v>300.1</v>
      </c>
      <c r="D735" s="3" t="inlineStr">
        <is>
          <t>2024-07-31</t>
        </is>
      </c>
      <c r="E735" s="3" t="n">
        <v>300.1</v>
      </c>
      <c r="F735" s="3" t="n">
        <v>0</v>
      </c>
    </row>
    <row r="736">
      <c r="A736" s="3" t="inlineStr">
        <is>
          <t>KCP Sugar &amp; Industri..</t>
        </is>
      </c>
      <c r="B736" s="3" t="inlineStr">
        <is>
          <t>2024-07-31</t>
        </is>
      </c>
      <c r="C736" s="3" t="n">
        <v>51.54</v>
      </c>
      <c r="D736" s="3" t="inlineStr">
        <is>
          <t>2024-07-31</t>
        </is>
      </c>
      <c r="E736" s="3" t="n">
        <v>51.54</v>
      </c>
      <c r="F736" s="3" t="n">
        <v>0</v>
      </c>
    </row>
    <row r="737">
      <c r="A737" s="3" t="inlineStr">
        <is>
          <t>Tega Industries Ltd.</t>
        </is>
      </c>
      <c r="B737" s="3" t="inlineStr">
        <is>
          <t>2024-07-31</t>
        </is>
      </c>
      <c r="C737" s="3" t="n">
        <v>1909.55</v>
      </c>
      <c r="D737" s="3" t="inlineStr">
        <is>
          <t>2024-07-31</t>
        </is>
      </c>
      <c r="E737" s="3" t="n">
        <v>1909.55</v>
      </c>
      <c r="F737" s="3" t="n">
        <v>0</v>
      </c>
    </row>
    <row r="738">
      <c r="A738" s="3" t="inlineStr">
        <is>
          <t>Affle 3I Ltd.</t>
        </is>
      </c>
      <c r="B738" s="3" t="inlineStr">
        <is>
          <t>2024-07-31</t>
        </is>
      </c>
      <c r="C738" s="3" t="n">
        <v>1510.1</v>
      </c>
      <c r="D738" s="3" t="inlineStr">
        <is>
          <t>2024-07-31</t>
        </is>
      </c>
      <c r="E738" s="3" t="n">
        <v>1510.1</v>
      </c>
      <c r="F738" s="3" t="n">
        <v>0</v>
      </c>
    </row>
    <row r="739">
      <c r="A739" s="3" t="inlineStr">
        <is>
          <t>Alembic Pharmaceutic..</t>
        </is>
      </c>
      <c r="B739" s="3" t="inlineStr">
        <is>
          <t>2024-07-31</t>
        </is>
      </c>
      <c r="C739" s="3" t="n">
        <v>1179.55</v>
      </c>
      <c r="D739" s="3" t="inlineStr">
        <is>
          <t>2024-07-31</t>
        </is>
      </c>
      <c r="E739" s="3" t="n">
        <v>1179.55</v>
      </c>
      <c r="F739" s="3" t="n">
        <v>0</v>
      </c>
    </row>
    <row r="740">
      <c r="A740" s="3" t="inlineStr">
        <is>
          <t>Atul Ltd.</t>
        </is>
      </c>
      <c r="B740" s="3" t="inlineStr">
        <is>
          <t>2024-07-31</t>
        </is>
      </c>
      <c r="C740" s="3" t="n">
        <v>7968.1</v>
      </c>
      <c r="D740" s="3" t="inlineStr">
        <is>
          <t>2024-07-31</t>
        </is>
      </c>
      <c r="E740" s="3" t="n">
        <v>7968.1</v>
      </c>
      <c r="F740" s="3" t="n">
        <v>0</v>
      </c>
    </row>
    <row r="741">
      <c r="A741" s="3" t="inlineStr">
        <is>
          <t>Banco Products (Indi..</t>
        </is>
      </c>
      <c r="B741" s="3" t="inlineStr">
        <is>
          <t>2024-07-31</t>
        </is>
      </c>
      <c r="C741" s="3" t="n">
        <v>379.68</v>
      </c>
      <c r="D741" s="3" t="inlineStr">
        <is>
          <t>2024-07-31</t>
        </is>
      </c>
      <c r="E741" s="3" t="n">
        <v>379.68</v>
      </c>
      <c r="F741" s="3" t="n">
        <v>0</v>
      </c>
    </row>
    <row r="742">
      <c r="A742" s="3" t="inlineStr">
        <is>
          <t>BSL Ltd.</t>
        </is>
      </c>
      <c r="B742" s="3" t="inlineStr">
        <is>
          <t>2024-07-31</t>
        </is>
      </c>
      <c r="C742" s="3" t="n">
        <v>235.73</v>
      </c>
      <c r="D742" s="3" t="inlineStr">
        <is>
          <t>2024-07-31</t>
        </is>
      </c>
      <c r="E742" s="3" t="n">
        <v>235.73</v>
      </c>
      <c r="F742" s="3" t="n">
        <v>0</v>
      </c>
    </row>
    <row r="743">
      <c r="A743" s="3" t="inlineStr">
        <is>
          <t>Castrol India Ltd.</t>
        </is>
      </c>
      <c r="B743" s="3" t="inlineStr">
        <is>
          <t>2024-07-31</t>
        </is>
      </c>
      <c r="C743" s="3" t="n">
        <v>262.14</v>
      </c>
      <c r="D743" s="3" t="inlineStr">
        <is>
          <t>2024-07-31</t>
        </is>
      </c>
      <c r="E743" s="3" t="n">
        <v>262.14</v>
      </c>
      <c r="F743" s="3" t="n">
        <v>0</v>
      </c>
    </row>
    <row r="744">
      <c r="A744" s="3" t="inlineStr">
        <is>
          <t>DCW Ltd.</t>
        </is>
      </c>
      <c r="B744" s="3" t="inlineStr">
        <is>
          <t>2024-07-31</t>
        </is>
      </c>
      <c r="C744" s="3" t="n">
        <v>70.68000000000001</v>
      </c>
      <c r="D744" s="3" t="inlineStr">
        <is>
          <t>2024-07-31</t>
        </is>
      </c>
      <c r="E744" s="3" t="n">
        <v>70.68000000000001</v>
      </c>
      <c r="F744" s="3" t="n">
        <v>0</v>
      </c>
    </row>
    <row r="745">
      <c r="A745" s="3" t="inlineStr">
        <is>
          <t>Deepak Nitrite Ltd.</t>
        </is>
      </c>
      <c r="B745" s="3" t="inlineStr">
        <is>
          <t>2024-07-31</t>
        </is>
      </c>
      <c r="C745" s="3" t="n">
        <v>3092.3</v>
      </c>
      <c r="D745" s="3" t="inlineStr">
        <is>
          <t>2024-07-31</t>
        </is>
      </c>
      <c r="E745" s="3" t="n">
        <v>3092.3</v>
      </c>
      <c r="F745" s="3" t="n">
        <v>0</v>
      </c>
    </row>
    <row r="746">
      <c r="A746" s="3" t="inlineStr">
        <is>
          <t>Dhunseri Investments..</t>
        </is>
      </c>
      <c r="B746" s="3" t="inlineStr">
        <is>
          <t>2024-07-31</t>
        </is>
      </c>
      <c r="C746" s="3" t="n">
        <v>1513.25</v>
      </c>
      <c r="D746" s="3" t="inlineStr">
        <is>
          <t>2024-07-31</t>
        </is>
      </c>
      <c r="E746" s="3" t="n">
        <v>1513.25</v>
      </c>
      <c r="F746" s="3" t="n">
        <v>0</v>
      </c>
    </row>
    <row r="747">
      <c r="A747" s="3" t="inlineStr">
        <is>
          <t>DIC India Ltd.</t>
        </is>
      </c>
      <c r="B747" s="3" t="inlineStr">
        <is>
          <t>2024-07-31</t>
        </is>
      </c>
      <c r="C747" s="3" t="n">
        <v>594.9</v>
      </c>
      <c r="D747" s="3" t="inlineStr">
        <is>
          <t>2024-07-31</t>
        </is>
      </c>
      <c r="E747" s="3" t="n">
        <v>594.9</v>
      </c>
      <c r="F747" s="3" t="n">
        <v>0</v>
      </c>
    </row>
    <row r="748">
      <c r="A748" s="3" t="inlineStr">
        <is>
          <t>Eveready Industries ..</t>
        </is>
      </c>
      <c r="B748" s="3" t="inlineStr">
        <is>
          <t>2024-07-31</t>
        </is>
      </c>
      <c r="C748" s="3" t="n">
        <v>421.2</v>
      </c>
      <c r="D748" s="3" t="inlineStr">
        <is>
          <t>2024-07-31</t>
        </is>
      </c>
      <c r="E748" s="3" t="n">
        <v>421.2</v>
      </c>
      <c r="F748" s="3" t="n">
        <v>0</v>
      </c>
    </row>
    <row r="749">
      <c r="A749" s="3" t="inlineStr">
        <is>
          <t>Foseco India Ltd.</t>
        </is>
      </c>
      <c r="B749" s="3" t="inlineStr">
        <is>
          <t>2024-07-31</t>
        </is>
      </c>
      <c r="C749" s="3" t="n">
        <v>4756.7</v>
      </c>
      <c r="D749" s="3" t="inlineStr">
        <is>
          <t>2024-07-31</t>
        </is>
      </c>
      <c r="E749" s="3" t="n">
        <v>4756.7</v>
      </c>
      <c r="F749" s="3" t="n">
        <v>0</v>
      </c>
    </row>
    <row r="750">
      <c r="A750" s="3" t="inlineStr">
        <is>
          <t>Firstsource Solution..</t>
        </is>
      </c>
      <c r="B750" s="3" t="inlineStr">
        <is>
          <t>2024-07-31</t>
        </is>
      </c>
      <c r="C750" s="3" t="n">
        <v>273.44</v>
      </c>
      <c r="D750" s="3" t="inlineStr">
        <is>
          <t>2024-07-31</t>
        </is>
      </c>
      <c r="E750" s="3" t="n">
        <v>273.44</v>
      </c>
      <c r="F750" s="3" t="n">
        <v>0</v>
      </c>
    </row>
    <row r="751">
      <c r="A751" s="3" t="inlineStr">
        <is>
          <t>Granules India Ltd.</t>
        </is>
      </c>
      <c r="B751" s="3" t="inlineStr">
        <is>
          <t>2024-07-31</t>
        </is>
      </c>
      <c r="C751" s="3" t="n">
        <v>630.1</v>
      </c>
      <c r="D751" s="3" t="inlineStr">
        <is>
          <t>2024-07-31</t>
        </is>
      </c>
      <c r="E751" s="3" t="n">
        <v>630.1</v>
      </c>
      <c r="F751" s="3" t="n">
        <v>0</v>
      </c>
    </row>
    <row r="752">
      <c r="A752" s="3" t="inlineStr">
        <is>
          <t>India Motor Parts &amp; ..</t>
        </is>
      </c>
      <c r="B752" s="3" t="inlineStr">
        <is>
          <t>2024-07-31</t>
        </is>
      </c>
      <c r="C752" s="3" t="n">
        <v>1357.8</v>
      </c>
      <c r="D752" s="3" t="inlineStr">
        <is>
          <t>2024-07-31</t>
        </is>
      </c>
      <c r="E752" s="3" t="n">
        <v>1357.8</v>
      </c>
      <c r="F752" s="3" t="n">
        <v>0</v>
      </c>
    </row>
    <row r="753">
      <c r="A753" s="3" t="inlineStr">
        <is>
          <t>India Glycols Ltd.</t>
        </is>
      </c>
      <c r="B753" s="3" t="inlineStr">
        <is>
          <t>2024-07-31</t>
        </is>
      </c>
      <c r="C753" s="3" t="n">
        <v>605</v>
      </c>
      <c r="D753" s="3" t="inlineStr">
        <is>
          <t>2024-07-31</t>
        </is>
      </c>
      <c r="E753" s="3" t="n">
        <v>605</v>
      </c>
      <c r="F753" s="3" t="n">
        <v>0</v>
      </c>
    </row>
    <row r="754">
      <c r="A754" s="3" t="inlineStr">
        <is>
          <t>Infosys Ltd.</t>
        </is>
      </c>
      <c r="B754" s="3" t="inlineStr">
        <is>
          <t>2024-07-31</t>
        </is>
      </c>
      <c r="C754" s="3" t="n">
        <v>1868.25</v>
      </c>
      <c r="D754" s="3" t="inlineStr">
        <is>
          <t>2024-07-31</t>
        </is>
      </c>
      <c r="E754" s="3" t="n">
        <v>1868.25</v>
      </c>
      <c r="F754" s="3" t="n">
        <v>0</v>
      </c>
    </row>
    <row r="755">
      <c r="A755" s="3" t="inlineStr">
        <is>
          <t>Just Dial Ltd.</t>
        </is>
      </c>
      <c r="B755" s="3" t="inlineStr">
        <is>
          <t>2024-07-31</t>
        </is>
      </c>
      <c r="C755" s="3" t="n">
        <v>1271.8</v>
      </c>
      <c r="D755" s="3" t="inlineStr">
        <is>
          <t>2024-07-31</t>
        </is>
      </c>
      <c r="E755" s="3" t="n">
        <v>1271.8</v>
      </c>
      <c r="F755" s="3" t="n">
        <v>0</v>
      </c>
    </row>
    <row r="756">
      <c r="A756" s="3" t="inlineStr">
        <is>
          <t>Kothari Petrochemica..</t>
        </is>
      </c>
      <c r="B756" s="3" t="inlineStr">
        <is>
          <t>2024-07-31</t>
        </is>
      </c>
      <c r="C756" s="3" t="n">
        <v>177.75</v>
      </c>
      <c r="D756" s="3" t="inlineStr">
        <is>
          <t>2024-07-31</t>
        </is>
      </c>
      <c r="E756" s="3" t="n">
        <v>177.75</v>
      </c>
      <c r="F756" s="3" t="n">
        <v>0</v>
      </c>
    </row>
    <row r="757">
      <c r="A757" s="3" t="inlineStr">
        <is>
          <t>Marksans Pharma Ltd.</t>
        </is>
      </c>
      <c r="B757" s="3" t="inlineStr">
        <is>
          <t>2024-07-31</t>
        </is>
      </c>
      <c r="C757" s="3" t="n">
        <v>210.98</v>
      </c>
      <c r="D757" s="3" t="inlineStr">
        <is>
          <t>2024-07-31</t>
        </is>
      </c>
      <c r="E757" s="3" t="n">
        <v>210.98</v>
      </c>
      <c r="F757" s="3" t="n">
        <v>0</v>
      </c>
    </row>
    <row r="758">
      <c r="A758" s="3" t="inlineStr">
        <is>
          <t>NOCIL Ltd.</t>
        </is>
      </c>
      <c r="B758" s="3" t="inlineStr">
        <is>
          <t>2024-07-31</t>
        </is>
      </c>
      <c r="C758" s="3" t="n">
        <v>330.55</v>
      </c>
      <c r="D758" s="3" t="inlineStr">
        <is>
          <t>2024-07-31</t>
        </is>
      </c>
      <c r="E758" s="3" t="n">
        <v>330.55</v>
      </c>
      <c r="F758" s="3" t="n">
        <v>0</v>
      </c>
    </row>
    <row r="759">
      <c r="A759" s="3" t="inlineStr">
        <is>
          <t>Pfizer Ltd.</t>
        </is>
      </c>
      <c r="B759" s="3" t="inlineStr">
        <is>
          <t>2024-07-31</t>
        </is>
      </c>
      <c r="C759" s="3" t="n">
        <v>5650.8</v>
      </c>
      <c r="D759" s="3" t="inlineStr">
        <is>
          <t>2024-07-31</t>
        </is>
      </c>
      <c r="E759" s="3" t="n">
        <v>5650.8</v>
      </c>
      <c r="F759" s="3" t="n">
        <v>0</v>
      </c>
    </row>
    <row r="760">
      <c r="A760" s="3" t="inlineStr">
        <is>
          <t>PCBL Chemical Ltd.</t>
        </is>
      </c>
      <c r="B760" s="3" t="inlineStr">
        <is>
          <t>2024-07-31</t>
        </is>
      </c>
      <c r="C760" s="3" t="n">
        <v>325.25</v>
      </c>
      <c r="D760" s="3" t="inlineStr">
        <is>
          <t>2024-07-31</t>
        </is>
      </c>
      <c r="E760" s="3" t="n">
        <v>325.25</v>
      </c>
      <c r="F760" s="3" t="n">
        <v>0</v>
      </c>
    </row>
    <row r="761">
      <c r="A761" s="3" t="inlineStr">
        <is>
          <t>PI Industries Ltd.</t>
        </is>
      </c>
      <c r="B761" s="3" t="inlineStr">
        <is>
          <t>2024-07-31</t>
        </is>
      </c>
      <c r="C761" s="3" t="n">
        <v>4430.75</v>
      </c>
      <c r="D761" s="3" t="inlineStr">
        <is>
          <t>2024-07-31</t>
        </is>
      </c>
      <c r="E761" s="3" t="n">
        <v>4430.75</v>
      </c>
      <c r="F761" s="3" t="n">
        <v>0</v>
      </c>
    </row>
    <row r="762">
      <c r="A762" s="3" t="inlineStr">
        <is>
          <t>Savera Industries Ltd.</t>
        </is>
      </c>
      <c r="B762" s="3" t="inlineStr">
        <is>
          <t>2024-07-31</t>
        </is>
      </c>
      <c r="C762" s="3" t="n">
        <v>153.55</v>
      </c>
      <c r="D762" s="3" t="inlineStr">
        <is>
          <t>2024-07-31</t>
        </is>
      </c>
      <c r="E762" s="3" t="n">
        <v>153.55</v>
      </c>
      <c r="F762" s="3" t="n">
        <v>0</v>
      </c>
    </row>
    <row r="763">
      <c r="A763" s="3" t="inlineStr">
        <is>
          <t>Tainwala Chemicals &amp;..</t>
        </is>
      </c>
      <c r="B763" s="3" t="inlineStr">
        <is>
          <t>2024-07-31</t>
        </is>
      </c>
      <c r="C763" s="3" t="n">
        <v>234.02</v>
      </c>
      <c r="D763" s="3" t="inlineStr">
        <is>
          <t>2024-07-31</t>
        </is>
      </c>
      <c r="E763" s="3" t="n">
        <v>234.02</v>
      </c>
      <c r="F763" s="3" t="n">
        <v>0</v>
      </c>
    </row>
    <row r="764">
      <c r="A764" s="3" t="inlineStr">
        <is>
          <t>Talbros Automotive C..</t>
        </is>
      </c>
      <c r="B764" s="3" t="inlineStr">
        <is>
          <t>2024-07-31</t>
        </is>
      </c>
      <c r="C764" s="3" t="n">
        <v>389.75</v>
      </c>
      <c r="D764" s="3" t="inlineStr">
        <is>
          <t>2024-07-31</t>
        </is>
      </c>
      <c r="E764" s="3" t="n">
        <v>389.75</v>
      </c>
      <c r="F764" s="3" t="n">
        <v>0</v>
      </c>
    </row>
    <row r="765">
      <c r="A765" s="3" t="inlineStr">
        <is>
          <t>Tata Motors Passenge..</t>
        </is>
      </c>
      <c r="B765" s="3" t="inlineStr">
        <is>
          <t>2024-07-31</t>
        </is>
      </c>
      <c r="C765" s="3" t="n">
        <v>1156.65</v>
      </c>
      <c r="D765" s="3" t="inlineStr">
        <is>
          <t>2024-07-31</t>
        </is>
      </c>
      <c r="E765" s="3" t="n">
        <v>1156.65</v>
      </c>
      <c r="F765" s="3" t="n">
        <v>0</v>
      </c>
    </row>
    <row r="766">
      <c r="A766" s="3" t="inlineStr">
        <is>
          <t>Thirumalai Chemicals..</t>
        </is>
      </c>
      <c r="B766" s="3" t="inlineStr">
        <is>
          <t>2024-07-31</t>
        </is>
      </c>
      <c r="C766" s="3" t="n">
        <v>344.55</v>
      </c>
      <c r="D766" s="3" t="inlineStr">
        <is>
          <t>2024-07-31</t>
        </is>
      </c>
      <c r="E766" s="3" t="n">
        <v>344.55</v>
      </c>
      <c r="F766" s="3" t="n">
        <v>0</v>
      </c>
    </row>
    <row r="767">
      <c r="A767" s="3" t="inlineStr">
        <is>
          <t>TTK Prestige Ltd.</t>
        </is>
      </c>
      <c r="B767" s="3" t="inlineStr">
        <is>
          <t>2024-07-31</t>
        </is>
      </c>
      <c r="C767" s="3" t="n">
        <v>964.5</v>
      </c>
      <c r="D767" s="3" t="inlineStr">
        <is>
          <t>2024-07-31</t>
        </is>
      </c>
      <c r="E767" s="3" t="n">
        <v>964.5</v>
      </c>
      <c r="F767" s="3" t="n">
        <v>0</v>
      </c>
    </row>
    <row r="768">
      <c r="A768" s="3" t="inlineStr">
        <is>
          <t>Uflex Ltd.</t>
        </is>
      </c>
      <c r="B768" s="3" t="inlineStr">
        <is>
          <t>2024-07-31</t>
        </is>
      </c>
      <c r="C768" s="3" t="n">
        <v>599.1</v>
      </c>
      <c r="D768" s="3" t="inlineStr">
        <is>
          <t>2024-07-31</t>
        </is>
      </c>
      <c r="E768" s="3" t="n">
        <v>599.1</v>
      </c>
      <c r="F768" s="3" t="n">
        <v>0</v>
      </c>
    </row>
    <row r="769">
      <c r="A769" s="3" t="inlineStr">
        <is>
          <t>Vindhya Telelinks Ltd.</t>
        </is>
      </c>
      <c r="B769" s="3" t="inlineStr">
        <is>
          <t>2024-07-31</t>
        </is>
      </c>
      <c r="C769" s="3" t="n">
        <v>3102.25</v>
      </c>
      <c r="D769" s="3" t="inlineStr">
        <is>
          <t>2024-07-31</t>
        </is>
      </c>
      <c r="E769" s="3" t="n">
        <v>3102.25</v>
      </c>
      <c r="F769" s="3" t="n">
        <v>0</v>
      </c>
    </row>
    <row r="770">
      <c r="A770" s="3" t="inlineStr">
        <is>
          <t>Zydus Wellness Ltd.</t>
        </is>
      </c>
      <c r="B770" s="3" t="inlineStr">
        <is>
          <t>2024-07-31</t>
        </is>
      </c>
      <c r="C770" s="3" t="n">
        <v>479.56</v>
      </c>
      <c r="D770" s="3" t="inlineStr">
        <is>
          <t>2024-07-31</t>
        </is>
      </c>
      <c r="E770" s="3" t="n">
        <v>479.56</v>
      </c>
      <c r="F770" s="3" t="n">
        <v>0</v>
      </c>
    </row>
    <row r="771">
      <c r="A771" s="3" t="inlineStr">
        <is>
          <t>Arrow Greentech Ltd.</t>
        </is>
      </c>
      <c r="B771" s="3" t="inlineStr">
        <is>
          <t>2024-07-31</t>
        </is>
      </c>
      <c r="C771" s="3" t="n">
        <v>743.1</v>
      </c>
      <c r="D771" s="3" t="inlineStr">
        <is>
          <t>2024-07-31</t>
        </is>
      </c>
      <c r="E771" s="3" t="n">
        <v>743.1</v>
      </c>
      <c r="F771" s="3" t="n">
        <v>0</v>
      </c>
    </row>
    <row r="772">
      <c r="A772" s="3" t="inlineStr">
        <is>
          <t>Lux Industries Ltd.</t>
        </is>
      </c>
      <c r="B772" s="3" t="inlineStr">
        <is>
          <t>2024-07-31</t>
        </is>
      </c>
      <c r="C772" s="3" t="n">
        <v>2065.35</v>
      </c>
      <c r="D772" s="3" t="inlineStr">
        <is>
          <t>2024-07-31</t>
        </is>
      </c>
      <c r="E772" s="3" t="n">
        <v>2065.35</v>
      </c>
      <c r="F772" s="3" t="n">
        <v>0</v>
      </c>
    </row>
    <row r="773">
      <c r="A773" s="3" t="inlineStr">
        <is>
          <t>Automobile Corporati..</t>
        </is>
      </c>
      <c r="B773" s="3" t="inlineStr">
        <is>
          <t>2024-07-31</t>
        </is>
      </c>
      <c r="C773" s="3" t="n">
        <v>2802.25</v>
      </c>
      <c r="D773" s="3" t="inlineStr">
        <is>
          <t>2024-07-31</t>
        </is>
      </c>
      <c r="E773" s="3" t="n">
        <v>2802.25</v>
      </c>
      <c r="F773" s="3" t="n">
        <v>0</v>
      </c>
    </row>
    <row r="774">
      <c r="A774" s="3" t="inlineStr">
        <is>
          <t>Modison Ltd.</t>
        </is>
      </c>
      <c r="B774" s="3" t="inlineStr">
        <is>
          <t>2024-07-31</t>
        </is>
      </c>
      <c r="C774" s="3" t="n">
        <v>160.8</v>
      </c>
      <c r="D774" s="3" t="inlineStr">
        <is>
          <t>2024-07-31</t>
        </is>
      </c>
      <c r="E774" s="3" t="n">
        <v>160.8</v>
      </c>
      <c r="F774" s="3" t="n">
        <v>0</v>
      </c>
    </row>
    <row r="775">
      <c r="A775" s="3" t="inlineStr">
        <is>
          <t>TGV SRAAC Ltd.</t>
        </is>
      </c>
      <c r="B775" s="3" t="inlineStr">
        <is>
          <t>2024-07-31</t>
        </is>
      </c>
      <c r="C775" s="3" t="n">
        <v>105.04</v>
      </c>
      <c r="D775" s="3" t="inlineStr">
        <is>
          <t>2024-07-31</t>
        </is>
      </c>
      <c r="E775" s="3" t="n">
        <v>105.04</v>
      </c>
      <c r="F775" s="3" t="n">
        <v>0</v>
      </c>
    </row>
    <row r="776">
      <c r="A776" s="3" t="inlineStr">
        <is>
          <t>Graviss Hospitality ..</t>
        </is>
      </c>
      <c r="B776" s="3" t="inlineStr">
        <is>
          <t>2024-07-31</t>
        </is>
      </c>
      <c r="C776" s="3" t="n">
        <v>51.77</v>
      </c>
      <c r="D776" s="3" t="inlineStr">
        <is>
          <t>2024-07-31</t>
        </is>
      </c>
      <c r="E776" s="3" t="n">
        <v>51.77</v>
      </c>
      <c r="F776" s="3" t="n">
        <v>0</v>
      </c>
    </row>
    <row r="777">
      <c r="A777" s="3" t="inlineStr">
        <is>
          <t>Capital Trust Ltd.</t>
        </is>
      </c>
      <c r="B777" s="3" t="inlineStr">
        <is>
          <t>2024-07-31</t>
        </is>
      </c>
      <c r="C777" s="3" t="n">
        <v>93.62</v>
      </c>
      <c r="D777" s="3" t="inlineStr">
        <is>
          <t>2024-07-31</t>
        </is>
      </c>
      <c r="E777" s="3" t="n">
        <v>93.62</v>
      </c>
      <c r="F777" s="3" t="n">
        <v>0</v>
      </c>
    </row>
    <row r="778">
      <c r="A778" s="3" t="inlineStr">
        <is>
          <t>Shri Jagdamba Polyme..</t>
        </is>
      </c>
      <c r="B778" s="3" t="inlineStr">
        <is>
          <t>2024-07-31</t>
        </is>
      </c>
      <c r="C778" s="3" t="n">
        <v>877.45</v>
      </c>
      <c r="D778" s="3" t="inlineStr">
        <is>
          <t>2024-07-31</t>
        </is>
      </c>
      <c r="E778" s="3" t="n">
        <v>877.45</v>
      </c>
      <c r="F778" s="3" t="n">
        <v>0</v>
      </c>
    </row>
    <row r="779">
      <c r="A779" s="3" t="inlineStr">
        <is>
          <t>Mangalam Organics Ltd.</t>
        </is>
      </c>
      <c r="B779" s="3" t="inlineStr">
        <is>
          <t>2024-07-31</t>
        </is>
      </c>
      <c r="C779" s="3" t="n">
        <v>456.75</v>
      </c>
      <c r="D779" s="3" t="inlineStr">
        <is>
          <t>2024-07-31</t>
        </is>
      </c>
      <c r="E779" s="3" t="n">
        <v>456.75</v>
      </c>
      <c r="F779" s="3" t="n">
        <v>0</v>
      </c>
    </row>
    <row r="780">
      <c r="A780" s="3" t="inlineStr">
        <is>
          <t>Ansal Buildwell Ltd.</t>
        </is>
      </c>
      <c r="B780" s="3" t="inlineStr">
        <is>
          <t>2024-07-31</t>
        </is>
      </c>
      <c r="C780" s="3" t="n">
        <v>157.65</v>
      </c>
      <c r="D780" s="3" t="inlineStr">
        <is>
          <t>2024-07-31</t>
        </is>
      </c>
      <c r="E780" s="3" t="n">
        <v>157.65</v>
      </c>
      <c r="F780" s="3" t="n">
        <v>0</v>
      </c>
    </row>
    <row r="781">
      <c r="A781" s="3" t="inlineStr">
        <is>
          <t>Binayak Tex Processo..</t>
        </is>
      </c>
      <c r="B781" s="3" t="inlineStr">
        <is>
          <t>2024-07-31</t>
        </is>
      </c>
      <c r="C781" s="3" t="n">
        <v>1840.05</v>
      </c>
      <c r="D781" s="3" t="inlineStr">
        <is>
          <t>2024-07-31</t>
        </is>
      </c>
      <c r="E781" s="3" t="n">
        <v>1840.05</v>
      </c>
      <c r="F781" s="3" t="n">
        <v>0</v>
      </c>
    </row>
    <row r="782">
      <c r="A782" s="3" t="inlineStr">
        <is>
          <t>Dai Ichi Karkaria Ltd.</t>
        </is>
      </c>
      <c r="B782" s="3" t="inlineStr">
        <is>
          <t>2024-07-31</t>
        </is>
      </c>
      <c r="C782" s="3" t="n">
        <v>788.7</v>
      </c>
      <c r="D782" s="3" t="inlineStr">
        <is>
          <t>2024-07-31</t>
        </is>
      </c>
      <c r="E782" s="3" t="n">
        <v>788.7</v>
      </c>
      <c r="F782" s="3" t="n">
        <v>0</v>
      </c>
    </row>
    <row r="783">
      <c r="A783" s="3" t="inlineStr">
        <is>
          <t>Sportking India Ltd.</t>
        </is>
      </c>
      <c r="B783" s="3" t="inlineStr">
        <is>
          <t>2024-07-31</t>
        </is>
      </c>
      <c r="C783" s="3" t="n">
        <v>135.46</v>
      </c>
      <c r="D783" s="3" t="inlineStr">
        <is>
          <t>2024-07-31</t>
        </is>
      </c>
      <c r="E783" s="3" t="n">
        <v>135.46</v>
      </c>
      <c r="F783" s="3" t="n">
        <v>0</v>
      </c>
    </row>
    <row r="784">
      <c r="A784" s="3" t="inlineStr">
        <is>
          <t>ICICI Prudential Lif..</t>
        </is>
      </c>
      <c r="B784" s="3" t="inlineStr">
        <is>
          <t>2024-07-31</t>
        </is>
      </c>
      <c r="C784" s="3" t="n">
        <v>735.95</v>
      </c>
      <c r="D784" s="3" t="inlineStr">
        <is>
          <t>2024-07-31</t>
        </is>
      </c>
      <c r="E784" s="3" t="n">
        <v>735.95</v>
      </c>
      <c r="F784" s="3" t="n">
        <v>0</v>
      </c>
    </row>
    <row r="785">
      <c r="A785" s="3" t="inlineStr">
        <is>
          <t>SBI Life Insurance C..</t>
        </is>
      </c>
      <c r="B785" s="3" t="inlineStr">
        <is>
          <t>2024-07-31</t>
        </is>
      </c>
      <c r="C785" s="3" t="n">
        <v>1753.65</v>
      </c>
      <c r="D785" s="3" t="inlineStr">
        <is>
          <t>2024-07-31</t>
        </is>
      </c>
      <c r="E785" s="3" t="n">
        <v>1753.65</v>
      </c>
      <c r="F785" s="3" t="n">
        <v>0</v>
      </c>
    </row>
    <row r="786">
      <c r="A786" s="3" t="inlineStr">
        <is>
          <t>HDFC Life Insurance ..</t>
        </is>
      </c>
      <c r="B786" s="3" t="inlineStr">
        <is>
          <t>2024-07-31</t>
        </is>
      </c>
      <c r="C786" s="3" t="n">
        <v>715.5</v>
      </c>
      <c r="D786" s="3" t="inlineStr">
        <is>
          <t>2024-07-31</t>
        </is>
      </c>
      <c r="E786" s="3" t="n">
        <v>715.5</v>
      </c>
      <c r="F786" s="3" t="n">
        <v>0</v>
      </c>
    </row>
    <row r="787">
      <c r="A787" s="3" t="inlineStr">
        <is>
          <t>Pansari Developers L..</t>
        </is>
      </c>
      <c r="B787" s="3" t="inlineStr">
        <is>
          <t>2024-07-31</t>
        </is>
      </c>
      <c r="C787" s="3" t="n">
        <v>133.12</v>
      </c>
      <c r="D787" s="3" t="inlineStr">
        <is>
          <t>2024-07-31</t>
        </is>
      </c>
      <c r="E787" s="3" t="n">
        <v>133.12</v>
      </c>
      <c r="F787" s="3" t="n">
        <v>0</v>
      </c>
    </row>
    <row r="788">
      <c r="A788" s="3" t="inlineStr">
        <is>
          <t>Hi-Tech Pipes Ltd.</t>
        </is>
      </c>
      <c r="B788" s="3" t="inlineStr">
        <is>
          <t>2024-07-31</t>
        </is>
      </c>
      <c r="C788" s="3" t="n">
        <v>153.96</v>
      </c>
      <c r="D788" s="3" t="inlineStr">
        <is>
          <t>2024-07-31</t>
        </is>
      </c>
      <c r="E788" s="3" t="n">
        <v>153.96</v>
      </c>
      <c r="F788" s="3" t="n">
        <v>0</v>
      </c>
    </row>
    <row r="789">
      <c r="A789" s="3" t="inlineStr">
        <is>
          <t>Artemis Medicare Ser..</t>
        </is>
      </c>
      <c r="B789" s="3" t="inlineStr">
        <is>
          <t>2024-07-31</t>
        </is>
      </c>
      <c r="C789" s="3" t="n">
        <v>263.76</v>
      </c>
      <c r="D789" s="3" t="inlineStr">
        <is>
          <t>2024-07-31</t>
        </is>
      </c>
      <c r="E789" s="3" t="n">
        <v>263.76</v>
      </c>
      <c r="F789" s="3" t="n">
        <v>0</v>
      </c>
    </row>
    <row r="790">
      <c r="A790" s="3" t="inlineStr">
        <is>
          <t>Computer Age Managem..</t>
        </is>
      </c>
      <c r="B790" s="3" t="inlineStr">
        <is>
          <t>2024-07-31</t>
        </is>
      </c>
      <c r="C790" s="3" t="n">
        <v>906.84</v>
      </c>
      <c r="D790" s="3" t="inlineStr">
        <is>
          <t>2024-07-31</t>
        </is>
      </c>
      <c r="E790" s="3" t="n">
        <v>906.84</v>
      </c>
      <c r="F790" s="3" t="n">
        <v>0</v>
      </c>
    </row>
    <row r="791">
      <c r="A791" s="3" t="inlineStr">
        <is>
          <t>Prudent Corporate Ad..</t>
        </is>
      </c>
      <c r="B791" s="3" t="inlineStr">
        <is>
          <t>2024-07-31</t>
        </is>
      </c>
      <c r="C791" s="3" t="n">
        <v>2295.45</v>
      </c>
      <c r="D791" s="3" t="inlineStr">
        <is>
          <t>2024-07-31</t>
        </is>
      </c>
      <c r="E791" s="3" t="n">
        <v>2295.45</v>
      </c>
      <c r="F791" s="3" t="n">
        <v>0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79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</cols>
  <sheetData>
    <row r="1">
      <c r="A1" s="1" t="inlineStr">
        <is>
          <t>INDEPENDENT TRADE-BY-TRADE AUDIT &amp; FORMULA CALCULATIONS</t>
        </is>
      </c>
    </row>
    <row r="2">
      <c r="A2" s="2" t="inlineStr">
        <is>
          <t>Trade ID</t>
        </is>
      </c>
      <c r="B2" s="2" t="inlineStr">
        <is>
          <t>Stock</t>
        </is>
      </c>
      <c r="C2" s="2" t="inlineStr">
        <is>
          <t>Entry Date</t>
        </is>
      </c>
      <c r="D2" s="2" t="inlineStr">
        <is>
          <t>Exit Date</t>
        </is>
      </c>
      <c r="E2" s="2" t="inlineStr">
        <is>
          <t>Duration</t>
        </is>
      </c>
      <c r="F2" s="2" t="inlineStr">
        <is>
          <t>Entry Price</t>
        </is>
      </c>
      <c r="G2" s="2" t="inlineStr">
        <is>
          <t>Exit Price</t>
        </is>
      </c>
      <c r="H2" s="2" t="inlineStr">
        <is>
          <t>Quantity</t>
        </is>
      </c>
      <c r="I2" s="2" t="inlineStr">
        <is>
          <t>Allocated Capital</t>
        </is>
      </c>
      <c r="J2" s="2" t="inlineStr">
        <is>
          <t>Calculated P&amp;L</t>
        </is>
      </c>
      <c r="K2" s="2" t="inlineStr">
        <is>
          <t>Calculated Return %</t>
        </is>
      </c>
      <c r="L2" s="2" t="inlineStr">
        <is>
          <t>Provided Return %</t>
        </is>
      </c>
      <c r="M2" s="2" t="inlineStr">
        <is>
          <t>Return Difference %</t>
        </is>
      </c>
      <c r="N2" s="2" t="inlineStr">
        <is>
          <t>Winning Trade</t>
        </is>
      </c>
      <c r="O2" s="2" t="inlineStr">
        <is>
          <t>Losing Trade</t>
        </is>
      </c>
      <c r="P2" s="2" t="inlineStr">
        <is>
          <t>Cumulative P&amp;L</t>
        </is>
      </c>
      <c r="Q2" s="2" t="inlineStr">
        <is>
          <t>Cumulative Return %</t>
        </is>
      </c>
      <c r="R2" s="2" t="inlineStr">
        <is>
          <t>Equity</t>
        </is>
      </c>
      <c r="S2" s="2" t="inlineStr">
        <is>
          <t>Running Peak</t>
        </is>
      </c>
      <c r="T2" s="2" t="inlineStr">
        <is>
          <t>Drawdown</t>
        </is>
      </c>
      <c r="U2" s="2" t="inlineStr">
        <is>
          <t>Drawdown %</t>
        </is>
      </c>
      <c r="V2" s="2" t="inlineStr">
        <is>
          <t>Downside Return Sq</t>
        </is>
      </c>
    </row>
    <row r="3">
      <c r="A3" s="3">
        <f>TEXT(1, """T""0000")</f>
        <v/>
      </c>
      <c r="B3" s="3">
        <f>RAW_INPUT!A3</f>
        <v/>
      </c>
      <c r="C3" s="3">
        <f>RAW_INPUT!B3</f>
        <v/>
      </c>
      <c r="D3" s="3">
        <f>RAW_INPUT!D3</f>
        <v/>
      </c>
      <c r="E3" s="3">
        <f>D3-C3</f>
        <v/>
      </c>
      <c r="F3" s="3">
        <f>RAW_INPUT!C3</f>
        <v/>
      </c>
      <c r="G3" s="3">
        <f>RAW_INPUT!E3</f>
        <v/>
      </c>
      <c r="H3" s="3">
        <f>I3/F3</f>
        <v/>
      </c>
      <c r="I3" s="3">
        <f>METRICS!$C$14 * 0.02</f>
        <v/>
      </c>
      <c r="J3" s="3">
        <f>(G3-F3)*H3</f>
        <v/>
      </c>
      <c r="K3" s="3">
        <f>(G3-F3)/F3*100</f>
        <v/>
      </c>
      <c r="L3" s="3">
        <f>RAW_INPUT!F3</f>
        <v/>
      </c>
      <c r="M3" s="3">
        <f>K3-L3</f>
        <v/>
      </c>
      <c r="N3" s="3">
        <f>IF(J3&gt;0, 1, 0)</f>
        <v/>
      </c>
      <c r="O3" s="3">
        <f>IF(J3&lt;0, 1, 0)</f>
        <v/>
      </c>
      <c r="P3" s="3">
        <f>SUM($J$3:J3)</f>
        <v/>
      </c>
      <c r="Q3" s="3">
        <f>P3/METRICS!$C$14*100</f>
        <v/>
      </c>
      <c r="R3" s="3">
        <f>METRICS!$C$14+P3</f>
        <v/>
      </c>
      <c r="S3" s="3">
        <f>MAX($R$3:R3)</f>
        <v/>
      </c>
      <c r="T3" s="3">
        <f>R3-S3</f>
        <v/>
      </c>
      <c r="U3" s="3">
        <f>(R3-S3)/S3*100</f>
        <v/>
      </c>
      <c r="V3" s="3">
        <f>IF(K3&lt;0, (K3/100)^2, 0)</f>
        <v/>
      </c>
    </row>
    <row r="4">
      <c r="A4" s="3">
        <f>TEXT(2, """T""0000")</f>
        <v/>
      </c>
      <c r="B4" s="3">
        <f>RAW_INPUT!A4</f>
        <v/>
      </c>
      <c r="C4" s="3">
        <f>RAW_INPUT!B4</f>
        <v/>
      </c>
      <c r="D4" s="3">
        <f>RAW_INPUT!D4</f>
        <v/>
      </c>
      <c r="E4" s="3">
        <f>D4-C4</f>
        <v/>
      </c>
      <c r="F4" s="3">
        <f>RAW_INPUT!C4</f>
        <v/>
      </c>
      <c r="G4" s="3">
        <f>RAW_INPUT!E4</f>
        <v/>
      </c>
      <c r="H4" s="3">
        <f>I4/F4</f>
        <v/>
      </c>
      <c r="I4" s="3">
        <f>METRICS!$C$14 * 0.02</f>
        <v/>
      </c>
      <c r="J4" s="3">
        <f>(G4-F4)*H4</f>
        <v/>
      </c>
      <c r="K4" s="3">
        <f>(G4-F4)/F4*100</f>
        <v/>
      </c>
      <c r="L4" s="3">
        <f>RAW_INPUT!F4</f>
        <v/>
      </c>
      <c r="M4" s="3">
        <f>K4-L4</f>
        <v/>
      </c>
      <c r="N4" s="3">
        <f>IF(J4&gt;0, 1, 0)</f>
        <v/>
      </c>
      <c r="O4" s="3">
        <f>IF(J4&lt;0, 1, 0)</f>
        <v/>
      </c>
      <c r="P4" s="3">
        <f>SUM($J$3:J4)</f>
        <v/>
      </c>
      <c r="Q4" s="3">
        <f>P4/METRICS!$C$14*100</f>
        <v/>
      </c>
      <c r="R4" s="3">
        <f>METRICS!$C$14+P4</f>
        <v/>
      </c>
      <c r="S4" s="3">
        <f>MAX($R$3:R4)</f>
        <v/>
      </c>
      <c r="T4" s="3">
        <f>R4-S4</f>
        <v/>
      </c>
      <c r="U4" s="3">
        <f>(R4-S4)/S4*100</f>
        <v/>
      </c>
      <c r="V4" s="3">
        <f>IF(K4&lt;0, (K4/100)^2, 0)</f>
        <v/>
      </c>
    </row>
    <row r="5">
      <c r="A5" s="3">
        <f>TEXT(3, """T""0000")</f>
        <v/>
      </c>
      <c r="B5" s="3">
        <f>RAW_INPUT!A5</f>
        <v/>
      </c>
      <c r="C5" s="3">
        <f>RAW_INPUT!B5</f>
        <v/>
      </c>
      <c r="D5" s="3">
        <f>RAW_INPUT!D5</f>
        <v/>
      </c>
      <c r="E5" s="3">
        <f>D5-C5</f>
        <v/>
      </c>
      <c r="F5" s="3">
        <f>RAW_INPUT!C5</f>
        <v/>
      </c>
      <c r="G5" s="3">
        <f>RAW_INPUT!E5</f>
        <v/>
      </c>
      <c r="H5" s="3">
        <f>I5/F5</f>
        <v/>
      </c>
      <c r="I5" s="3">
        <f>METRICS!$C$14 * 0.02</f>
        <v/>
      </c>
      <c r="J5" s="3">
        <f>(G5-F5)*H5</f>
        <v/>
      </c>
      <c r="K5" s="3">
        <f>(G5-F5)/F5*100</f>
        <v/>
      </c>
      <c r="L5" s="3">
        <f>RAW_INPUT!F5</f>
        <v/>
      </c>
      <c r="M5" s="3">
        <f>K5-L5</f>
        <v/>
      </c>
      <c r="N5" s="3">
        <f>IF(J5&gt;0, 1, 0)</f>
        <v/>
      </c>
      <c r="O5" s="3">
        <f>IF(J5&lt;0, 1, 0)</f>
        <v/>
      </c>
      <c r="P5" s="3">
        <f>SUM($J$3:J5)</f>
        <v/>
      </c>
      <c r="Q5" s="3">
        <f>P5/METRICS!$C$14*100</f>
        <v/>
      </c>
      <c r="R5" s="3">
        <f>METRICS!$C$14+P5</f>
        <v/>
      </c>
      <c r="S5" s="3">
        <f>MAX($R$3:R5)</f>
        <v/>
      </c>
      <c r="T5" s="3">
        <f>R5-S5</f>
        <v/>
      </c>
      <c r="U5" s="3">
        <f>(R5-S5)/S5*100</f>
        <v/>
      </c>
      <c r="V5" s="3">
        <f>IF(K5&lt;0, (K5/100)^2, 0)</f>
        <v/>
      </c>
    </row>
    <row r="6">
      <c r="A6" s="3">
        <f>TEXT(4, """T""0000")</f>
        <v/>
      </c>
      <c r="B6" s="3">
        <f>RAW_INPUT!A6</f>
        <v/>
      </c>
      <c r="C6" s="3">
        <f>RAW_INPUT!B6</f>
        <v/>
      </c>
      <c r="D6" s="3">
        <f>RAW_INPUT!D6</f>
        <v/>
      </c>
      <c r="E6" s="3">
        <f>D6-C6</f>
        <v/>
      </c>
      <c r="F6" s="3">
        <f>RAW_INPUT!C6</f>
        <v/>
      </c>
      <c r="G6" s="3">
        <f>RAW_INPUT!E6</f>
        <v/>
      </c>
      <c r="H6" s="3">
        <f>I6/F6</f>
        <v/>
      </c>
      <c r="I6" s="3">
        <f>METRICS!$C$14 * 0.02</f>
        <v/>
      </c>
      <c r="J6" s="3">
        <f>(G6-F6)*H6</f>
        <v/>
      </c>
      <c r="K6" s="3">
        <f>(G6-F6)/F6*100</f>
        <v/>
      </c>
      <c r="L6" s="3">
        <f>RAW_INPUT!F6</f>
        <v/>
      </c>
      <c r="M6" s="3">
        <f>K6-L6</f>
        <v/>
      </c>
      <c r="N6" s="3">
        <f>IF(J6&gt;0, 1, 0)</f>
        <v/>
      </c>
      <c r="O6" s="3">
        <f>IF(J6&lt;0, 1, 0)</f>
        <v/>
      </c>
      <c r="P6" s="3">
        <f>SUM($J$3:J6)</f>
        <v/>
      </c>
      <c r="Q6" s="3">
        <f>P6/METRICS!$C$14*100</f>
        <v/>
      </c>
      <c r="R6" s="3">
        <f>METRICS!$C$14+P6</f>
        <v/>
      </c>
      <c r="S6" s="3">
        <f>MAX($R$3:R6)</f>
        <v/>
      </c>
      <c r="T6" s="3">
        <f>R6-S6</f>
        <v/>
      </c>
      <c r="U6" s="3">
        <f>(R6-S6)/S6*100</f>
        <v/>
      </c>
      <c r="V6" s="3">
        <f>IF(K6&lt;0, (K6/100)^2, 0)</f>
        <v/>
      </c>
    </row>
    <row r="7">
      <c r="A7" s="3">
        <f>TEXT(5, """T""0000")</f>
        <v/>
      </c>
      <c r="B7" s="3">
        <f>RAW_INPUT!A7</f>
        <v/>
      </c>
      <c r="C7" s="3">
        <f>RAW_INPUT!B7</f>
        <v/>
      </c>
      <c r="D7" s="3">
        <f>RAW_INPUT!D7</f>
        <v/>
      </c>
      <c r="E7" s="3">
        <f>D7-C7</f>
        <v/>
      </c>
      <c r="F7" s="3">
        <f>RAW_INPUT!C7</f>
        <v/>
      </c>
      <c r="G7" s="3">
        <f>RAW_INPUT!E7</f>
        <v/>
      </c>
      <c r="H7" s="3">
        <f>I7/F7</f>
        <v/>
      </c>
      <c r="I7" s="3">
        <f>METRICS!$C$14 * 0.02</f>
        <v/>
      </c>
      <c r="J7" s="3">
        <f>(G7-F7)*H7</f>
        <v/>
      </c>
      <c r="K7" s="3">
        <f>(G7-F7)/F7*100</f>
        <v/>
      </c>
      <c r="L7" s="3">
        <f>RAW_INPUT!F7</f>
        <v/>
      </c>
      <c r="M7" s="3">
        <f>K7-L7</f>
        <v/>
      </c>
      <c r="N7" s="3">
        <f>IF(J7&gt;0, 1, 0)</f>
        <v/>
      </c>
      <c r="O7" s="3">
        <f>IF(J7&lt;0, 1, 0)</f>
        <v/>
      </c>
      <c r="P7" s="3">
        <f>SUM($J$3:J7)</f>
        <v/>
      </c>
      <c r="Q7" s="3">
        <f>P7/METRICS!$C$14*100</f>
        <v/>
      </c>
      <c r="R7" s="3">
        <f>METRICS!$C$14+P7</f>
        <v/>
      </c>
      <c r="S7" s="3">
        <f>MAX($R$3:R7)</f>
        <v/>
      </c>
      <c r="T7" s="3">
        <f>R7-S7</f>
        <v/>
      </c>
      <c r="U7" s="3">
        <f>(R7-S7)/S7*100</f>
        <v/>
      </c>
      <c r="V7" s="3">
        <f>IF(K7&lt;0, (K7/100)^2, 0)</f>
        <v/>
      </c>
    </row>
    <row r="8">
      <c r="A8" s="3">
        <f>TEXT(6, """T""0000")</f>
        <v/>
      </c>
      <c r="B8" s="3">
        <f>RAW_INPUT!A8</f>
        <v/>
      </c>
      <c r="C8" s="3">
        <f>RAW_INPUT!B8</f>
        <v/>
      </c>
      <c r="D8" s="3">
        <f>RAW_INPUT!D8</f>
        <v/>
      </c>
      <c r="E8" s="3">
        <f>D8-C8</f>
        <v/>
      </c>
      <c r="F8" s="3">
        <f>RAW_INPUT!C8</f>
        <v/>
      </c>
      <c r="G8" s="3">
        <f>RAW_INPUT!E8</f>
        <v/>
      </c>
      <c r="H8" s="3">
        <f>I8/F8</f>
        <v/>
      </c>
      <c r="I8" s="3">
        <f>METRICS!$C$14 * 0.02</f>
        <v/>
      </c>
      <c r="J8" s="3">
        <f>(G8-F8)*H8</f>
        <v/>
      </c>
      <c r="K8" s="3">
        <f>(G8-F8)/F8*100</f>
        <v/>
      </c>
      <c r="L8" s="3">
        <f>RAW_INPUT!F8</f>
        <v/>
      </c>
      <c r="M8" s="3">
        <f>K8-L8</f>
        <v/>
      </c>
      <c r="N8" s="3">
        <f>IF(J8&gt;0, 1, 0)</f>
        <v/>
      </c>
      <c r="O8" s="3">
        <f>IF(J8&lt;0, 1, 0)</f>
        <v/>
      </c>
      <c r="P8" s="3">
        <f>SUM($J$3:J8)</f>
        <v/>
      </c>
      <c r="Q8" s="3">
        <f>P8/METRICS!$C$14*100</f>
        <v/>
      </c>
      <c r="R8" s="3">
        <f>METRICS!$C$14+P8</f>
        <v/>
      </c>
      <c r="S8" s="3">
        <f>MAX($R$3:R8)</f>
        <v/>
      </c>
      <c r="T8" s="3">
        <f>R8-S8</f>
        <v/>
      </c>
      <c r="U8" s="3">
        <f>(R8-S8)/S8*100</f>
        <v/>
      </c>
      <c r="V8" s="3">
        <f>IF(K8&lt;0, (K8/100)^2, 0)</f>
        <v/>
      </c>
    </row>
    <row r="9">
      <c r="A9" s="3">
        <f>TEXT(7, """T""0000")</f>
        <v/>
      </c>
      <c r="B9" s="3">
        <f>RAW_INPUT!A9</f>
        <v/>
      </c>
      <c r="C9" s="3">
        <f>RAW_INPUT!B9</f>
        <v/>
      </c>
      <c r="D9" s="3">
        <f>RAW_INPUT!D9</f>
        <v/>
      </c>
      <c r="E9" s="3">
        <f>D9-C9</f>
        <v/>
      </c>
      <c r="F9" s="3">
        <f>RAW_INPUT!C9</f>
        <v/>
      </c>
      <c r="G9" s="3">
        <f>RAW_INPUT!E9</f>
        <v/>
      </c>
      <c r="H9" s="3">
        <f>I9/F9</f>
        <v/>
      </c>
      <c r="I9" s="3">
        <f>METRICS!$C$14 * 0.02</f>
        <v/>
      </c>
      <c r="J9" s="3">
        <f>(G9-F9)*H9</f>
        <v/>
      </c>
      <c r="K9" s="3">
        <f>(G9-F9)/F9*100</f>
        <v/>
      </c>
      <c r="L9" s="3">
        <f>RAW_INPUT!F9</f>
        <v/>
      </c>
      <c r="M9" s="3">
        <f>K9-L9</f>
        <v/>
      </c>
      <c r="N9" s="3">
        <f>IF(J9&gt;0, 1, 0)</f>
        <v/>
      </c>
      <c r="O9" s="3">
        <f>IF(J9&lt;0, 1, 0)</f>
        <v/>
      </c>
      <c r="P9" s="3">
        <f>SUM($J$3:J9)</f>
        <v/>
      </c>
      <c r="Q9" s="3">
        <f>P9/METRICS!$C$14*100</f>
        <v/>
      </c>
      <c r="R9" s="3">
        <f>METRICS!$C$14+P9</f>
        <v/>
      </c>
      <c r="S9" s="3">
        <f>MAX($R$3:R9)</f>
        <v/>
      </c>
      <c r="T9" s="3">
        <f>R9-S9</f>
        <v/>
      </c>
      <c r="U9" s="3">
        <f>(R9-S9)/S9*100</f>
        <v/>
      </c>
      <c r="V9" s="3">
        <f>IF(K9&lt;0, (K9/100)^2, 0)</f>
        <v/>
      </c>
    </row>
    <row r="10">
      <c r="A10" s="3">
        <f>TEXT(8, """T""0000")</f>
        <v/>
      </c>
      <c r="B10" s="3">
        <f>RAW_INPUT!A10</f>
        <v/>
      </c>
      <c r="C10" s="3">
        <f>RAW_INPUT!B10</f>
        <v/>
      </c>
      <c r="D10" s="3">
        <f>RAW_INPUT!D10</f>
        <v/>
      </c>
      <c r="E10" s="3">
        <f>D10-C10</f>
        <v/>
      </c>
      <c r="F10" s="3">
        <f>RAW_INPUT!C10</f>
        <v/>
      </c>
      <c r="G10" s="3">
        <f>RAW_INPUT!E10</f>
        <v/>
      </c>
      <c r="H10" s="3">
        <f>I10/F10</f>
        <v/>
      </c>
      <c r="I10" s="3">
        <f>METRICS!$C$14 * 0.02</f>
        <v/>
      </c>
      <c r="J10" s="3">
        <f>(G10-F10)*H10</f>
        <v/>
      </c>
      <c r="K10" s="3">
        <f>(G10-F10)/F10*100</f>
        <v/>
      </c>
      <c r="L10" s="3">
        <f>RAW_INPUT!F10</f>
        <v/>
      </c>
      <c r="M10" s="3">
        <f>K10-L10</f>
        <v/>
      </c>
      <c r="N10" s="3">
        <f>IF(J10&gt;0, 1, 0)</f>
        <v/>
      </c>
      <c r="O10" s="3">
        <f>IF(J10&lt;0, 1, 0)</f>
        <v/>
      </c>
      <c r="P10" s="3">
        <f>SUM($J$3:J10)</f>
        <v/>
      </c>
      <c r="Q10" s="3">
        <f>P10/METRICS!$C$14*100</f>
        <v/>
      </c>
      <c r="R10" s="3">
        <f>METRICS!$C$14+P10</f>
        <v/>
      </c>
      <c r="S10" s="3">
        <f>MAX($R$3:R10)</f>
        <v/>
      </c>
      <c r="T10" s="3">
        <f>R10-S10</f>
        <v/>
      </c>
      <c r="U10" s="3">
        <f>(R10-S10)/S10*100</f>
        <v/>
      </c>
      <c r="V10" s="3">
        <f>IF(K10&lt;0, (K10/100)^2, 0)</f>
        <v/>
      </c>
    </row>
    <row r="11">
      <c r="A11" s="3">
        <f>TEXT(9, """T""0000")</f>
        <v/>
      </c>
      <c r="B11" s="3">
        <f>RAW_INPUT!A11</f>
        <v/>
      </c>
      <c r="C11" s="3">
        <f>RAW_INPUT!B11</f>
        <v/>
      </c>
      <c r="D11" s="3">
        <f>RAW_INPUT!D11</f>
        <v/>
      </c>
      <c r="E11" s="3">
        <f>D11-C11</f>
        <v/>
      </c>
      <c r="F11" s="3">
        <f>RAW_INPUT!C11</f>
        <v/>
      </c>
      <c r="G11" s="3">
        <f>RAW_INPUT!E11</f>
        <v/>
      </c>
      <c r="H11" s="3">
        <f>I11/F11</f>
        <v/>
      </c>
      <c r="I11" s="3">
        <f>METRICS!$C$14 * 0.02</f>
        <v/>
      </c>
      <c r="J11" s="3">
        <f>(G11-F11)*H11</f>
        <v/>
      </c>
      <c r="K11" s="3">
        <f>(G11-F11)/F11*100</f>
        <v/>
      </c>
      <c r="L11" s="3">
        <f>RAW_INPUT!F11</f>
        <v/>
      </c>
      <c r="M11" s="3">
        <f>K11-L11</f>
        <v/>
      </c>
      <c r="N11" s="3">
        <f>IF(J11&gt;0, 1, 0)</f>
        <v/>
      </c>
      <c r="O11" s="3">
        <f>IF(J11&lt;0, 1, 0)</f>
        <v/>
      </c>
      <c r="P11" s="3">
        <f>SUM($J$3:J11)</f>
        <v/>
      </c>
      <c r="Q11" s="3">
        <f>P11/METRICS!$C$14*100</f>
        <v/>
      </c>
      <c r="R11" s="3">
        <f>METRICS!$C$14+P11</f>
        <v/>
      </c>
      <c r="S11" s="3">
        <f>MAX($R$3:R11)</f>
        <v/>
      </c>
      <c r="T11" s="3">
        <f>R11-S11</f>
        <v/>
      </c>
      <c r="U11" s="3">
        <f>(R11-S11)/S11*100</f>
        <v/>
      </c>
      <c r="V11" s="3">
        <f>IF(K11&lt;0, (K11/100)^2, 0)</f>
        <v/>
      </c>
    </row>
    <row r="12">
      <c r="A12" s="3">
        <f>TEXT(10, """T""0000")</f>
        <v/>
      </c>
      <c r="B12" s="3">
        <f>RAW_INPUT!A12</f>
        <v/>
      </c>
      <c r="C12" s="3">
        <f>RAW_INPUT!B12</f>
        <v/>
      </c>
      <c r="D12" s="3">
        <f>RAW_INPUT!D12</f>
        <v/>
      </c>
      <c r="E12" s="3">
        <f>D12-C12</f>
        <v/>
      </c>
      <c r="F12" s="3">
        <f>RAW_INPUT!C12</f>
        <v/>
      </c>
      <c r="G12" s="3">
        <f>RAW_INPUT!E12</f>
        <v/>
      </c>
      <c r="H12" s="3">
        <f>I12/F12</f>
        <v/>
      </c>
      <c r="I12" s="3">
        <f>METRICS!$C$14 * 0.02</f>
        <v/>
      </c>
      <c r="J12" s="3">
        <f>(G12-F12)*H12</f>
        <v/>
      </c>
      <c r="K12" s="3">
        <f>(G12-F12)/F12*100</f>
        <v/>
      </c>
      <c r="L12" s="3">
        <f>RAW_INPUT!F12</f>
        <v/>
      </c>
      <c r="M12" s="3">
        <f>K12-L12</f>
        <v/>
      </c>
      <c r="N12" s="3">
        <f>IF(J12&gt;0, 1, 0)</f>
        <v/>
      </c>
      <c r="O12" s="3">
        <f>IF(J12&lt;0, 1, 0)</f>
        <v/>
      </c>
      <c r="P12" s="3">
        <f>SUM($J$3:J12)</f>
        <v/>
      </c>
      <c r="Q12" s="3">
        <f>P12/METRICS!$C$14*100</f>
        <v/>
      </c>
      <c r="R12" s="3">
        <f>METRICS!$C$14+P12</f>
        <v/>
      </c>
      <c r="S12" s="3">
        <f>MAX($R$3:R12)</f>
        <v/>
      </c>
      <c r="T12" s="3">
        <f>R12-S12</f>
        <v/>
      </c>
      <c r="U12" s="3">
        <f>(R12-S12)/S12*100</f>
        <v/>
      </c>
      <c r="V12" s="3">
        <f>IF(K12&lt;0, (K12/100)^2, 0)</f>
        <v/>
      </c>
    </row>
    <row r="13">
      <c r="A13" s="3">
        <f>TEXT(11, """T""0000")</f>
        <v/>
      </c>
      <c r="B13" s="3">
        <f>RAW_INPUT!A13</f>
        <v/>
      </c>
      <c r="C13" s="3">
        <f>RAW_INPUT!B13</f>
        <v/>
      </c>
      <c r="D13" s="3">
        <f>RAW_INPUT!D13</f>
        <v/>
      </c>
      <c r="E13" s="3">
        <f>D13-C13</f>
        <v/>
      </c>
      <c r="F13" s="3">
        <f>RAW_INPUT!C13</f>
        <v/>
      </c>
      <c r="G13" s="3">
        <f>RAW_INPUT!E13</f>
        <v/>
      </c>
      <c r="H13" s="3">
        <f>I13/F13</f>
        <v/>
      </c>
      <c r="I13" s="3">
        <f>METRICS!$C$14 * 0.02</f>
        <v/>
      </c>
      <c r="J13" s="3">
        <f>(G13-F13)*H13</f>
        <v/>
      </c>
      <c r="K13" s="3">
        <f>(G13-F13)/F13*100</f>
        <v/>
      </c>
      <c r="L13" s="3">
        <f>RAW_INPUT!F13</f>
        <v/>
      </c>
      <c r="M13" s="3">
        <f>K13-L13</f>
        <v/>
      </c>
      <c r="N13" s="3">
        <f>IF(J13&gt;0, 1, 0)</f>
        <v/>
      </c>
      <c r="O13" s="3">
        <f>IF(J13&lt;0, 1, 0)</f>
        <v/>
      </c>
      <c r="P13" s="3">
        <f>SUM($J$3:J13)</f>
        <v/>
      </c>
      <c r="Q13" s="3">
        <f>P13/METRICS!$C$14*100</f>
        <v/>
      </c>
      <c r="R13" s="3">
        <f>METRICS!$C$14+P13</f>
        <v/>
      </c>
      <c r="S13" s="3">
        <f>MAX($R$3:R13)</f>
        <v/>
      </c>
      <c r="T13" s="3">
        <f>R13-S13</f>
        <v/>
      </c>
      <c r="U13" s="3">
        <f>(R13-S13)/S13*100</f>
        <v/>
      </c>
      <c r="V13" s="3">
        <f>IF(K13&lt;0, (K13/100)^2, 0)</f>
        <v/>
      </c>
    </row>
    <row r="14">
      <c r="A14" s="3">
        <f>TEXT(12, """T""0000")</f>
        <v/>
      </c>
      <c r="B14" s="3">
        <f>RAW_INPUT!A14</f>
        <v/>
      </c>
      <c r="C14" s="3">
        <f>RAW_INPUT!B14</f>
        <v/>
      </c>
      <c r="D14" s="3">
        <f>RAW_INPUT!D14</f>
        <v/>
      </c>
      <c r="E14" s="3">
        <f>D14-C14</f>
        <v/>
      </c>
      <c r="F14" s="3">
        <f>RAW_INPUT!C14</f>
        <v/>
      </c>
      <c r="G14" s="3">
        <f>RAW_INPUT!E14</f>
        <v/>
      </c>
      <c r="H14" s="3">
        <f>I14/F14</f>
        <v/>
      </c>
      <c r="I14" s="3">
        <f>METRICS!$C$14 * 0.02</f>
        <v/>
      </c>
      <c r="J14" s="3">
        <f>(G14-F14)*H14</f>
        <v/>
      </c>
      <c r="K14" s="3">
        <f>(G14-F14)/F14*100</f>
        <v/>
      </c>
      <c r="L14" s="3">
        <f>RAW_INPUT!F14</f>
        <v/>
      </c>
      <c r="M14" s="3">
        <f>K14-L14</f>
        <v/>
      </c>
      <c r="N14" s="3">
        <f>IF(J14&gt;0, 1, 0)</f>
        <v/>
      </c>
      <c r="O14" s="3">
        <f>IF(J14&lt;0, 1, 0)</f>
        <v/>
      </c>
      <c r="P14" s="3">
        <f>SUM($J$3:J14)</f>
        <v/>
      </c>
      <c r="Q14" s="3">
        <f>P14/METRICS!$C$14*100</f>
        <v/>
      </c>
      <c r="R14" s="3">
        <f>METRICS!$C$14+P14</f>
        <v/>
      </c>
      <c r="S14" s="3">
        <f>MAX($R$3:R14)</f>
        <v/>
      </c>
      <c r="T14" s="3">
        <f>R14-S14</f>
        <v/>
      </c>
      <c r="U14" s="3">
        <f>(R14-S14)/S14*100</f>
        <v/>
      </c>
      <c r="V14" s="3">
        <f>IF(K14&lt;0, (K14/100)^2, 0)</f>
        <v/>
      </c>
    </row>
    <row r="15">
      <c r="A15" s="3">
        <f>TEXT(13, """T""0000")</f>
        <v/>
      </c>
      <c r="B15" s="3">
        <f>RAW_INPUT!A15</f>
        <v/>
      </c>
      <c r="C15" s="3">
        <f>RAW_INPUT!B15</f>
        <v/>
      </c>
      <c r="D15" s="3">
        <f>RAW_INPUT!D15</f>
        <v/>
      </c>
      <c r="E15" s="3">
        <f>D15-C15</f>
        <v/>
      </c>
      <c r="F15" s="3">
        <f>RAW_INPUT!C15</f>
        <v/>
      </c>
      <c r="G15" s="3">
        <f>RAW_INPUT!E15</f>
        <v/>
      </c>
      <c r="H15" s="3">
        <f>I15/F15</f>
        <v/>
      </c>
      <c r="I15" s="3">
        <f>METRICS!$C$14 * 0.02</f>
        <v/>
      </c>
      <c r="J15" s="3">
        <f>(G15-F15)*H15</f>
        <v/>
      </c>
      <c r="K15" s="3">
        <f>(G15-F15)/F15*100</f>
        <v/>
      </c>
      <c r="L15" s="3">
        <f>RAW_INPUT!F15</f>
        <v/>
      </c>
      <c r="M15" s="3">
        <f>K15-L15</f>
        <v/>
      </c>
      <c r="N15" s="3">
        <f>IF(J15&gt;0, 1, 0)</f>
        <v/>
      </c>
      <c r="O15" s="3">
        <f>IF(J15&lt;0, 1, 0)</f>
        <v/>
      </c>
      <c r="P15" s="3">
        <f>SUM($J$3:J15)</f>
        <v/>
      </c>
      <c r="Q15" s="3">
        <f>P15/METRICS!$C$14*100</f>
        <v/>
      </c>
      <c r="R15" s="3">
        <f>METRICS!$C$14+P15</f>
        <v/>
      </c>
      <c r="S15" s="3">
        <f>MAX($R$3:R15)</f>
        <v/>
      </c>
      <c r="T15" s="3">
        <f>R15-S15</f>
        <v/>
      </c>
      <c r="U15" s="3">
        <f>(R15-S15)/S15*100</f>
        <v/>
      </c>
      <c r="V15" s="3">
        <f>IF(K15&lt;0, (K15/100)^2, 0)</f>
        <v/>
      </c>
    </row>
    <row r="16">
      <c r="A16" s="3">
        <f>TEXT(14, """T""0000")</f>
        <v/>
      </c>
      <c r="B16" s="3">
        <f>RAW_INPUT!A16</f>
        <v/>
      </c>
      <c r="C16" s="3">
        <f>RAW_INPUT!B16</f>
        <v/>
      </c>
      <c r="D16" s="3">
        <f>RAW_INPUT!D16</f>
        <v/>
      </c>
      <c r="E16" s="3">
        <f>D16-C16</f>
        <v/>
      </c>
      <c r="F16" s="3">
        <f>RAW_INPUT!C16</f>
        <v/>
      </c>
      <c r="G16" s="3">
        <f>RAW_INPUT!E16</f>
        <v/>
      </c>
      <c r="H16" s="3">
        <f>I16/F16</f>
        <v/>
      </c>
      <c r="I16" s="3">
        <f>METRICS!$C$14 * 0.02</f>
        <v/>
      </c>
      <c r="J16" s="3">
        <f>(G16-F16)*H16</f>
        <v/>
      </c>
      <c r="K16" s="3">
        <f>(G16-F16)/F16*100</f>
        <v/>
      </c>
      <c r="L16" s="3">
        <f>RAW_INPUT!F16</f>
        <v/>
      </c>
      <c r="M16" s="3">
        <f>K16-L16</f>
        <v/>
      </c>
      <c r="N16" s="3">
        <f>IF(J16&gt;0, 1, 0)</f>
        <v/>
      </c>
      <c r="O16" s="3">
        <f>IF(J16&lt;0, 1, 0)</f>
        <v/>
      </c>
      <c r="P16" s="3">
        <f>SUM($J$3:J16)</f>
        <v/>
      </c>
      <c r="Q16" s="3">
        <f>P16/METRICS!$C$14*100</f>
        <v/>
      </c>
      <c r="R16" s="3">
        <f>METRICS!$C$14+P16</f>
        <v/>
      </c>
      <c r="S16" s="3">
        <f>MAX($R$3:R16)</f>
        <v/>
      </c>
      <c r="T16" s="3">
        <f>R16-S16</f>
        <v/>
      </c>
      <c r="U16" s="3">
        <f>(R16-S16)/S16*100</f>
        <v/>
      </c>
      <c r="V16" s="3">
        <f>IF(K16&lt;0, (K16/100)^2, 0)</f>
        <v/>
      </c>
    </row>
    <row r="17">
      <c r="A17" s="3">
        <f>TEXT(15, """T""0000")</f>
        <v/>
      </c>
      <c r="B17" s="3">
        <f>RAW_INPUT!A17</f>
        <v/>
      </c>
      <c r="C17" s="3">
        <f>RAW_INPUT!B17</f>
        <v/>
      </c>
      <c r="D17" s="3">
        <f>RAW_INPUT!D17</f>
        <v/>
      </c>
      <c r="E17" s="3">
        <f>D17-C17</f>
        <v/>
      </c>
      <c r="F17" s="3">
        <f>RAW_INPUT!C17</f>
        <v/>
      </c>
      <c r="G17" s="3">
        <f>RAW_INPUT!E17</f>
        <v/>
      </c>
      <c r="H17" s="3">
        <f>I17/F17</f>
        <v/>
      </c>
      <c r="I17" s="3">
        <f>METRICS!$C$14 * 0.02</f>
        <v/>
      </c>
      <c r="J17" s="3">
        <f>(G17-F17)*H17</f>
        <v/>
      </c>
      <c r="K17" s="3">
        <f>(G17-F17)/F17*100</f>
        <v/>
      </c>
      <c r="L17" s="3">
        <f>RAW_INPUT!F17</f>
        <v/>
      </c>
      <c r="M17" s="3">
        <f>K17-L17</f>
        <v/>
      </c>
      <c r="N17" s="3">
        <f>IF(J17&gt;0, 1, 0)</f>
        <v/>
      </c>
      <c r="O17" s="3">
        <f>IF(J17&lt;0, 1, 0)</f>
        <v/>
      </c>
      <c r="P17" s="3">
        <f>SUM($J$3:J17)</f>
        <v/>
      </c>
      <c r="Q17" s="3">
        <f>P17/METRICS!$C$14*100</f>
        <v/>
      </c>
      <c r="R17" s="3">
        <f>METRICS!$C$14+P17</f>
        <v/>
      </c>
      <c r="S17" s="3">
        <f>MAX($R$3:R17)</f>
        <v/>
      </c>
      <c r="T17" s="3">
        <f>R17-S17</f>
        <v/>
      </c>
      <c r="U17" s="3">
        <f>(R17-S17)/S17*100</f>
        <v/>
      </c>
      <c r="V17" s="3">
        <f>IF(K17&lt;0, (K17/100)^2, 0)</f>
        <v/>
      </c>
    </row>
    <row r="18">
      <c r="A18" s="3">
        <f>TEXT(16, """T""0000")</f>
        <v/>
      </c>
      <c r="B18" s="3">
        <f>RAW_INPUT!A18</f>
        <v/>
      </c>
      <c r="C18" s="3">
        <f>RAW_INPUT!B18</f>
        <v/>
      </c>
      <c r="D18" s="3">
        <f>RAW_INPUT!D18</f>
        <v/>
      </c>
      <c r="E18" s="3">
        <f>D18-C18</f>
        <v/>
      </c>
      <c r="F18" s="3">
        <f>RAW_INPUT!C18</f>
        <v/>
      </c>
      <c r="G18" s="3">
        <f>RAW_INPUT!E18</f>
        <v/>
      </c>
      <c r="H18" s="3">
        <f>I18/F18</f>
        <v/>
      </c>
      <c r="I18" s="3">
        <f>METRICS!$C$14 * 0.02</f>
        <v/>
      </c>
      <c r="J18" s="3">
        <f>(G18-F18)*H18</f>
        <v/>
      </c>
      <c r="K18" s="3">
        <f>(G18-F18)/F18*100</f>
        <v/>
      </c>
      <c r="L18" s="3">
        <f>RAW_INPUT!F18</f>
        <v/>
      </c>
      <c r="M18" s="3">
        <f>K18-L18</f>
        <v/>
      </c>
      <c r="N18" s="3">
        <f>IF(J18&gt;0, 1, 0)</f>
        <v/>
      </c>
      <c r="O18" s="3">
        <f>IF(J18&lt;0, 1, 0)</f>
        <v/>
      </c>
      <c r="P18" s="3">
        <f>SUM($J$3:J18)</f>
        <v/>
      </c>
      <c r="Q18" s="3">
        <f>P18/METRICS!$C$14*100</f>
        <v/>
      </c>
      <c r="R18" s="3">
        <f>METRICS!$C$14+P18</f>
        <v/>
      </c>
      <c r="S18" s="3">
        <f>MAX($R$3:R18)</f>
        <v/>
      </c>
      <c r="T18" s="3">
        <f>R18-S18</f>
        <v/>
      </c>
      <c r="U18" s="3">
        <f>(R18-S18)/S18*100</f>
        <v/>
      </c>
      <c r="V18" s="3">
        <f>IF(K18&lt;0, (K18/100)^2, 0)</f>
        <v/>
      </c>
    </row>
    <row r="19">
      <c r="A19" s="3">
        <f>TEXT(17, """T""0000")</f>
        <v/>
      </c>
      <c r="B19" s="3">
        <f>RAW_INPUT!A19</f>
        <v/>
      </c>
      <c r="C19" s="3">
        <f>RAW_INPUT!B19</f>
        <v/>
      </c>
      <c r="D19" s="3">
        <f>RAW_INPUT!D19</f>
        <v/>
      </c>
      <c r="E19" s="3">
        <f>D19-C19</f>
        <v/>
      </c>
      <c r="F19" s="3">
        <f>RAW_INPUT!C19</f>
        <v/>
      </c>
      <c r="G19" s="3">
        <f>RAW_INPUT!E19</f>
        <v/>
      </c>
      <c r="H19" s="3">
        <f>I19/F19</f>
        <v/>
      </c>
      <c r="I19" s="3">
        <f>METRICS!$C$14 * 0.02</f>
        <v/>
      </c>
      <c r="J19" s="3">
        <f>(G19-F19)*H19</f>
        <v/>
      </c>
      <c r="K19" s="3">
        <f>(G19-F19)/F19*100</f>
        <v/>
      </c>
      <c r="L19" s="3">
        <f>RAW_INPUT!F19</f>
        <v/>
      </c>
      <c r="M19" s="3">
        <f>K19-L19</f>
        <v/>
      </c>
      <c r="N19" s="3">
        <f>IF(J19&gt;0, 1, 0)</f>
        <v/>
      </c>
      <c r="O19" s="3">
        <f>IF(J19&lt;0, 1, 0)</f>
        <v/>
      </c>
      <c r="P19" s="3">
        <f>SUM($J$3:J19)</f>
        <v/>
      </c>
      <c r="Q19" s="3">
        <f>P19/METRICS!$C$14*100</f>
        <v/>
      </c>
      <c r="R19" s="3">
        <f>METRICS!$C$14+P19</f>
        <v/>
      </c>
      <c r="S19" s="3">
        <f>MAX($R$3:R19)</f>
        <v/>
      </c>
      <c r="T19" s="3">
        <f>R19-S19</f>
        <v/>
      </c>
      <c r="U19" s="3">
        <f>(R19-S19)/S19*100</f>
        <v/>
      </c>
      <c r="V19" s="3">
        <f>IF(K19&lt;0, (K19/100)^2, 0)</f>
        <v/>
      </c>
    </row>
    <row r="20">
      <c r="A20" s="3">
        <f>TEXT(18, """T""0000")</f>
        <v/>
      </c>
      <c r="B20" s="3">
        <f>RAW_INPUT!A20</f>
        <v/>
      </c>
      <c r="C20" s="3">
        <f>RAW_INPUT!B20</f>
        <v/>
      </c>
      <c r="D20" s="3">
        <f>RAW_INPUT!D20</f>
        <v/>
      </c>
      <c r="E20" s="3">
        <f>D20-C20</f>
        <v/>
      </c>
      <c r="F20" s="3">
        <f>RAW_INPUT!C20</f>
        <v/>
      </c>
      <c r="G20" s="3">
        <f>RAW_INPUT!E20</f>
        <v/>
      </c>
      <c r="H20" s="3">
        <f>I20/F20</f>
        <v/>
      </c>
      <c r="I20" s="3">
        <f>METRICS!$C$14 * 0.02</f>
        <v/>
      </c>
      <c r="J20" s="3">
        <f>(G20-F20)*H20</f>
        <v/>
      </c>
      <c r="K20" s="3">
        <f>(G20-F20)/F20*100</f>
        <v/>
      </c>
      <c r="L20" s="3">
        <f>RAW_INPUT!F20</f>
        <v/>
      </c>
      <c r="M20" s="3">
        <f>K20-L20</f>
        <v/>
      </c>
      <c r="N20" s="3">
        <f>IF(J20&gt;0, 1, 0)</f>
        <v/>
      </c>
      <c r="O20" s="3">
        <f>IF(J20&lt;0, 1, 0)</f>
        <v/>
      </c>
      <c r="P20" s="3">
        <f>SUM($J$3:J20)</f>
        <v/>
      </c>
      <c r="Q20" s="3">
        <f>P20/METRICS!$C$14*100</f>
        <v/>
      </c>
      <c r="R20" s="3">
        <f>METRICS!$C$14+P20</f>
        <v/>
      </c>
      <c r="S20" s="3">
        <f>MAX($R$3:R20)</f>
        <v/>
      </c>
      <c r="T20" s="3">
        <f>R20-S20</f>
        <v/>
      </c>
      <c r="U20" s="3">
        <f>(R20-S20)/S20*100</f>
        <v/>
      </c>
      <c r="V20" s="3">
        <f>IF(K20&lt;0, (K20/100)^2, 0)</f>
        <v/>
      </c>
    </row>
    <row r="21">
      <c r="A21" s="3">
        <f>TEXT(19, """T""0000")</f>
        <v/>
      </c>
      <c r="B21" s="3">
        <f>RAW_INPUT!A21</f>
        <v/>
      </c>
      <c r="C21" s="3">
        <f>RAW_INPUT!B21</f>
        <v/>
      </c>
      <c r="D21" s="3">
        <f>RAW_INPUT!D21</f>
        <v/>
      </c>
      <c r="E21" s="3">
        <f>D21-C21</f>
        <v/>
      </c>
      <c r="F21" s="3">
        <f>RAW_INPUT!C21</f>
        <v/>
      </c>
      <c r="G21" s="3">
        <f>RAW_INPUT!E21</f>
        <v/>
      </c>
      <c r="H21" s="3">
        <f>I21/F21</f>
        <v/>
      </c>
      <c r="I21" s="3">
        <f>METRICS!$C$14 * 0.02</f>
        <v/>
      </c>
      <c r="J21" s="3">
        <f>(G21-F21)*H21</f>
        <v/>
      </c>
      <c r="K21" s="3">
        <f>(G21-F21)/F21*100</f>
        <v/>
      </c>
      <c r="L21" s="3">
        <f>RAW_INPUT!F21</f>
        <v/>
      </c>
      <c r="M21" s="3">
        <f>K21-L21</f>
        <v/>
      </c>
      <c r="N21" s="3">
        <f>IF(J21&gt;0, 1, 0)</f>
        <v/>
      </c>
      <c r="O21" s="3">
        <f>IF(J21&lt;0, 1, 0)</f>
        <v/>
      </c>
      <c r="P21" s="3">
        <f>SUM($J$3:J21)</f>
        <v/>
      </c>
      <c r="Q21" s="3">
        <f>P21/METRICS!$C$14*100</f>
        <v/>
      </c>
      <c r="R21" s="3">
        <f>METRICS!$C$14+P21</f>
        <v/>
      </c>
      <c r="S21" s="3">
        <f>MAX($R$3:R21)</f>
        <v/>
      </c>
      <c r="T21" s="3">
        <f>R21-S21</f>
        <v/>
      </c>
      <c r="U21" s="3">
        <f>(R21-S21)/S21*100</f>
        <v/>
      </c>
      <c r="V21" s="3">
        <f>IF(K21&lt;0, (K21/100)^2, 0)</f>
        <v/>
      </c>
    </row>
    <row r="22">
      <c r="A22" s="3">
        <f>TEXT(20, """T""0000")</f>
        <v/>
      </c>
      <c r="B22" s="3">
        <f>RAW_INPUT!A22</f>
        <v/>
      </c>
      <c r="C22" s="3">
        <f>RAW_INPUT!B22</f>
        <v/>
      </c>
      <c r="D22" s="3">
        <f>RAW_INPUT!D22</f>
        <v/>
      </c>
      <c r="E22" s="3">
        <f>D22-C22</f>
        <v/>
      </c>
      <c r="F22" s="3">
        <f>RAW_INPUT!C22</f>
        <v/>
      </c>
      <c r="G22" s="3">
        <f>RAW_INPUT!E22</f>
        <v/>
      </c>
      <c r="H22" s="3">
        <f>I22/F22</f>
        <v/>
      </c>
      <c r="I22" s="3">
        <f>METRICS!$C$14 * 0.02</f>
        <v/>
      </c>
      <c r="J22" s="3">
        <f>(G22-F22)*H22</f>
        <v/>
      </c>
      <c r="K22" s="3">
        <f>(G22-F22)/F22*100</f>
        <v/>
      </c>
      <c r="L22" s="3">
        <f>RAW_INPUT!F22</f>
        <v/>
      </c>
      <c r="M22" s="3">
        <f>K22-L22</f>
        <v/>
      </c>
      <c r="N22" s="3">
        <f>IF(J22&gt;0, 1, 0)</f>
        <v/>
      </c>
      <c r="O22" s="3">
        <f>IF(J22&lt;0, 1, 0)</f>
        <v/>
      </c>
      <c r="P22" s="3">
        <f>SUM($J$3:J22)</f>
        <v/>
      </c>
      <c r="Q22" s="3">
        <f>P22/METRICS!$C$14*100</f>
        <v/>
      </c>
      <c r="R22" s="3">
        <f>METRICS!$C$14+P22</f>
        <v/>
      </c>
      <c r="S22" s="3">
        <f>MAX($R$3:R22)</f>
        <v/>
      </c>
      <c r="T22" s="3">
        <f>R22-S22</f>
        <v/>
      </c>
      <c r="U22" s="3">
        <f>(R22-S22)/S22*100</f>
        <v/>
      </c>
      <c r="V22" s="3">
        <f>IF(K22&lt;0, (K22/100)^2, 0)</f>
        <v/>
      </c>
    </row>
    <row r="23">
      <c r="A23" s="3">
        <f>TEXT(21, """T""0000")</f>
        <v/>
      </c>
      <c r="B23" s="3">
        <f>RAW_INPUT!A23</f>
        <v/>
      </c>
      <c r="C23" s="3">
        <f>RAW_INPUT!B23</f>
        <v/>
      </c>
      <c r="D23" s="3">
        <f>RAW_INPUT!D23</f>
        <v/>
      </c>
      <c r="E23" s="3">
        <f>D23-C23</f>
        <v/>
      </c>
      <c r="F23" s="3">
        <f>RAW_INPUT!C23</f>
        <v/>
      </c>
      <c r="G23" s="3">
        <f>RAW_INPUT!E23</f>
        <v/>
      </c>
      <c r="H23" s="3">
        <f>I23/F23</f>
        <v/>
      </c>
      <c r="I23" s="3">
        <f>METRICS!$C$14 * 0.02</f>
        <v/>
      </c>
      <c r="J23" s="3">
        <f>(G23-F23)*H23</f>
        <v/>
      </c>
      <c r="K23" s="3">
        <f>(G23-F23)/F23*100</f>
        <v/>
      </c>
      <c r="L23" s="3">
        <f>RAW_INPUT!F23</f>
        <v/>
      </c>
      <c r="M23" s="3">
        <f>K23-L23</f>
        <v/>
      </c>
      <c r="N23" s="3">
        <f>IF(J23&gt;0, 1, 0)</f>
        <v/>
      </c>
      <c r="O23" s="3">
        <f>IF(J23&lt;0, 1, 0)</f>
        <v/>
      </c>
      <c r="P23" s="3">
        <f>SUM($J$3:J23)</f>
        <v/>
      </c>
      <c r="Q23" s="3">
        <f>P23/METRICS!$C$14*100</f>
        <v/>
      </c>
      <c r="R23" s="3">
        <f>METRICS!$C$14+P23</f>
        <v/>
      </c>
      <c r="S23" s="3">
        <f>MAX($R$3:R23)</f>
        <v/>
      </c>
      <c r="T23" s="3">
        <f>R23-S23</f>
        <v/>
      </c>
      <c r="U23" s="3">
        <f>(R23-S23)/S23*100</f>
        <v/>
      </c>
      <c r="V23" s="3">
        <f>IF(K23&lt;0, (K23/100)^2, 0)</f>
        <v/>
      </c>
    </row>
    <row r="24">
      <c r="A24" s="3">
        <f>TEXT(22, """T""0000")</f>
        <v/>
      </c>
      <c r="B24" s="3">
        <f>RAW_INPUT!A24</f>
        <v/>
      </c>
      <c r="C24" s="3">
        <f>RAW_INPUT!B24</f>
        <v/>
      </c>
      <c r="D24" s="3">
        <f>RAW_INPUT!D24</f>
        <v/>
      </c>
      <c r="E24" s="3">
        <f>D24-C24</f>
        <v/>
      </c>
      <c r="F24" s="3">
        <f>RAW_INPUT!C24</f>
        <v/>
      </c>
      <c r="G24" s="3">
        <f>RAW_INPUT!E24</f>
        <v/>
      </c>
      <c r="H24" s="3">
        <f>I24/F24</f>
        <v/>
      </c>
      <c r="I24" s="3">
        <f>METRICS!$C$14 * 0.02</f>
        <v/>
      </c>
      <c r="J24" s="3">
        <f>(G24-F24)*H24</f>
        <v/>
      </c>
      <c r="K24" s="3">
        <f>(G24-F24)/F24*100</f>
        <v/>
      </c>
      <c r="L24" s="3">
        <f>RAW_INPUT!F24</f>
        <v/>
      </c>
      <c r="M24" s="3">
        <f>K24-L24</f>
        <v/>
      </c>
      <c r="N24" s="3">
        <f>IF(J24&gt;0, 1, 0)</f>
        <v/>
      </c>
      <c r="O24" s="3">
        <f>IF(J24&lt;0, 1, 0)</f>
        <v/>
      </c>
      <c r="P24" s="3">
        <f>SUM($J$3:J24)</f>
        <v/>
      </c>
      <c r="Q24" s="3">
        <f>P24/METRICS!$C$14*100</f>
        <v/>
      </c>
      <c r="R24" s="3">
        <f>METRICS!$C$14+P24</f>
        <v/>
      </c>
      <c r="S24" s="3">
        <f>MAX($R$3:R24)</f>
        <v/>
      </c>
      <c r="T24" s="3">
        <f>R24-S24</f>
        <v/>
      </c>
      <c r="U24" s="3">
        <f>(R24-S24)/S24*100</f>
        <v/>
      </c>
      <c r="V24" s="3">
        <f>IF(K24&lt;0, (K24/100)^2, 0)</f>
        <v/>
      </c>
    </row>
    <row r="25">
      <c r="A25" s="3">
        <f>TEXT(23, """T""0000")</f>
        <v/>
      </c>
      <c r="B25" s="3">
        <f>RAW_INPUT!A25</f>
        <v/>
      </c>
      <c r="C25" s="3">
        <f>RAW_INPUT!B25</f>
        <v/>
      </c>
      <c r="D25" s="3">
        <f>RAW_INPUT!D25</f>
        <v/>
      </c>
      <c r="E25" s="3">
        <f>D25-C25</f>
        <v/>
      </c>
      <c r="F25" s="3">
        <f>RAW_INPUT!C25</f>
        <v/>
      </c>
      <c r="G25" s="3">
        <f>RAW_INPUT!E25</f>
        <v/>
      </c>
      <c r="H25" s="3">
        <f>I25/F25</f>
        <v/>
      </c>
      <c r="I25" s="3">
        <f>METRICS!$C$14 * 0.02</f>
        <v/>
      </c>
      <c r="J25" s="3">
        <f>(G25-F25)*H25</f>
        <v/>
      </c>
      <c r="K25" s="3">
        <f>(G25-F25)/F25*100</f>
        <v/>
      </c>
      <c r="L25" s="3">
        <f>RAW_INPUT!F25</f>
        <v/>
      </c>
      <c r="M25" s="3">
        <f>K25-L25</f>
        <v/>
      </c>
      <c r="N25" s="3">
        <f>IF(J25&gt;0, 1, 0)</f>
        <v/>
      </c>
      <c r="O25" s="3">
        <f>IF(J25&lt;0, 1, 0)</f>
        <v/>
      </c>
      <c r="P25" s="3">
        <f>SUM($J$3:J25)</f>
        <v/>
      </c>
      <c r="Q25" s="3">
        <f>P25/METRICS!$C$14*100</f>
        <v/>
      </c>
      <c r="R25" s="3">
        <f>METRICS!$C$14+P25</f>
        <v/>
      </c>
      <c r="S25" s="3">
        <f>MAX($R$3:R25)</f>
        <v/>
      </c>
      <c r="T25" s="3">
        <f>R25-S25</f>
        <v/>
      </c>
      <c r="U25" s="3">
        <f>(R25-S25)/S25*100</f>
        <v/>
      </c>
      <c r="V25" s="3">
        <f>IF(K25&lt;0, (K25/100)^2, 0)</f>
        <v/>
      </c>
    </row>
    <row r="26">
      <c r="A26" s="3">
        <f>TEXT(24, """T""0000")</f>
        <v/>
      </c>
      <c r="B26" s="3">
        <f>RAW_INPUT!A26</f>
        <v/>
      </c>
      <c r="C26" s="3">
        <f>RAW_INPUT!B26</f>
        <v/>
      </c>
      <c r="D26" s="3">
        <f>RAW_INPUT!D26</f>
        <v/>
      </c>
      <c r="E26" s="3">
        <f>D26-C26</f>
        <v/>
      </c>
      <c r="F26" s="3">
        <f>RAW_INPUT!C26</f>
        <v/>
      </c>
      <c r="G26" s="3">
        <f>RAW_INPUT!E26</f>
        <v/>
      </c>
      <c r="H26" s="3">
        <f>I26/F26</f>
        <v/>
      </c>
      <c r="I26" s="3">
        <f>METRICS!$C$14 * 0.02</f>
        <v/>
      </c>
      <c r="J26" s="3">
        <f>(G26-F26)*H26</f>
        <v/>
      </c>
      <c r="K26" s="3">
        <f>(G26-F26)/F26*100</f>
        <v/>
      </c>
      <c r="L26" s="3">
        <f>RAW_INPUT!F26</f>
        <v/>
      </c>
      <c r="M26" s="3">
        <f>K26-L26</f>
        <v/>
      </c>
      <c r="N26" s="3">
        <f>IF(J26&gt;0, 1, 0)</f>
        <v/>
      </c>
      <c r="O26" s="3">
        <f>IF(J26&lt;0, 1, 0)</f>
        <v/>
      </c>
      <c r="P26" s="3">
        <f>SUM($J$3:J26)</f>
        <v/>
      </c>
      <c r="Q26" s="3">
        <f>P26/METRICS!$C$14*100</f>
        <v/>
      </c>
      <c r="R26" s="3">
        <f>METRICS!$C$14+P26</f>
        <v/>
      </c>
      <c r="S26" s="3">
        <f>MAX($R$3:R26)</f>
        <v/>
      </c>
      <c r="T26" s="3">
        <f>R26-S26</f>
        <v/>
      </c>
      <c r="U26" s="3">
        <f>(R26-S26)/S26*100</f>
        <v/>
      </c>
      <c r="V26" s="3">
        <f>IF(K26&lt;0, (K26/100)^2, 0)</f>
        <v/>
      </c>
    </row>
    <row r="27">
      <c r="A27" s="3">
        <f>TEXT(25, """T""0000")</f>
        <v/>
      </c>
      <c r="B27" s="3">
        <f>RAW_INPUT!A27</f>
        <v/>
      </c>
      <c r="C27" s="3">
        <f>RAW_INPUT!B27</f>
        <v/>
      </c>
      <c r="D27" s="3">
        <f>RAW_INPUT!D27</f>
        <v/>
      </c>
      <c r="E27" s="3">
        <f>D27-C27</f>
        <v/>
      </c>
      <c r="F27" s="3">
        <f>RAW_INPUT!C27</f>
        <v/>
      </c>
      <c r="G27" s="3">
        <f>RAW_INPUT!E27</f>
        <v/>
      </c>
      <c r="H27" s="3">
        <f>I27/F27</f>
        <v/>
      </c>
      <c r="I27" s="3">
        <f>METRICS!$C$14 * 0.02</f>
        <v/>
      </c>
      <c r="J27" s="3">
        <f>(G27-F27)*H27</f>
        <v/>
      </c>
      <c r="K27" s="3">
        <f>(G27-F27)/F27*100</f>
        <v/>
      </c>
      <c r="L27" s="3">
        <f>RAW_INPUT!F27</f>
        <v/>
      </c>
      <c r="M27" s="3">
        <f>K27-L27</f>
        <v/>
      </c>
      <c r="N27" s="3">
        <f>IF(J27&gt;0, 1, 0)</f>
        <v/>
      </c>
      <c r="O27" s="3">
        <f>IF(J27&lt;0, 1, 0)</f>
        <v/>
      </c>
      <c r="P27" s="3">
        <f>SUM($J$3:J27)</f>
        <v/>
      </c>
      <c r="Q27" s="3">
        <f>P27/METRICS!$C$14*100</f>
        <v/>
      </c>
      <c r="R27" s="3">
        <f>METRICS!$C$14+P27</f>
        <v/>
      </c>
      <c r="S27" s="3">
        <f>MAX($R$3:R27)</f>
        <v/>
      </c>
      <c r="T27" s="3">
        <f>R27-S27</f>
        <v/>
      </c>
      <c r="U27" s="3">
        <f>(R27-S27)/S27*100</f>
        <v/>
      </c>
      <c r="V27" s="3">
        <f>IF(K27&lt;0, (K27/100)^2, 0)</f>
        <v/>
      </c>
    </row>
    <row r="28">
      <c r="A28" s="3">
        <f>TEXT(26, """T""0000")</f>
        <v/>
      </c>
      <c r="B28" s="3">
        <f>RAW_INPUT!A28</f>
        <v/>
      </c>
      <c r="C28" s="3">
        <f>RAW_INPUT!B28</f>
        <v/>
      </c>
      <c r="D28" s="3">
        <f>RAW_INPUT!D28</f>
        <v/>
      </c>
      <c r="E28" s="3">
        <f>D28-C28</f>
        <v/>
      </c>
      <c r="F28" s="3">
        <f>RAW_INPUT!C28</f>
        <v/>
      </c>
      <c r="G28" s="3">
        <f>RAW_INPUT!E28</f>
        <v/>
      </c>
      <c r="H28" s="3">
        <f>I28/F28</f>
        <v/>
      </c>
      <c r="I28" s="3">
        <f>METRICS!$C$14 * 0.02</f>
        <v/>
      </c>
      <c r="J28" s="3">
        <f>(G28-F28)*H28</f>
        <v/>
      </c>
      <c r="K28" s="3">
        <f>(G28-F28)/F28*100</f>
        <v/>
      </c>
      <c r="L28" s="3">
        <f>RAW_INPUT!F28</f>
        <v/>
      </c>
      <c r="M28" s="3">
        <f>K28-L28</f>
        <v/>
      </c>
      <c r="N28" s="3">
        <f>IF(J28&gt;0, 1, 0)</f>
        <v/>
      </c>
      <c r="O28" s="3">
        <f>IF(J28&lt;0, 1, 0)</f>
        <v/>
      </c>
      <c r="P28" s="3">
        <f>SUM($J$3:J28)</f>
        <v/>
      </c>
      <c r="Q28" s="3">
        <f>P28/METRICS!$C$14*100</f>
        <v/>
      </c>
      <c r="R28" s="3">
        <f>METRICS!$C$14+P28</f>
        <v/>
      </c>
      <c r="S28" s="3">
        <f>MAX($R$3:R28)</f>
        <v/>
      </c>
      <c r="T28" s="3">
        <f>R28-S28</f>
        <v/>
      </c>
      <c r="U28" s="3">
        <f>(R28-S28)/S28*100</f>
        <v/>
      </c>
      <c r="V28" s="3">
        <f>IF(K28&lt;0, (K28/100)^2, 0)</f>
        <v/>
      </c>
    </row>
    <row r="29">
      <c r="A29" s="3">
        <f>TEXT(27, """T""0000")</f>
        <v/>
      </c>
      <c r="B29" s="3">
        <f>RAW_INPUT!A29</f>
        <v/>
      </c>
      <c r="C29" s="3">
        <f>RAW_INPUT!B29</f>
        <v/>
      </c>
      <c r="D29" s="3">
        <f>RAW_INPUT!D29</f>
        <v/>
      </c>
      <c r="E29" s="3">
        <f>D29-C29</f>
        <v/>
      </c>
      <c r="F29" s="3">
        <f>RAW_INPUT!C29</f>
        <v/>
      </c>
      <c r="G29" s="3">
        <f>RAW_INPUT!E29</f>
        <v/>
      </c>
      <c r="H29" s="3">
        <f>I29/F29</f>
        <v/>
      </c>
      <c r="I29" s="3">
        <f>METRICS!$C$14 * 0.02</f>
        <v/>
      </c>
      <c r="J29" s="3">
        <f>(G29-F29)*H29</f>
        <v/>
      </c>
      <c r="K29" s="3">
        <f>(G29-F29)/F29*100</f>
        <v/>
      </c>
      <c r="L29" s="3">
        <f>RAW_INPUT!F29</f>
        <v/>
      </c>
      <c r="M29" s="3">
        <f>K29-L29</f>
        <v/>
      </c>
      <c r="N29" s="3">
        <f>IF(J29&gt;0, 1, 0)</f>
        <v/>
      </c>
      <c r="O29" s="3">
        <f>IF(J29&lt;0, 1, 0)</f>
        <v/>
      </c>
      <c r="P29" s="3">
        <f>SUM($J$3:J29)</f>
        <v/>
      </c>
      <c r="Q29" s="3">
        <f>P29/METRICS!$C$14*100</f>
        <v/>
      </c>
      <c r="R29" s="3">
        <f>METRICS!$C$14+P29</f>
        <v/>
      </c>
      <c r="S29" s="3">
        <f>MAX($R$3:R29)</f>
        <v/>
      </c>
      <c r="T29" s="3">
        <f>R29-S29</f>
        <v/>
      </c>
      <c r="U29" s="3">
        <f>(R29-S29)/S29*100</f>
        <v/>
      </c>
      <c r="V29" s="3">
        <f>IF(K29&lt;0, (K29/100)^2, 0)</f>
        <v/>
      </c>
    </row>
    <row r="30">
      <c r="A30" s="3">
        <f>TEXT(28, """T""0000")</f>
        <v/>
      </c>
      <c r="B30" s="3">
        <f>RAW_INPUT!A30</f>
        <v/>
      </c>
      <c r="C30" s="3">
        <f>RAW_INPUT!B30</f>
        <v/>
      </c>
      <c r="D30" s="3">
        <f>RAW_INPUT!D30</f>
        <v/>
      </c>
      <c r="E30" s="3">
        <f>D30-C30</f>
        <v/>
      </c>
      <c r="F30" s="3">
        <f>RAW_INPUT!C30</f>
        <v/>
      </c>
      <c r="G30" s="3">
        <f>RAW_INPUT!E30</f>
        <v/>
      </c>
      <c r="H30" s="3">
        <f>I30/F30</f>
        <v/>
      </c>
      <c r="I30" s="3">
        <f>METRICS!$C$14 * 0.02</f>
        <v/>
      </c>
      <c r="J30" s="3">
        <f>(G30-F30)*H30</f>
        <v/>
      </c>
      <c r="K30" s="3">
        <f>(G30-F30)/F30*100</f>
        <v/>
      </c>
      <c r="L30" s="3">
        <f>RAW_INPUT!F30</f>
        <v/>
      </c>
      <c r="M30" s="3">
        <f>K30-L30</f>
        <v/>
      </c>
      <c r="N30" s="3">
        <f>IF(J30&gt;0, 1, 0)</f>
        <v/>
      </c>
      <c r="O30" s="3">
        <f>IF(J30&lt;0, 1, 0)</f>
        <v/>
      </c>
      <c r="P30" s="3">
        <f>SUM($J$3:J30)</f>
        <v/>
      </c>
      <c r="Q30" s="3">
        <f>P30/METRICS!$C$14*100</f>
        <v/>
      </c>
      <c r="R30" s="3">
        <f>METRICS!$C$14+P30</f>
        <v/>
      </c>
      <c r="S30" s="3">
        <f>MAX($R$3:R30)</f>
        <v/>
      </c>
      <c r="T30" s="3">
        <f>R30-S30</f>
        <v/>
      </c>
      <c r="U30" s="3">
        <f>(R30-S30)/S30*100</f>
        <v/>
      </c>
      <c r="V30" s="3">
        <f>IF(K30&lt;0, (K30/100)^2, 0)</f>
        <v/>
      </c>
    </row>
    <row r="31">
      <c r="A31" s="3">
        <f>TEXT(29, """T""0000")</f>
        <v/>
      </c>
      <c r="B31" s="3">
        <f>RAW_INPUT!A31</f>
        <v/>
      </c>
      <c r="C31" s="3">
        <f>RAW_INPUT!B31</f>
        <v/>
      </c>
      <c r="D31" s="3">
        <f>RAW_INPUT!D31</f>
        <v/>
      </c>
      <c r="E31" s="3">
        <f>D31-C31</f>
        <v/>
      </c>
      <c r="F31" s="3">
        <f>RAW_INPUT!C31</f>
        <v/>
      </c>
      <c r="G31" s="3">
        <f>RAW_INPUT!E31</f>
        <v/>
      </c>
      <c r="H31" s="3">
        <f>I31/F31</f>
        <v/>
      </c>
      <c r="I31" s="3">
        <f>METRICS!$C$14 * 0.02</f>
        <v/>
      </c>
      <c r="J31" s="3">
        <f>(G31-F31)*H31</f>
        <v/>
      </c>
      <c r="K31" s="3">
        <f>(G31-F31)/F31*100</f>
        <v/>
      </c>
      <c r="L31" s="3">
        <f>RAW_INPUT!F31</f>
        <v/>
      </c>
      <c r="M31" s="3">
        <f>K31-L31</f>
        <v/>
      </c>
      <c r="N31" s="3">
        <f>IF(J31&gt;0, 1, 0)</f>
        <v/>
      </c>
      <c r="O31" s="3">
        <f>IF(J31&lt;0, 1, 0)</f>
        <v/>
      </c>
      <c r="P31" s="3">
        <f>SUM($J$3:J31)</f>
        <v/>
      </c>
      <c r="Q31" s="3">
        <f>P31/METRICS!$C$14*100</f>
        <v/>
      </c>
      <c r="R31" s="3">
        <f>METRICS!$C$14+P31</f>
        <v/>
      </c>
      <c r="S31" s="3">
        <f>MAX($R$3:R31)</f>
        <v/>
      </c>
      <c r="T31" s="3">
        <f>R31-S31</f>
        <v/>
      </c>
      <c r="U31" s="3">
        <f>(R31-S31)/S31*100</f>
        <v/>
      </c>
      <c r="V31" s="3">
        <f>IF(K31&lt;0, (K31/100)^2, 0)</f>
        <v/>
      </c>
    </row>
    <row r="32">
      <c r="A32" s="3">
        <f>TEXT(30, """T""0000")</f>
        <v/>
      </c>
      <c r="B32" s="3">
        <f>RAW_INPUT!A32</f>
        <v/>
      </c>
      <c r="C32" s="3">
        <f>RAW_INPUT!B32</f>
        <v/>
      </c>
      <c r="D32" s="3">
        <f>RAW_INPUT!D32</f>
        <v/>
      </c>
      <c r="E32" s="3">
        <f>D32-C32</f>
        <v/>
      </c>
      <c r="F32" s="3">
        <f>RAW_INPUT!C32</f>
        <v/>
      </c>
      <c r="G32" s="3">
        <f>RAW_INPUT!E32</f>
        <v/>
      </c>
      <c r="H32" s="3">
        <f>I32/F32</f>
        <v/>
      </c>
      <c r="I32" s="3">
        <f>METRICS!$C$14 * 0.02</f>
        <v/>
      </c>
      <c r="J32" s="3">
        <f>(G32-F32)*H32</f>
        <v/>
      </c>
      <c r="K32" s="3">
        <f>(G32-F32)/F32*100</f>
        <v/>
      </c>
      <c r="L32" s="3">
        <f>RAW_INPUT!F32</f>
        <v/>
      </c>
      <c r="M32" s="3">
        <f>K32-L32</f>
        <v/>
      </c>
      <c r="N32" s="3">
        <f>IF(J32&gt;0, 1, 0)</f>
        <v/>
      </c>
      <c r="O32" s="3">
        <f>IF(J32&lt;0, 1, 0)</f>
        <v/>
      </c>
      <c r="P32" s="3">
        <f>SUM($J$3:J32)</f>
        <v/>
      </c>
      <c r="Q32" s="3">
        <f>P32/METRICS!$C$14*100</f>
        <v/>
      </c>
      <c r="R32" s="3">
        <f>METRICS!$C$14+P32</f>
        <v/>
      </c>
      <c r="S32" s="3">
        <f>MAX($R$3:R32)</f>
        <v/>
      </c>
      <c r="T32" s="3">
        <f>R32-S32</f>
        <v/>
      </c>
      <c r="U32" s="3">
        <f>(R32-S32)/S32*100</f>
        <v/>
      </c>
      <c r="V32" s="3">
        <f>IF(K32&lt;0, (K32/100)^2, 0)</f>
        <v/>
      </c>
    </row>
    <row r="33">
      <c r="A33" s="3">
        <f>TEXT(31, """T""0000")</f>
        <v/>
      </c>
      <c r="B33" s="3">
        <f>RAW_INPUT!A33</f>
        <v/>
      </c>
      <c r="C33" s="3">
        <f>RAW_INPUT!B33</f>
        <v/>
      </c>
      <c r="D33" s="3">
        <f>RAW_INPUT!D33</f>
        <v/>
      </c>
      <c r="E33" s="3">
        <f>D33-C33</f>
        <v/>
      </c>
      <c r="F33" s="3">
        <f>RAW_INPUT!C33</f>
        <v/>
      </c>
      <c r="G33" s="3">
        <f>RAW_INPUT!E33</f>
        <v/>
      </c>
      <c r="H33" s="3">
        <f>I33/F33</f>
        <v/>
      </c>
      <c r="I33" s="3">
        <f>METRICS!$C$14 * 0.02</f>
        <v/>
      </c>
      <c r="J33" s="3">
        <f>(G33-F33)*H33</f>
        <v/>
      </c>
      <c r="K33" s="3">
        <f>(G33-F33)/F33*100</f>
        <v/>
      </c>
      <c r="L33" s="3">
        <f>RAW_INPUT!F33</f>
        <v/>
      </c>
      <c r="M33" s="3">
        <f>K33-L33</f>
        <v/>
      </c>
      <c r="N33" s="3">
        <f>IF(J33&gt;0, 1, 0)</f>
        <v/>
      </c>
      <c r="O33" s="3">
        <f>IF(J33&lt;0, 1, 0)</f>
        <v/>
      </c>
      <c r="P33" s="3">
        <f>SUM($J$3:J33)</f>
        <v/>
      </c>
      <c r="Q33" s="3">
        <f>P33/METRICS!$C$14*100</f>
        <v/>
      </c>
      <c r="R33" s="3">
        <f>METRICS!$C$14+P33</f>
        <v/>
      </c>
      <c r="S33" s="3">
        <f>MAX($R$3:R33)</f>
        <v/>
      </c>
      <c r="T33" s="3">
        <f>R33-S33</f>
        <v/>
      </c>
      <c r="U33" s="3">
        <f>(R33-S33)/S33*100</f>
        <v/>
      </c>
      <c r="V33" s="3">
        <f>IF(K33&lt;0, (K33/100)^2, 0)</f>
        <v/>
      </c>
    </row>
    <row r="34">
      <c r="A34" s="3">
        <f>TEXT(32, """T""0000")</f>
        <v/>
      </c>
      <c r="B34" s="3">
        <f>RAW_INPUT!A34</f>
        <v/>
      </c>
      <c r="C34" s="3">
        <f>RAW_INPUT!B34</f>
        <v/>
      </c>
      <c r="D34" s="3">
        <f>RAW_INPUT!D34</f>
        <v/>
      </c>
      <c r="E34" s="3">
        <f>D34-C34</f>
        <v/>
      </c>
      <c r="F34" s="3">
        <f>RAW_INPUT!C34</f>
        <v/>
      </c>
      <c r="G34" s="3">
        <f>RAW_INPUT!E34</f>
        <v/>
      </c>
      <c r="H34" s="3">
        <f>I34/F34</f>
        <v/>
      </c>
      <c r="I34" s="3">
        <f>METRICS!$C$14 * 0.02</f>
        <v/>
      </c>
      <c r="J34" s="3">
        <f>(G34-F34)*H34</f>
        <v/>
      </c>
      <c r="K34" s="3">
        <f>(G34-F34)/F34*100</f>
        <v/>
      </c>
      <c r="L34" s="3">
        <f>RAW_INPUT!F34</f>
        <v/>
      </c>
      <c r="M34" s="3">
        <f>K34-L34</f>
        <v/>
      </c>
      <c r="N34" s="3">
        <f>IF(J34&gt;0, 1, 0)</f>
        <v/>
      </c>
      <c r="O34" s="3">
        <f>IF(J34&lt;0, 1, 0)</f>
        <v/>
      </c>
      <c r="P34" s="3">
        <f>SUM($J$3:J34)</f>
        <v/>
      </c>
      <c r="Q34" s="3">
        <f>P34/METRICS!$C$14*100</f>
        <v/>
      </c>
      <c r="R34" s="3">
        <f>METRICS!$C$14+P34</f>
        <v/>
      </c>
      <c r="S34" s="3">
        <f>MAX($R$3:R34)</f>
        <v/>
      </c>
      <c r="T34" s="3">
        <f>R34-S34</f>
        <v/>
      </c>
      <c r="U34" s="3">
        <f>(R34-S34)/S34*100</f>
        <v/>
      </c>
      <c r="V34" s="3">
        <f>IF(K34&lt;0, (K34/100)^2, 0)</f>
        <v/>
      </c>
    </row>
    <row r="35">
      <c r="A35" s="3">
        <f>TEXT(33, """T""0000")</f>
        <v/>
      </c>
      <c r="B35" s="3">
        <f>RAW_INPUT!A35</f>
        <v/>
      </c>
      <c r="C35" s="3">
        <f>RAW_INPUT!B35</f>
        <v/>
      </c>
      <c r="D35" s="3">
        <f>RAW_INPUT!D35</f>
        <v/>
      </c>
      <c r="E35" s="3">
        <f>D35-C35</f>
        <v/>
      </c>
      <c r="F35" s="3">
        <f>RAW_INPUT!C35</f>
        <v/>
      </c>
      <c r="G35" s="3">
        <f>RAW_INPUT!E35</f>
        <v/>
      </c>
      <c r="H35" s="3">
        <f>I35/F35</f>
        <v/>
      </c>
      <c r="I35" s="3">
        <f>METRICS!$C$14 * 0.02</f>
        <v/>
      </c>
      <c r="J35" s="3">
        <f>(G35-F35)*H35</f>
        <v/>
      </c>
      <c r="K35" s="3">
        <f>(G35-F35)/F35*100</f>
        <v/>
      </c>
      <c r="L35" s="3">
        <f>RAW_INPUT!F35</f>
        <v/>
      </c>
      <c r="M35" s="3">
        <f>K35-L35</f>
        <v/>
      </c>
      <c r="N35" s="3">
        <f>IF(J35&gt;0, 1, 0)</f>
        <v/>
      </c>
      <c r="O35" s="3">
        <f>IF(J35&lt;0, 1, 0)</f>
        <v/>
      </c>
      <c r="P35" s="3">
        <f>SUM($J$3:J35)</f>
        <v/>
      </c>
      <c r="Q35" s="3">
        <f>P35/METRICS!$C$14*100</f>
        <v/>
      </c>
      <c r="R35" s="3">
        <f>METRICS!$C$14+P35</f>
        <v/>
      </c>
      <c r="S35" s="3">
        <f>MAX($R$3:R35)</f>
        <v/>
      </c>
      <c r="T35" s="3">
        <f>R35-S35</f>
        <v/>
      </c>
      <c r="U35" s="3">
        <f>(R35-S35)/S35*100</f>
        <v/>
      </c>
      <c r="V35" s="3">
        <f>IF(K35&lt;0, (K35/100)^2, 0)</f>
        <v/>
      </c>
    </row>
    <row r="36">
      <c r="A36" s="3">
        <f>TEXT(34, """T""0000")</f>
        <v/>
      </c>
      <c r="B36" s="3">
        <f>RAW_INPUT!A36</f>
        <v/>
      </c>
      <c r="C36" s="3">
        <f>RAW_INPUT!B36</f>
        <v/>
      </c>
      <c r="D36" s="3">
        <f>RAW_INPUT!D36</f>
        <v/>
      </c>
      <c r="E36" s="3">
        <f>D36-C36</f>
        <v/>
      </c>
      <c r="F36" s="3">
        <f>RAW_INPUT!C36</f>
        <v/>
      </c>
      <c r="G36" s="3">
        <f>RAW_INPUT!E36</f>
        <v/>
      </c>
      <c r="H36" s="3">
        <f>I36/F36</f>
        <v/>
      </c>
      <c r="I36" s="3">
        <f>METRICS!$C$14 * 0.02</f>
        <v/>
      </c>
      <c r="J36" s="3">
        <f>(G36-F36)*H36</f>
        <v/>
      </c>
      <c r="K36" s="3">
        <f>(G36-F36)/F36*100</f>
        <v/>
      </c>
      <c r="L36" s="3">
        <f>RAW_INPUT!F36</f>
        <v/>
      </c>
      <c r="M36" s="3">
        <f>K36-L36</f>
        <v/>
      </c>
      <c r="N36" s="3">
        <f>IF(J36&gt;0, 1, 0)</f>
        <v/>
      </c>
      <c r="O36" s="3">
        <f>IF(J36&lt;0, 1, 0)</f>
        <v/>
      </c>
      <c r="P36" s="3">
        <f>SUM($J$3:J36)</f>
        <v/>
      </c>
      <c r="Q36" s="3">
        <f>P36/METRICS!$C$14*100</f>
        <v/>
      </c>
      <c r="R36" s="3">
        <f>METRICS!$C$14+P36</f>
        <v/>
      </c>
      <c r="S36" s="3">
        <f>MAX($R$3:R36)</f>
        <v/>
      </c>
      <c r="T36" s="3">
        <f>R36-S36</f>
        <v/>
      </c>
      <c r="U36" s="3">
        <f>(R36-S36)/S36*100</f>
        <v/>
      </c>
      <c r="V36" s="3">
        <f>IF(K36&lt;0, (K36/100)^2, 0)</f>
        <v/>
      </c>
    </row>
    <row r="37">
      <c r="A37" s="3">
        <f>TEXT(35, """T""0000")</f>
        <v/>
      </c>
      <c r="B37" s="3">
        <f>RAW_INPUT!A37</f>
        <v/>
      </c>
      <c r="C37" s="3">
        <f>RAW_INPUT!B37</f>
        <v/>
      </c>
      <c r="D37" s="3">
        <f>RAW_INPUT!D37</f>
        <v/>
      </c>
      <c r="E37" s="3">
        <f>D37-C37</f>
        <v/>
      </c>
      <c r="F37" s="3">
        <f>RAW_INPUT!C37</f>
        <v/>
      </c>
      <c r="G37" s="3">
        <f>RAW_INPUT!E37</f>
        <v/>
      </c>
      <c r="H37" s="3">
        <f>I37/F37</f>
        <v/>
      </c>
      <c r="I37" s="3">
        <f>METRICS!$C$14 * 0.02</f>
        <v/>
      </c>
      <c r="J37" s="3">
        <f>(G37-F37)*H37</f>
        <v/>
      </c>
      <c r="K37" s="3">
        <f>(G37-F37)/F37*100</f>
        <v/>
      </c>
      <c r="L37" s="3">
        <f>RAW_INPUT!F37</f>
        <v/>
      </c>
      <c r="M37" s="3">
        <f>K37-L37</f>
        <v/>
      </c>
      <c r="N37" s="3">
        <f>IF(J37&gt;0, 1, 0)</f>
        <v/>
      </c>
      <c r="O37" s="3">
        <f>IF(J37&lt;0, 1, 0)</f>
        <v/>
      </c>
      <c r="P37" s="3">
        <f>SUM($J$3:J37)</f>
        <v/>
      </c>
      <c r="Q37" s="3">
        <f>P37/METRICS!$C$14*100</f>
        <v/>
      </c>
      <c r="R37" s="3">
        <f>METRICS!$C$14+P37</f>
        <v/>
      </c>
      <c r="S37" s="3">
        <f>MAX($R$3:R37)</f>
        <v/>
      </c>
      <c r="T37" s="3">
        <f>R37-S37</f>
        <v/>
      </c>
      <c r="U37" s="3">
        <f>(R37-S37)/S37*100</f>
        <v/>
      </c>
      <c r="V37" s="3">
        <f>IF(K37&lt;0, (K37/100)^2, 0)</f>
        <v/>
      </c>
    </row>
    <row r="38">
      <c r="A38" s="3">
        <f>TEXT(36, """T""0000")</f>
        <v/>
      </c>
      <c r="B38" s="3">
        <f>RAW_INPUT!A38</f>
        <v/>
      </c>
      <c r="C38" s="3">
        <f>RAW_INPUT!B38</f>
        <v/>
      </c>
      <c r="D38" s="3">
        <f>RAW_INPUT!D38</f>
        <v/>
      </c>
      <c r="E38" s="3">
        <f>D38-C38</f>
        <v/>
      </c>
      <c r="F38" s="3">
        <f>RAW_INPUT!C38</f>
        <v/>
      </c>
      <c r="G38" s="3">
        <f>RAW_INPUT!E38</f>
        <v/>
      </c>
      <c r="H38" s="3">
        <f>I38/F38</f>
        <v/>
      </c>
      <c r="I38" s="3">
        <f>METRICS!$C$14 * 0.02</f>
        <v/>
      </c>
      <c r="J38" s="3">
        <f>(G38-F38)*H38</f>
        <v/>
      </c>
      <c r="K38" s="3">
        <f>(G38-F38)/F38*100</f>
        <v/>
      </c>
      <c r="L38" s="3">
        <f>RAW_INPUT!F38</f>
        <v/>
      </c>
      <c r="M38" s="3">
        <f>K38-L38</f>
        <v/>
      </c>
      <c r="N38" s="3">
        <f>IF(J38&gt;0, 1, 0)</f>
        <v/>
      </c>
      <c r="O38" s="3">
        <f>IF(J38&lt;0, 1, 0)</f>
        <v/>
      </c>
      <c r="P38" s="3">
        <f>SUM($J$3:J38)</f>
        <v/>
      </c>
      <c r="Q38" s="3">
        <f>P38/METRICS!$C$14*100</f>
        <v/>
      </c>
      <c r="R38" s="3">
        <f>METRICS!$C$14+P38</f>
        <v/>
      </c>
      <c r="S38" s="3">
        <f>MAX($R$3:R38)</f>
        <v/>
      </c>
      <c r="T38" s="3">
        <f>R38-S38</f>
        <v/>
      </c>
      <c r="U38" s="3">
        <f>(R38-S38)/S38*100</f>
        <v/>
      </c>
      <c r="V38" s="3">
        <f>IF(K38&lt;0, (K38/100)^2, 0)</f>
        <v/>
      </c>
    </row>
    <row r="39">
      <c r="A39" s="3">
        <f>TEXT(37, """T""0000")</f>
        <v/>
      </c>
      <c r="B39" s="3">
        <f>RAW_INPUT!A39</f>
        <v/>
      </c>
      <c r="C39" s="3">
        <f>RAW_INPUT!B39</f>
        <v/>
      </c>
      <c r="D39" s="3">
        <f>RAW_INPUT!D39</f>
        <v/>
      </c>
      <c r="E39" s="3">
        <f>D39-C39</f>
        <v/>
      </c>
      <c r="F39" s="3">
        <f>RAW_INPUT!C39</f>
        <v/>
      </c>
      <c r="G39" s="3">
        <f>RAW_INPUT!E39</f>
        <v/>
      </c>
      <c r="H39" s="3">
        <f>I39/F39</f>
        <v/>
      </c>
      <c r="I39" s="3">
        <f>METRICS!$C$14 * 0.02</f>
        <v/>
      </c>
      <c r="J39" s="3">
        <f>(G39-F39)*H39</f>
        <v/>
      </c>
      <c r="K39" s="3">
        <f>(G39-F39)/F39*100</f>
        <v/>
      </c>
      <c r="L39" s="3">
        <f>RAW_INPUT!F39</f>
        <v/>
      </c>
      <c r="M39" s="3">
        <f>K39-L39</f>
        <v/>
      </c>
      <c r="N39" s="3">
        <f>IF(J39&gt;0, 1, 0)</f>
        <v/>
      </c>
      <c r="O39" s="3">
        <f>IF(J39&lt;0, 1, 0)</f>
        <v/>
      </c>
      <c r="P39" s="3">
        <f>SUM($J$3:J39)</f>
        <v/>
      </c>
      <c r="Q39" s="3">
        <f>P39/METRICS!$C$14*100</f>
        <v/>
      </c>
      <c r="R39" s="3">
        <f>METRICS!$C$14+P39</f>
        <v/>
      </c>
      <c r="S39" s="3">
        <f>MAX($R$3:R39)</f>
        <v/>
      </c>
      <c r="T39" s="3">
        <f>R39-S39</f>
        <v/>
      </c>
      <c r="U39" s="3">
        <f>(R39-S39)/S39*100</f>
        <v/>
      </c>
      <c r="V39" s="3">
        <f>IF(K39&lt;0, (K39/100)^2, 0)</f>
        <v/>
      </c>
    </row>
    <row r="40">
      <c r="A40" s="3">
        <f>TEXT(38, """T""0000")</f>
        <v/>
      </c>
      <c r="B40" s="3">
        <f>RAW_INPUT!A40</f>
        <v/>
      </c>
      <c r="C40" s="3">
        <f>RAW_INPUT!B40</f>
        <v/>
      </c>
      <c r="D40" s="3">
        <f>RAW_INPUT!D40</f>
        <v/>
      </c>
      <c r="E40" s="3">
        <f>D40-C40</f>
        <v/>
      </c>
      <c r="F40" s="3">
        <f>RAW_INPUT!C40</f>
        <v/>
      </c>
      <c r="G40" s="3">
        <f>RAW_INPUT!E40</f>
        <v/>
      </c>
      <c r="H40" s="3">
        <f>I40/F40</f>
        <v/>
      </c>
      <c r="I40" s="3">
        <f>METRICS!$C$14 * 0.02</f>
        <v/>
      </c>
      <c r="J40" s="3">
        <f>(G40-F40)*H40</f>
        <v/>
      </c>
      <c r="K40" s="3">
        <f>(G40-F40)/F40*100</f>
        <v/>
      </c>
      <c r="L40" s="3">
        <f>RAW_INPUT!F40</f>
        <v/>
      </c>
      <c r="M40" s="3">
        <f>K40-L40</f>
        <v/>
      </c>
      <c r="N40" s="3">
        <f>IF(J40&gt;0, 1, 0)</f>
        <v/>
      </c>
      <c r="O40" s="3">
        <f>IF(J40&lt;0, 1, 0)</f>
        <v/>
      </c>
      <c r="P40" s="3">
        <f>SUM($J$3:J40)</f>
        <v/>
      </c>
      <c r="Q40" s="3">
        <f>P40/METRICS!$C$14*100</f>
        <v/>
      </c>
      <c r="R40" s="3">
        <f>METRICS!$C$14+P40</f>
        <v/>
      </c>
      <c r="S40" s="3">
        <f>MAX($R$3:R40)</f>
        <v/>
      </c>
      <c r="T40" s="3">
        <f>R40-S40</f>
        <v/>
      </c>
      <c r="U40" s="3">
        <f>(R40-S40)/S40*100</f>
        <v/>
      </c>
      <c r="V40" s="3">
        <f>IF(K40&lt;0, (K40/100)^2, 0)</f>
        <v/>
      </c>
    </row>
    <row r="41">
      <c r="A41" s="3">
        <f>TEXT(39, """T""0000")</f>
        <v/>
      </c>
      <c r="B41" s="3">
        <f>RAW_INPUT!A41</f>
        <v/>
      </c>
      <c r="C41" s="3">
        <f>RAW_INPUT!B41</f>
        <v/>
      </c>
      <c r="D41" s="3">
        <f>RAW_INPUT!D41</f>
        <v/>
      </c>
      <c r="E41" s="3">
        <f>D41-C41</f>
        <v/>
      </c>
      <c r="F41" s="3">
        <f>RAW_INPUT!C41</f>
        <v/>
      </c>
      <c r="G41" s="3">
        <f>RAW_INPUT!E41</f>
        <v/>
      </c>
      <c r="H41" s="3">
        <f>I41/F41</f>
        <v/>
      </c>
      <c r="I41" s="3">
        <f>METRICS!$C$14 * 0.02</f>
        <v/>
      </c>
      <c r="J41" s="3">
        <f>(G41-F41)*H41</f>
        <v/>
      </c>
      <c r="K41" s="3">
        <f>(G41-F41)/F41*100</f>
        <v/>
      </c>
      <c r="L41" s="3">
        <f>RAW_INPUT!F41</f>
        <v/>
      </c>
      <c r="M41" s="3">
        <f>K41-L41</f>
        <v/>
      </c>
      <c r="N41" s="3">
        <f>IF(J41&gt;0, 1, 0)</f>
        <v/>
      </c>
      <c r="O41" s="3">
        <f>IF(J41&lt;0, 1, 0)</f>
        <v/>
      </c>
      <c r="P41" s="3">
        <f>SUM($J$3:J41)</f>
        <v/>
      </c>
      <c r="Q41" s="3">
        <f>P41/METRICS!$C$14*100</f>
        <v/>
      </c>
      <c r="R41" s="3">
        <f>METRICS!$C$14+P41</f>
        <v/>
      </c>
      <c r="S41" s="3">
        <f>MAX($R$3:R41)</f>
        <v/>
      </c>
      <c r="T41" s="3">
        <f>R41-S41</f>
        <v/>
      </c>
      <c r="U41" s="3">
        <f>(R41-S41)/S41*100</f>
        <v/>
      </c>
      <c r="V41" s="3">
        <f>IF(K41&lt;0, (K41/100)^2, 0)</f>
        <v/>
      </c>
    </row>
    <row r="42">
      <c r="A42" s="3">
        <f>TEXT(40, """T""0000")</f>
        <v/>
      </c>
      <c r="B42" s="3">
        <f>RAW_INPUT!A42</f>
        <v/>
      </c>
      <c r="C42" s="3">
        <f>RAW_INPUT!B42</f>
        <v/>
      </c>
      <c r="D42" s="3">
        <f>RAW_INPUT!D42</f>
        <v/>
      </c>
      <c r="E42" s="3">
        <f>D42-C42</f>
        <v/>
      </c>
      <c r="F42" s="3">
        <f>RAW_INPUT!C42</f>
        <v/>
      </c>
      <c r="G42" s="3">
        <f>RAW_INPUT!E42</f>
        <v/>
      </c>
      <c r="H42" s="3">
        <f>I42/F42</f>
        <v/>
      </c>
      <c r="I42" s="3">
        <f>METRICS!$C$14 * 0.02</f>
        <v/>
      </c>
      <c r="J42" s="3">
        <f>(G42-F42)*H42</f>
        <v/>
      </c>
      <c r="K42" s="3">
        <f>(G42-F42)/F42*100</f>
        <v/>
      </c>
      <c r="L42" s="3">
        <f>RAW_INPUT!F42</f>
        <v/>
      </c>
      <c r="M42" s="3">
        <f>K42-L42</f>
        <v/>
      </c>
      <c r="N42" s="3">
        <f>IF(J42&gt;0, 1, 0)</f>
        <v/>
      </c>
      <c r="O42" s="3">
        <f>IF(J42&lt;0, 1, 0)</f>
        <v/>
      </c>
      <c r="P42" s="3">
        <f>SUM($J$3:J42)</f>
        <v/>
      </c>
      <c r="Q42" s="3">
        <f>P42/METRICS!$C$14*100</f>
        <v/>
      </c>
      <c r="R42" s="3">
        <f>METRICS!$C$14+P42</f>
        <v/>
      </c>
      <c r="S42" s="3">
        <f>MAX($R$3:R42)</f>
        <v/>
      </c>
      <c r="T42" s="3">
        <f>R42-S42</f>
        <v/>
      </c>
      <c r="U42" s="3">
        <f>(R42-S42)/S42*100</f>
        <v/>
      </c>
      <c r="V42" s="3">
        <f>IF(K42&lt;0, (K42/100)^2, 0)</f>
        <v/>
      </c>
    </row>
    <row r="43">
      <c r="A43" s="3">
        <f>TEXT(41, """T""0000")</f>
        <v/>
      </c>
      <c r="B43" s="3">
        <f>RAW_INPUT!A43</f>
        <v/>
      </c>
      <c r="C43" s="3">
        <f>RAW_INPUT!B43</f>
        <v/>
      </c>
      <c r="D43" s="3">
        <f>RAW_INPUT!D43</f>
        <v/>
      </c>
      <c r="E43" s="3">
        <f>D43-C43</f>
        <v/>
      </c>
      <c r="F43" s="3">
        <f>RAW_INPUT!C43</f>
        <v/>
      </c>
      <c r="G43" s="3">
        <f>RAW_INPUT!E43</f>
        <v/>
      </c>
      <c r="H43" s="3">
        <f>I43/F43</f>
        <v/>
      </c>
      <c r="I43" s="3">
        <f>METRICS!$C$14 * 0.02</f>
        <v/>
      </c>
      <c r="J43" s="3">
        <f>(G43-F43)*H43</f>
        <v/>
      </c>
      <c r="K43" s="3">
        <f>(G43-F43)/F43*100</f>
        <v/>
      </c>
      <c r="L43" s="3">
        <f>RAW_INPUT!F43</f>
        <v/>
      </c>
      <c r="M43" s="3">
        <f>K43-L43</f>
        <v/>
      </c>
      <c r="N43" s="3">
        <f>IF(J43&gt;0, 1, 0)</f>
        <v/>
      </c>
      <c r="O43" s="3">
        <f>IF(J43&lt;0, 1, 0)</f>
        <v/>
      </c>
      <c r="P43" s="3">
        <f>SUM($J$3:J43)</f>
        <v/>
      </c>
      <c r="Q43" s="3">
        <f>P43/METRICS!$C$14*100</f>
        <v/>
      </c>
      <c r="R43" s="3">
        <f>METRICS!$C$14+P43</f>
        <v/>
      </c>
      <c r="S43" s="3">
        <f>MAX($R$3:R43)</f>
        <v/>
      </c>
      <c r="T43" s="3">
        <f>R43-S43</f>
        <v/>
      </c>
      <c r="U43" s="3">
        <f>(R43-S43)/S43*100</f>
        <v/>
      </c>
      <c r="V43" s="3">
        <f>IF(K43&lt;0, (K43/100)^2, 0)</f>
        <v/>
      </c>
    </row>
    <row r="44">
      <c r="A44" s="3">
        <f>TEXT(42, """T""0000")</f>
        <v/>
      </c>
      <c r="B44" s="3">
        <f>RAW_INPUT!A44</f>
        <v/>
      </c>
      <c r="C44" s="3">
        <f>RAW_INPUT!B44</f>
        <v/>
      </c>
      <c r="D44" s="3">
        <f>RAW_INPUT!D44</f>
        <v/>
      </c>
      <c r="E44" s="3">
        <f>D44-C44</f>
        <v/>
      </c>
      <c r="F44" s="3">
        <f>RAW_INPUT!C44</f>
        <v/>
      </c>
      <c r="G44" s="3">
        <f>RAW_INPUT!E44</f>
        <v/>
      </c>
      <c r="H44" s="3">
        <f>I44/F44</f>
        <v/>
      </c>
      <c r="I44" s="3">
        <f>METRICS!$C$14 * 0.02</f>
        <v/>
      </c>
      <c r="J44" s="3">
        <f>(G44-F44)*H44</f>
        <v/>
      </c>
      <c r="K44" s="3">
        <f>(G44-F44)/F44*100</f>
        <v/>
      </c>
      <c r="L44" s="3">
        <f>RAW_INPUT!F44</f>
        <v/>
      </c>
      <c r="M44" s="3">
        <f>K44-L44</f>
        <v/>
      </c>
      <c r="N44" s="3">
        <f>IF(J44&gt;0, 1, 0)</f>
        <v/>
      </c>
      <c r="O44" s="3">
        <f>IF(J44&lt;0, 1, 0)</f>
        <v/>
      </c>
      <c r="P44" s="3">
        <f>SUM($J$3:J44)</f>
        <v/>
      </c>
      <c r="Q44" s="3">
        <f>P44/METRICS!$C$14*100</f>
        <v/>
      </c>
      <c r="R44" s="3">
        <f>METRICS!$C$14+P44</f>
        <v/>
      </c>
      <c r="S44" s="3">
        <f>MAX($R$3:R44)</f>
        <v/>
      </c>
      <c r="T44" s="3">
        <f>R44-S44</f>
        <v/>
      </c>
      <c r="U44" s="3">
        <f>(R44-S44)/S44*100</f>
        <v/>
      </c>
      <c r="V44" s="3">
        <f>IF(K44&lt;0, (K44/100)^2, 0)</f>
        <v/>
      </c>
    </row>
    <row r="45">
      <c r="A45" s="3">
        <f>TEXT(43, """T""0000")</f>
        <v/>
      </c>
      <c r="B45" s="3">
        <f>RAW_INPUT!A45</f>
        <v/>
      </c>
      <c r="C45" s="3">
        <f>RAW_INPUT!B45</f>
        <v/>
      </c>
      <c r="D45" s="3">
        <f>RAW_INPUT!D45</f>
        <v/>
      </c>
      <c r="E45" s="3">
        <f>D45-C45</f>
        <v/>
      </c>
      <c r="F45" s="3">
        <f>RAW_INPUT!C45</f>
        <v/>
      </c>
      <c r="G45" s="3">
        <f>RAW_INPUT!E45</f>
        <v/>
      </c>
      <c r="H45" s="3">
        <f>I45/F45</f>
        <v/>
      </c>
      <c r="I45" s="3">
        <f>METRICS!$C$14 * 0.02</f>
        <v/>
      </c>
      <c r="J45" s="3">
        <f>(G45-F45)*H45</f>
        <v/>
      </c>
      <c r="K45" s="3">
        <f>(G45-F45)/F45*100</f>
        <v/>
      </c>
      <c r="L45" s="3">
        <f>RAW_INPUT!F45</f>
        <v/>
      </c>
      <c r="M45" s="3">
        <f>K45-L45</f>
        <v/>
      </c>
      <c r="N45" s="3">
        <f>IF(J45&gt;0, 1, 0)</f>
        <v/>
      </c>
      <c r="O45" s="3">
        <f>IF(J45&lt;0, 1, 0)</f>
        <v/>
      </c>
      <c r="P45" s="3">
        <f>SUM($J$3:J45)</f>
        <v/>
      </c>
      <c r="Q45" s="3">
        <f>P45/METRICS!$C$14*100</f>
        <v/>
      </c>
      <c r="R45" s="3">
        <f>METRICS!$C$14+P45</f>
        <v/>
      </c>
      <c r="S45" s="3">
        <f>MAX($R$3:R45)</f>
        <v/>
      </c>
      <c r="T45" s="3">
        <f>R45-S45</f>
        <v/>
      </c>
      <c r="U45" s="3">
        <f>(R45-S45)/S45*100</f>
        <v/>
      </c>
      <c r="V45" s="3">
        <f>IF(K45&lt;0, (K45/100)^2, 0)</f>
        <v/>
      </c>
    </row>
    <row r="46">
      <c r="A46" s="3">
        <f>TEXT(44, """T""0000")</f>
        <v/>
      </c>
      <c r="B46" s="3">
        <f>RAW_INPUT!A46</f>
        <v/>
      </c>
      <c r="C46" s="3">
        <f>RAW_INPUT!B46</f>
        <v/>
      </c>
      <c r="D46" s="3">
        <f>RAW_INPUT!D46</f>
        <v/>
      </c>
      <c r="E46" s="3">
        <f>D46-C46</f>
        <v/>
      </c>
      <c r="F46" s="3">
        <f>RAW_INPUT!C46</f>
        <v/>
      </c>
      <c r="G46" s="3">
        <f>RAW_INPUT!E46</f>
        <v/>
      </c>
      <c r="H46" s="3">
        <f>I46/F46</f>
        <v/>
      </c>
      <c r="I46" s="3">
        <f>METRICS!$C$14 * 0.02</f>
        <v/>
      </c>
      <c r="J46" s="3">
        <f>(G46-F46)*H46</f>
        <v/>
      </c>
      <c r="K46" s="3">
        <f>(G46-F46)/F46*100</f>
        <v/>
      </c>
      <c r="L46" s="3">
        <f>RAW_INPUT!F46</f>
        <v/>
      </c>
      <c r="M46" s="3">
        <f>K46-L46</f>
        <v/>
      </c>
      <c r="N46" s="3">
        <f>IF(J46&gt;0, 1, 0)</f>
        <v/>
      </c>
      <c r="O46" s="3">
        <f>IF(J46&lt;0, 1, 0)</f>
        <v/>
      </c>
      <c r="P46" s="3">
        <f>SUM($J$3:J46)</f>
        <v/>
      </c>
      <c r="Q46" s="3">
        <f>P46/METRICS!$C$14*100</f>
        <v/>
      </c>
      <c r="R46" s="3">
        <f>METRICS!$C$14+P46</f>
        <v/>
      </c>
      <c r="S46" s="3">
        <f>MAX($R$3:R46)</f>
        <v/>
      </c>
      <c r="T46" s="3">
        <f>R46-S46</f>
        <v/>
      </c>
      <c r="U46" s="3">
        <f>(R46-S46)/S46*100</f>
        <v/>
      </c>
      <c r="V46" s="3">
        <f>IF(K46&lt;0, (K46/100)^2, 0)</f>
        <v/>
      </c>
    </row>
    <row r="47">
      <c r="A47" s="3">
        <f>TEXT(45, """T""0000")</f>
        <v/>
      </c>
      <c r="B47" s="3">
        <f>RAW_INPUT!A47</f>
        <v/>
      </c>
      <c r="C47" s="3">
        <f>RAW_INPUT!B47</f>
        <v/>
      </c>
      <c r="D47" s="3">
        <f>RAW_INPUT!D47</f>
        <v/>
      </c>
      <c r="E47" s="3">
        <f>D47-C47</f>
        <v/>
      </c>
      <c r="F47" s="3">
        <f>RAW_INPUT!C47</f>
        <v/>
      </c>
      <c r="G47" s="3">
        <f>RAW_INPUT!E47</f>
        <v/>
      </c>
      <c r="H47" s="3">
        <f>I47/F47</f>
        <v/>
      </c>
      <c r="I47" s="3">
        <f>METRICS!$C$14 * 0.02</f>
        <v/>
      </c>
      <c r="J47" s="3">
        <f>(G47-F47)*H47</f>
        <v/>
      </c>
      <c r="K47" s="3">
        <f>(G47-F47)/F47*100</f>
        <v/>
      </c>
      <c r="L47" s="3">
        <f>RAW_INPUT!F47</f>
        <v/>
      </c>
      <c r="M47" s="3">
        <f>K47-L47</f>
        <v/>
      </c>
      <c r="N47" s="3">
        <f>IF(J47&gt;0, 1, 0)</f>
        <v/>
      </c>
      <c r="O47" s="3">
        <f>IF(J47&lt;0, 1, 0)</f>
        <v/>
      </c>
      <c r="P47" s="3">
        <f>SUM($J$3:J47)</f>
        <v/>
      </c>
      <c r="Q47" s="3">
        <f>P47/METRICS!$C$14*100</f>
        <v/>
      </c>
      <c r="R47" s="3">
        <f>METRICS!$C$14+P47</f>
        <v/>
      </c>
      <c r="S47" s="3">
        <f>MAX($R$3:R47)</f>
        <v/>
      </c>
      <c r="T47" s="3">
        <f>R47-S47</f>
        <v/>
      </c>
      <c r="U47" s="3">
        <f>(R47-S47)/S47*100</f>
        <v/>
      </c>
      <c r="V47" s="3">
        <f>IF(K47&lt;0, (K47/100)^2, 0)</f>
        <v/>
      </c>
    </row>
    <row r="48">
      <c r="A48" s="3">
        <f>TEXT(46, """T""0000")</f>
        <v/>
      </c>
      <c r="B48" s="3">
        <f>RAW_INPUT!A48</f>
        <v/>
      </c>
      <c r="C48" s="3">
        <f>RAW_INPUT!B48</f>
        <v/>
      </c>
      <c r="D48" s="3">
        <f>RAW_INPUT!D48</f>
        <v/>
      </c>
      <c r="E48" s="3">
        <f>D48-C48</f>
        <v/>
      </c>
      <c r="F48" s="3">
        <f>RAW_INPUT!C48</f>
        <v/>
      </c>
      <c r="G48" s="3">
        <f>RAW_INPUT!E48</f>
        <v/>
      </c>
      <c r="H48" s="3">
        <f>I48/F48</f>
        <v/>
      </c>
      <c r="I48" s="3">
        <f>METRICS!$C$14 * 0.02</f>
        <v/>
      </c>
      <c r="J48" s="3">
        <f>(G48-F48)*H48</f>
        <v/>
      </c>
      <c r="K48" s="3">
        <f>(G48-F48)/F48*100</f>
        <v/>
      </c>
      <c r="L48" s="3">
        <f>RAW_INPUT!F48</f>
        <v/>
      </c>
      <c r="M48" s="3">
        <f>K48-L48</f>
        <v/>
      </c>
      <c r="N48" s="3">
        <f>IF(J48&gt;0, 1, 0)</f>
        <v/>
      </c>
      <c r="O48" s="3">
        <f>IF(J48&lt;0, 1, 0)</f>
        <v/>
      </c>
      <c r="P48" s="3">
        <f>SUM($J$3:J48)</f>
        <v/>
      </c>
      <c r="Q48" s="3">
        <f>P48/METRICS!$C$14*100</f>
        <v/>
      </c>
      <c r="R48" s="3">
        <f>METRICS!$C$14+P48</f>
        <v/>
      </c>
      <c r="S48" s="3">
        <f>MAX($R$3:R48)</f>
        <v/>
      </c>
      <c r="T48" s="3">
        <f>R48-S48</f>
        <v/>
      </c>
      <c r="U48" s="3">
        <f>(R48-S48)/S48*100</f>
        <v/>
      </c>
      <c r="V48" s="3">
        <f>IF(K48&lt;0, (K48/100)^2, 0)</f>
        <v/>
      </c>
    </row>
    <row r="49">
      <c r="A49" s="3">
        <f>TEXT(47, """T""0000")</f>
        <v/>
      </c>
      <c r="B49" s="3">
        <f>RAW_INPUT!A49</f>
        <v/>
      </c>
      <c r="C49" s="3">
        <f>RAW_INPUT!B49</f>
        <v/>
      </c>
      <c r="D49" s="3">
        <f>RAW_INPUT!D49</f>
        <v/>
      </c>
      <c r="E49" s="3">
        <f>D49-C49</f>
        <v/>
      </c>
      <c r="F49" s="3">
        <f>RAW_INPUT!C49</f>
        <v/>
      </c>
      <c r="G49" s="3">
        <f>RAW_INPUT!E49</f>
        <v/>
      </c>
      <c r="H49" s="3">
        <f>I49/F49</f>
        <v/>
      </c>
      <c r="I49" s="3">
        <f>METRICS!$C$14 * 0.02</f>
        <v/>
      </c>
      <c r="J49" s="3">
        <f>(G49-F49)*H49</f>
        <v/>
      </c>
      <c r="K49" s="3">
        <f>(G49-F49)/F49*100</f>
        <v/>
      </c>
      <c r="L49" s="3">
        <f>RAW_INPUT!F49</f>
        <v/>
      </c>
      <c r="M49" s="3">
        <f>K49-L49</f>
        <v/>
      </c>
      <c r="N49" s="3">
        <f>IF(J49&gt;0, 1, 0)</f>
        <v/>
      </c>
      <c r="O49" s="3">
        <f>IF(J49&lt;0, 1, 0)</f>
        <v/>
      </c>
      <c r="P49" s="3">
        <f>SUM($J$3:J49)</f>
        <v/>
      </c>
      <c r="Q49" s="3">
        <f>P49/METRICS!$C$14*100</f>
        <v/>
      </c>
      <c r="R49" s="3">
        <f>METRICS!$C$14+P49</f>
        <v/>
      </c>
      <c r="S49" s="3">
        <f>MAX($R$3:R49)</f>
        <v/>
      </c>
      <c r="T49" s="3">
        <f>R49-S49</f>
        <v/>
      </c>
      <c r="U49" s="3">
        <f>(R49-S49)/S49*100</f>
        <v/>
      </c>
      <c r="V49" s="3">
        <f>IF(K49&lt;0, (K49/100)^2, 0)</f>
        <v/>
      </c>
    </row>
    <row r="50">
      <c r="A50" s="3">
        <f>TEXT(48, """T""0000")</f>
        <v/>
      </c>
      <c r="B50" s="3">
        <f>RAW_INPUT!A50</f>
        <v/>
      </c>
      <c r="C50" s="3">
        <f>RAW_INPUT!B50</f>
        <v/>
      </c>
      <c r="D50" s="3">
        <f>RAW_INPUT!D50</f>
        <v/>
      </c>
      <c r="E50" s="3">
        <f>D50-C50</f>
        <v/>
      </c>
      <c r="F50" s="3">
        <f>RAW_INPUT!C50</f>
        <v/>
      </c>
      <c r="G50" s="3">
        <f>RAW_INPUT!E50</f>
        <v/>
      </c>
      <c r="H50" s="3">
        <f>I50/F50</f>
        <v/>
      </c>
      <c r="I50" s="3">
        <f>METRICS!$C$14 * 0.02</f>
        <v/>
      </c>
      <c r="J50" s="3">
        <f>(G50-F50)*H50</f>
        <v/>
      </c>
      <c r="K50" s="3">
        <f>(G50-F50)/F50*100</f>
        <v/>
      </c>
      <c r="L50" s="3">
        <f>RAW_INPUT!F50</f>
        <v/>
      </c>
      <c r="M50" s="3">
        <f>K50-L50</f>
        <v/>
      </c>
      <c r="N50" s="3">
        <f>IF(J50&gt;0, 1, 0)</f>
        <v/>
      </c>
      <c r="O50" s="3">
        <f>IF(J50&lt;0, 1, 0)</f>
        <v/>
      </c>
      <c r="P50" s="3">
        <f>SUM($J$3:J50)</f>
        <v/>
      </c>
      <c r="Q50" s="3">
        <f>P50/METRICS!$C$14*100</f>
        <v/>
      </c>
      <c r="R50" s="3">
        <f>METRICS!$C$14+P50</f>
        <v/>
      </c>
      <c r="S50" s="3">
        <f>MAX($R$3:R50)</f>
        <v/>
      </c>
      <c r="T50" s="3">
        <f>R50-S50</f>
        <v/>
      </c>
      <c r="U50" s="3">
        <f>(R50-S50)/S50*100</f>
        <v/>
      </c>
      <c r="V50" s="3">
        <f>IF(K50&lt;0, (K50/100)^2, 0)</f>
        <v/>
      </c>
    </row>
    <row r="51">
      <c r="A51" s="3">
        <f>TEXT(49, """T""0000")</f>
        <v/>
      </c>
      <c r="B51" s="3">
        <f>RAW_INPUT!A51</f>
        <v/>
      </c>
      <c r="C51" s="3">
        <f>RAW_INPUT!B51</f>
        <v/>
      </c>
      <c r="D51" s="3">
        <f>RAW_INPUT!D51</f>
        <v/>
      </c>
      <c r="E51" s="3">
        <f>D51-C51</f>
        <v/>
      </c>
      <c r="F51" s="3">
        <f>RAW_INPUT!C51</f>
        <v/>
      </c>
      <c r="G51" s="3">
        <f>RAW_INPUT!E51</f>
        <v/>
      </c>
      <c r="H51" s="3">
        <f>I51/F51</f>
        <v/>
      </c>
      <c r="I51" s="3">
        <f>METRICS!$C$14 * 0.02</f>
        <v/>
      </c>
      <c r="J51" s="3">
        <f>(G51-F51)*H51</f>
        <v/>
      </c>
      <c r="K51" s="3">
        <f>(G51-F51)/F51*100</f>
        <v/>
      </c>
      <c r="L51" s="3">
        <f>RAW_INPUT!F51</f>
        <v/>
      </c>
      <c r="M51" s="3">
        <f>K51-L51</f>
        <v/>
      </c>
      <c r="N51" s="3">
        <f>IF(J51&gt;0, 1, 0)</f>
        <v/>
      </c>
      <c r="O51" s="3">
        <f>IF(J51&lt;0, 1, 0)</f>
        <v/>
      </c>
      <c r="P51" s="3">
        <f>SUM($J$3:J51)</f>
        <v/>
      </c>
      <c r="Q51" s="3">
        <f>P51/METRICS!$C$14*100</f>
        <v/>
      </c>
      <c r="R51" s="3">
        <f>METRICS!$C$14+P51</f>
        <v/>
      </c>
      <c r="S51" s="3">
        <f>MAX($R$3:R51)</f>
        <v/>
      </c>
      <c r="T51" s="3">
        <f>R51-S51</f>
        <v/>
      </c>
      <c r="U51" s="3">
        <f>(R51-S51)/S51*100</f>
        <v/>
      </c>
      <c r="V51" s="3">
        <f>IF(K51&lt;0, (K51/100)^2, 0)</f>
        <v/>
      </c>
    </row>
    <row r="52">
      <c r="A52" s="3">
        <f>TEXT(50, """T""0000")</f>
        <v/>
      </c>
      <c r="B52" s="3">
        <f>RAW_INPUT!A52</f>
        <v/>
      </c>
      <c r="C52" s="3">
        <f>RAW_INPUT!B52</f>
        <v/>
      </c>
      <c r="D52" s="3">
        <f>RAW_INPUT!D52</f>
        <v/>
      </c>
      <c r="E52" s="3">
        <f>D52-C52</f>
        <v/>
      </c>
      <c r="F52" s="3">
        <f>RAW_INPUT!C52</f>
        <v/>
      </c>
      <c r="G52" s="3">
        <f>RAW_INPUT!E52</f>
        <v/>
      </c>
      <c r="H52" s="3">
        <f>I52/F52</f>
        <v/>
      </c>
      <c r="I52" s="3">
        <f>METRICS!$C$14 * 0.02</f>
        <v/>
      </c>
      <c r="J52" s="3">
        <f>(G52-F52)*H52</f>
        <v/>
      </c>
      <c r="K52" s="3">
        <f>(G52-F52)/F52*100</f>
        <v/>
      </c>
      <c r="L52" s="3">
        <f>RAW_INPUT!F52</f>
        <v/>
      </c>
      <c r="M52" s="3">
        <f>K52-L52</f>
        <v/>
      </c>
      <c r="N52" s="3">
        <f>IF(J52&gt;0, 1, 0)</f>
        <v/>
      </c>
      <c r="O52" s="3">
        <f>IF(J52&lt;0, 1, 0)</f>
        <v/>
      </c>
      <c r="P52" s="3">
        <f>SUM($J$3:J52)</f>
        <v/>
      </c>
      <c r="Q52" s="3">
        <f>P52/METRICS!$C$14*100</f>
        <v/>
      </c>
      <c r="R52" s="3">
        <f>METRICS!$C$14+P52</f>
        <v/>
      </c>
      <c r="S52" s="3">
        <f>MAX($R$3:R52)</f>
        <v/>
      </c>
      <c r="T52" s="3">
        <f>R52-S52</f>
        <v/>
      </c>
      <c r="U52" s="3">
        <f>(R52-S52)/S52*100</f>
        <v/>
      </c>
      <c r="V52" s="3">
        <f>IF(K52&lt;0, (K52/100)^2, 0)</f>
        <v/>
      </c>
    </row>
    <row r="53">
      <c r="A53" s="3">
        <f>TEXT(51, """T""0000")</f>
        <v/>
      </c>
      <c r="B53" s="3">
        <f>RAW_INPUT!A53</f>
        <v/>
      </c>
      <c r="C53" s="3">
        <f>RAW_INPUT!B53</f>
        <v/>
      </c>
      <c r="D53" s="3">
        <f>RAW_INPUT!D53</f>
        <v/>
      </c>
      <c r="E53" s="3">
        <f>D53-C53</f>
        <v/>
      </c>
      <c r="F53" s="3">
        <f>RAW_INPUT!C53</f>
        <v/>
      </c>
      <c r="G53" s="3">
        <f>RAW_INPUT!E53</f>
        <v/>
      </c>
      <c r="H53" s="3">
        <f>I53/F53</f>
        <v/>
      </c>
      <c r="I53" s="3">
        <f>METRICS!$C$14 * 0.02</f>
        <v/>
      </c>
      <c r="J53" s="3">
        <f>(G53-F53)*H53</f>
        <v/>
      </c>
      <c r="K53" s="3">
        <f>(G53-F53)/F53*100</f>
        <v/>
      </c>
      <c r="L53" s="3">
        <f>RAW_INPUT!F53</f>
        <v/>
      </c>
      <c r="M53" s="3">
        <f>K53-L53</f>
        <v/>
      </c>
      <c r="N53" s="3">
        <f>IF(J53&gt;0, 1, 0)</f>
        <v/>
      </c>
      <c r="O53" s="3">
        <f>IF(J53&lt;0, 1, 0)</f>
        <v/>
      </c>
      <c r="P53" s="3">
        <f>SUM($J$3:J53)</f>
        <v/>
      </c>
      <c r="Q53" s="3">
        <f>P53/METRICS!$C$14*100</f>
        <v/>
      </c>
      <c r="R53" s="3">
        <f>METRICS!$C$14+P53</f>
        <v/>
      </c>
      <c r="S53" s="3">
        <f>MAX($R$3:R53)</f>
        <v/>
      </c>
      <c r="T53" s="3">
        <f>R53-S53</f>
        <v/>
      </c>
      <c r="U53" s="3">
        <f>(R53-S53)/S53*100</f>
        <v/>
      </c>
      <c r="V53" s="3">
        <f>IF(K53&lt;0, (K53/100)^2, 0)</f>
        <v/>
      </c>
    </row>
    <row r="54">
      <c r="A54" s="3">
        <f>TEXT(52, """T""0000")</f>
        <v/>
      </c>
      <c r="B54" s="3">
        <f>RAW_INPUT!A54</f>
        <v/>
      </c>
      <c r="C54" s="3">
        <f>RAW_INPUT!B54</f>
        <v/>
      </c>
      <c r="D54" s="3">
        <f>RAW_INPUT!D54</f>
        <v/>
      </c>
      <c r="E54" s="3">
        <f>D54-C54</f>
        <v/>
      </c>
      <c r="F54" s="3">
        <f>RAW_INPUT!C54</f>
        <v/>
      </c>
      <c r="G54" s="3">
        <f>RAW_INPUT!E54</f>
        <v/>
      </c>
      <c r="H54" s="3">
        <f>I54/F54</f>
        <v/>
      </c>
      <c r="I54" s="3">
        <f>METRICS!$C$14 * 0.02</f>
        <v/>
      </c>
      <c r="J54" s="3">
        <f>(G54-F54)*H54</f>
        <v/>
      </c>
      <c r="K54" s="3">
        <f>(G54-F54)/F54*100</f>
        <v/>
      </c>
      <c r="L54" s="3">
        <f>RAW_INPUT!F54</f>
        <v/>
      </c>
      <c r="M54" s="3">
        <f>K54-L54</f>
        <v/>
      </c>
      <c r="N54" s="3">
        <f>IF(J54&gt;0, 1, 0)</f>
        <v/>
      </c>
      <c r="O54" s="3">
        <f>IF(J54&lt;0, 1, 0)</f>
        <v/>
      </c>
      <c r="P54" s="3">
        <f>SUM($J$3:J54)</f>
        <v/>
      </c>
      <c r="Q54" s="3">
        <f>P54/METRICS!$C$14*100</f>
        <v/>
      </c>
      <c r="R54" s="3">
        <f>METRICS!$C$14+P54</f>
        <v/>
      </c>
      <c r="S54" s="3">
        <f>MAX($R$3:R54)</f>
        <v/>
      </c>
      <c r="T54" s="3">
        <f>R54-S54</f>
        <v/>
      </c>
      <c r="U54" s="3">
        <f>(R54-S54)/S54*100</f>
        <v/>
      </c>
      <c r="V54" s="3">
        <f>IF(K54&lt;0, (K54/100)^2, 0)</f>
        <v/>
      </c>
    </row>
    <row r="55">
      <c r="A55" s="3">
        <f>TEXT(53, """T""0000")</f>
        <v/>
      </c>
      <c r="B55" s="3">
        <f>RAW_INPUT!A55</f>
        <v/>
      </c>
      <c r="C55" s="3">
        <f>RAW_INPUT!B55</f>
        <v/>
      </c>
      <c r="D55" s="3">
        <f>RAW_INPUT!D55</f>
        <v/>
      </c>
      <c r="E55" s="3">
        <f>D55-C55</f>
        <v/>
      </c>
      <c r="F55" s="3">
        <f>RAW_INPUT!C55</f>
        <v/>
      </c>
      <c r="G55" s="3">
        <f>RAW_INPUT!E55</f>
        <v/>
      </c>
      <c r="H55" s="3">
        <f>I55/F55</f>
        <v/>
      </c>
      <c r="I55" s="3">
        <f>METRICS!$C$14 * 0.02</f>
        <v/>
      </c>
      <c r="J55" s="3">
        <f>(G55-F55)*H55</f>
        <v/>
      </c>
      <c r="K55" s="3">
        <f>(G55-F55)/F55*100</f>
        <v/>
      </c>
      <c r="L55" s="3">
        <f>RAW_INPUT!F55</f>
        <v/>
      </c>
      <c r="M55" s="3">
        <f>K55-L55</f>
        <v/>
      </c>
      <c r="N55" s="3">
        <f>IF(J55&gt;0, 1, 0)</f>
        <v/>
      </c>
      <c r="O55" s="3">
        <f>IF(J55&lt;0, 1, 0)</f>
        <v/>
      </c>
      <c r="P55" s="3">
        <f>SUM($J$3:J55)</f>
        <v/>
      </c>
      <c r="Q55" s="3">
        <f>P55/METRICS!$C$14*100</f>
        <v/>
      </c>
      <c r="R55" s="3">
        <f>METRICS!$C$14+P55</f>
        <v/>
      </c>
      <c r="S55" s="3">
        <f>MAX($R$3:R55)</f>
        <v/>
      </c>
      <c r="T55" s="3">
        <f>R55-S55</f>
        <v/>
      </c>
      <c r="U55" s="3">
        <f>(R55-S55)/S55*100</f>
        <v/>
      </c>
      <c r="V55" s="3">
        <f>IF(K55&lt;0, (K55/100)^2, 0)</f>
        <v/>
      </c>
    </row>
    <row r="56">
      <c r="A56" s="3">
        <f>TEXT(54, """T""0000")</f>
        <v/>
      </c>
      <c r="B56" s="3">
        <f>RAW_INPUT!A56</f>
        <v/>
      </c>
      <c r="C56" s="3">
        <f>RAW_INPUT!B56</f>
        <v/>
      </c>
      <c r="D56" s="3">
        <f>RAW_INPUT!D56</f>
        <v/>
      </c>
      <c r="E56" s="3">
        <f>D56-C56</f>
        <v/>
      </c>
      <c r="F56" s="3">
        <f>RAW_INPUT!C56</f>
        <v/>
      </c>
      <c r="G56" s="3">
        <f>RAW_INPUT!E56</f>
        <v/>
      </c>
      <c r="H56" s="3">
        <f>I56/F56</f>
        <v/>
      </c>
      <c r="I56" s="3">
        <f>METRICS!$C$14 * 0.02</f>
        <v/>
      </c>
      <c r="J56" s="3">
        <f>(G56-F56)*H56</f>
        <v/>
      </c>
      <c r="K56" s="3">
        <f>(G56-F56)/F56*100</f>
        <v/>
      </c>
      <c r="L56" s="3">
        <f>RAW_INPUT!F56</f>
        <v/>
      </c>
      <c r="M56" s="3">
        <f>K56-L56</f>
        <v/>
      </c>
      <c r="N56" s="3">
        <f>IF(J56&gt;0, 1, 0)</f>
        <v/>
      </c>
      <c r="O56" s="3">
        <f>IF(J56&lt;0, 1, 0)</f>
        <v/>
      </c>
      <c r="P56" s="3">
        <f>SUM($J$3:J56)</f>
        <v/>
      </c>
      <c r="Q56" s="3">
        <f>P56/METRICS!$C$14*100</f>
        <v/>
      </c>
      <c r="R56" s="3">
        <f>METRICS!$C$14+P56</f>
        <v/>
      </c>
      <c r="S56" s="3">
        <f>MAX($R$3:R56)</f>
        <v/>
      </c>
      <c r="T56" s="3">
        <f>R56-S56</f>
        <v/>
      </c>
      <c r="U56" s="3">
        <f>(R56-S56)/S56*100</f>
        <v/>
      </c>
      <c r="V56" s="3">
        <f>IF(K56&lt;0, (K56/100)^2, 0)</f>
        <v/>
      </c>
    </row>
    <row r="57">
      <c r="A57" s="3">
        <f>TEXT(55, """T""0000")</f>
        <v/>
      </c>
      <c r="B57" s="3">
        <f>RAW_INPUT!A57</f>
        <v/>
      </c>
      <c r="C57" s="3">
        <f>RAW_INPUT!B57</f>
        <v/>
      </c>
      <c r="D57" s="3">
        <f>RAW_INPUT!D57</f>
        <v/>
      </c>
      <c r="E57" s="3">
        <f>D57-C57</f>
        <v/>
      </c>
      <c r="F57" s="3">
        <f>RAW_INPUT!C57</f>
        <v/>
      </c>
      <c r="G57" s="3">
        <f>RAW_INPUT!E57</f>
        <v/>
      </c>
      <c r="H57" s="3">
        <f>I57/F57</f>
        <v/>
      </c>
      <c r="I57" s="3">
        <f>METRICS!$C$14 * 0.02</f>
        <v/>
      </c>
      <c r="J57" s="3">
        <f>(G57-F57)*H57</f>
        <v/>
      </c>
      <c r="K57" s="3">
        <f>(G57-F57)/F57*100</f>
        <v/>
      </c>
      <c r="L57" s="3">
        <f>RAW_INPUT!F57</f>
        <v/>
      </c>
      <c r="M57" s="3">
        <f>K57-L57</f>
        <v/>
      </c>
      <c r="N57" s="3">
        <f>IF(J57&gt;0, 1, 0)</f>
        <v/>
      </c>
      <c r="O57" s="3">
        <f>IF(J57&lt;0, 1, 0)</f>
        <v/>
      </c>
      <c r="P57" s="3">
        <f>SUM($J$3:J57)</f>
        <v/>
      </c>
      <c r="Q57" s="3">
        <f>P57/METRICS!$C$14*100</f>
        <v/>
      </c>
      <c r="R57" s="3">
        <f>METRICS!$C$14+P57</f>
        <v/>
      </c>
      <c r="S57" s="3">
        <f>MAX($R$3:R57)</f>
        <v/>
      </c>
      <c r="T57" s="3">
        <f>R57-S57</f>
        <v/>
      </c>
      <c r="U57" s="3">
        <f>(R57-S57)/S57*100</f>
        <v/>
      </c>
      <c r="V57" s="3">
        <f>IF(K57&lt;0, (K57/100)^2, 0)</f>
        <v/>
      </c>
    </row>
    <row r="58">
      <c r="A58" s="3">
        <f>TEXT(56, """T""0000")</f>
        <v/>
      </c>
      <c r="B58" s="3">
        <f>RAW_INPUT!A58</f>
        <v/>
      </c>
      <c r="C58" s="3">
        <f>RAW_INPUT!B58</f>
        <v/>
      </c>
      <c r="D58" s="3">
        <f>RAW_INPUT!D58</f>
        <v/>
      </c>
      <c r="E58" s="3">
        <f>D58-C58</f>
        <v/>
      </c>
      <c r="F58" s="3">
        <f>RAW_INPUT!C58</f>
        <v/>
      </c>
      <c r="G58" s="3">
        <f>RAW_INPUT!E58</f>
        <v/>
      </c>
      <c r="H58" s="3">
        <f>I58/F58</f>
        <v/>
      </c>
      <c r="I58" s="3">
        <f>METRICS!$C$14 * 0.02</f>
        <v/>
      </c>
      <c r="J58" s="3">
        <f>(G58-F58)*H58</f>
        <v/>
      </c>
      <c r="K58" s="3">
        <f>(G58-F58)/F58*100</f>
        <v/>
      </c>
      <c r="L58" s="3">
        <f>RAW_INPUT!F58</f>
        <v/>
      </c>
      <c r="M58" s="3">
        <f>K58-L58</f>
        <v/>
      </c>
      <c r="N58" s="3">
        <f>IF(J58&gt;0, 1, 0)</f>
        <v/>
      </c>
      <c r="O58" s="3">
        <f>IF(J58&lt;0, 1, 0)</f>
        <v/>
      </c>
      <c r="P58" s="3">
        <f>SUM($J$3:J58)</f>
        <v/>
      </c>
      <c r="Q58" s="3">
        <f>P58/METRICS!$C$14*100</f>
        <v/>
      </c>
      <c r="R58" s="3">
        <f>METRICS!$C$14+P58</f>
        <v/>
      </c>
      <c r="S58" s="3">
        <f>MAX($R$3:R58)</f>
        <v/>
      </c>
      <c r="T58" s="3">
        <f>R58-S58</f>
        <v/>
      </c>
      <c r="U58" s="3">
        <f>(R58-S58)/S58*100</f>
        <v/>
      </c>
      <c r="V58" s="3">
        <f>IF(K58&lt;0, (K58/100)^2, 0)</f>
        <v/>
      </c>
    </row>
    <row r="59">
      <c r="A59" s="3">
        <f>TEXT(57, """T""0000")</f>
        <v/>
      </c>
      <c r="B59" s="3">
        <f>RAW_INPUT!A59</f>
        <v/>
      </c>
      <c r="C59" s="3">
        <f>RAW_INPUT!B59</f>
        <v/>
      </c>
      <c r="D59" s="3">
        <f>RAW_INPUT!D59</f>
        <v/>
      </c>
      <c r="E59" s="3">
        <f>D59-C59</f>
        <v/>
      </c>
      <c r="F59" s="3">
        <f>RAW_INPUT!C59</f>
        <v/>
      </c>
      <c r="G59" s="3">
        <f>RAW_INPUT!E59</f>
        <v/>
      </c>
      <c r="H59" s="3">
        <f>I59/F59</f>
        <v/>
      </c>
      <c r="I59" s="3">
        <f>METRICS!$C$14 * 0.02</f>
        <v/>
      </c>
      <c r="J59" s="3">
        <f>(G59-F59)*H59</f>
        <v/>
      </c>
      <c r="K59" s="3">
        <f>(G59-F59)/F59*100</f>
        <v/>
      </c>
      <c r="L59" s="3">
        <f>RAW_INPUT!F59</f>
        <v/>
      </c>
      <c r="M59" s="3">
        <f>K59-L59</f>
        <v/>
      </c>
      <c r="N59" s="3">
        <f>IF(J59&gt;0, 1, 0)</f>
        <v/>
      </c>
      <c r="O59" s="3">
        <f>IF(J59&lt;0, 1, 0)</f>
        <v/>
      </c>
      <c r="P59" s="3">
        <f>SUM($J$3:J59)</f>
        <v/>
      </c>
      <c r="Q59" s="3">
        <f>P59/METRICS!$C$14*100</f>
        <v/>
      </c>
      <c r="R59" s="3">
        <f>METRICS!$C$14+P59</f>
        <v/>
      </c>
      <c r="S59" s="3">
        <f>MAX($R$3:R59)</f>
        <v/>
      </c>
      <c r="T59" s="3">
        <f>R59-S59</f>
        <v/>
      </c>
      <c r="U59" s="3">
        <f>(R59-S59)/S59*100</f>
        <v/>
      </c>
      <c r="V59" s="3">
        <f>IF(K59&lt;0, (K59/100)^2, 0)</f>
        <v/>
      </c>
    </row>
    <row r="60">
      <c r="A60" s="3">
        <f>TEXT(58, """T""0000")</f>
        <v/>
      </c>
      <c r="B60" s="3">
        <f>RAW_INPUT!A60</f>
        <v/>
      </c>
      <c r="C60" s="3">
        <f>RAW_INPUT!B60</f>
        <v/>
      </c>
      <c r="D60" s="3">
        <f>RAW_INPUT!D60</f>
        <v/>
      </c>
      <c r="E60" s="3">
        <f>D60-C60</f>
        <v/>
      </c>
      <c r="F60" s="3">
        <f>RAW_INPUT!C60</f>
        <v/>
      </c>
      <c r="G60" s="3">
        <f>RAW_INPUT!E60</f>
        <v/>
      </c>
      <c r="H60" s="3">
        <f>I60/F60</f>
        <v/>
      </c>
      <c r="I60" s="3">
        <f>METRICS!$C$14 * 0.02</f>
        <v/>
      </c>
      <c r="J60" s="3">
        <f>(G60-F60)*H60</f>
        <v/>
      </c>
      <c r="K60" s="3">
        <f>(G60-F60)/F60*100</f>
        <v/>
      </c>
      <c r="L60" s="3">
        <f>RAW_INPUT!F60</f>
        <v/>
      </c>
      <c r="M60" s="3">
        <f>K60-L60</f>
        <v/>
      </c>
      <c r="N60" s="3">
        <f>IF(J60&gt;0, 1, 0)</f>
        <v/>
      </c>
      <c r="O60" s="3">
        <f>IF(J60&lt;0, 1, 0)</f>
        <v/>
      </c>
      <c r="P60" s="3">
        <f>SUM($J$3:J60)</f>
        <v/>
      </c>
      <c r="Q60" s="3">
        <f>P60/METRICS!$C$14*100</f>
        <v/>
      </c>
      <c r="R60" s="3">
        <f>METRICS!$C$14+P60</f>
        <v/>
      </c>
      <c r="S60" s="3">
        <f>MAX($R$3:R60)</f>
        <v/>
      </c>
      <c r="T60" s="3">
        <f>R60-S60</f>
        <v/>
      </c>
      <c r="U60" s="3">
        <f>(R60-S60)/S60*100</f>
        <v/>
      </c>
      <c r="V60" s="3">
        <f>IF(K60&lt;0, (K60/100)^2, 0)</f>
        <v/>
      </c>
    </row>
    <row r="61">
      <c r="A61" s="3">
        <f>TEXT(59, """T""0000")</f>
        <v/>
      </c>
      <c r="B61" s="3">
        <f>RAW_INPUT!A61</f>
        <v/>
      </c>
      <c r="C61" s="3">
        <f>RAW_INPUT!B61</f>
        <v/>
      </c>
      <c r="D61" s="3">
        <f>RAW_INPUT!D61</f>
        <v/>
      </c>
      <c r="E61" s="3">
        <f>D61-C61</f>
        <v/>
      </c>
      <c r="F61" s="3">
        <f>RAW_INPUT!C61</f>
        <v/>
      </c>
      <c r="G61" s="3">
        <f>RAW_INPUT!E61</f>
        <v/>
      </c>
      <c r="H61" s="3">
        <f>I61/F61</f>
        <v/>
      </c>
      <c r="I61" s="3">
        <f>METRICS!$C$14 * 0.02</f>
        <v/>
      </c>
      <c r="J61" s="3">
        <f>(G61-F61)*H61</f>
        <v/>
      </c>
      <c r="K61" s="3">
        <f>(G61-F61)/F61*100</f>
        <v/>
      </c>
      <c r="L61" s="3">
        <f>RAW_INPUT!F61</f>
        <v/>
      </c>
      <c r="M61" s="3">
        <f>K61-L61</f>
        <v/>
      </c>
      <c r="N61" s="3">
        <f>IF(J61&gt;0, 1, 0)</f>
        <v/>
      </c>
      <c r="O61" s="3">
        <f>IF(J61&lt;0, 1, 0)</f>
        <v/>
      </c>
      <c r="P61" s="3">
        <f>SUM($J$3:J61)</f>
        <v/>
      </c>
      <c r="Q61" s="3">
        <f>P61/METRICS!$C$14*100</f>
        <v/>
      </c>
      <c r="R61" s="3">
        <f>METRICS!$C$14+P61</f>
        <v/>
      </c>
      <c r="S61" s="3">
        <f>MAX($R$3:R61)</f>
        <v/>
      </c>
      <c r="T61" s="3">
        <f>R61-S61</f>
        <v/>
      </c>
      <c r="U61" s="3">
        <f>(R61-S61)/S61*100</f>
        <v/>
      </c>
      <c r="V61" s="3">
        <f>IF(K61&lt;0, (K61/100)^2, 0)</f>
        <v/>
      </c>
    </row>
    <row r="62">
      <c r="A62" s="3">
        <f>TEXT(60, """T""0000")</f>
        <v/>
      </c>
      <c r="B62" s="3">
        <f>RAW_INPUT!A62</f>
        <v/>
      </c>
      <c r="C62" s="3">
        <f>RAW_INPUT!B62</f>
        <v/>
      </c>
      <c r="D62" s="3">
        <f>RAW_INPUT!D62</f>
        <v/>
      </c>
      <c r="E62" s="3">
        <f>D62-C62</f>
        <v/>
      </c>
      <c r="F62" s="3">
        <f>RAW_INPUT!C62</f>
        <v/>
      </c>
      <c r="G62" s="3">
        <f>RAW_INPUT!E62</f>
        <v/>
      </c>
      <c r="H62" s="3">
        <f>I62/F62</f>
        <v/>
      </c>
      <c r="I62" s="3">
        <f>METRICS!$C$14 * 0.02</f>
        <v/>
      </c>
      <c r="J62" s="3">
        <f>(G62-F62)*H62</f>
        <v/>
      </c>
      <c r="K62" s="3">
        <f>(G62-F62)/F62*100</f>
        <v/>
      </c>
      <c r="L62" s="3">
        <f>RAW_INPUT!F62</f>
        <v/>
      </c>
      <c r="M62" s="3">
        <f>K62-L62</f>
        <v/>
      </c>
      <c r="N62" s="3">
        <f>IF(J62&gt;0, 1, 0)</f>
        <v/>
      </c>
      <c r="O62" s="3">
        <f>IF(J62&lt;0, 1, 0)</f>
        <v/>
      </c>
      <c r="P62" s="3">
        <f>SUM($J$3:J62)</f>
        <v/>
      </c>
      <c r="Q62" s="3">
        <f>P62/METRICS!$C$14*100</f>
        <v/>
      </c>
      <c r="R62" s="3">
        <f>METRICS!$C$14+P62</f>
        <v/>
      </c>
      <c r="S62" s="3">
        <f>MAX($R$3:R62)</f>
        <v/>
      </c>
      <c r="T62" s="3">
        <f>R62-S62</f>
        <v/>
      </c>
      <c r="U62" s="3">
        <f>(R62-S62)/S62*100</f>
        <v/>
      </c>
      <c r="V62" s="3">
        <f>IF(K62&lt;0, (K62/100)^2, 0)</f>
        <v/>
      </c>
    </row>
    <row r="63">
      <c r="A63" s="3">
        <f>TEXT(61, """T""0000")</f>
        <v/>
      </c>
      <c r="B63" s="3">
        <f>RAW_INPUT!A63</f>
        <v/>
      </c>
      <c r="C63" s="3">
        <f>RAW_INPUT!B63</f>
        <v/>
      </c>
      <c r="D63" s="3">
        <f>RAW_INPUT!D63</f>
        <v/>
      </c>
      <c r="E63" s="3">
        <f>D63-C63</f>
        <v/>
      </c>
      <c r="F63" s="3">
        <f>RAW_INPUT!C63</f>
        <v/>
      </c>
      <c r="G63" s="3">
        <f>RAW_INPUT!E63</f>
        <v/>
      </c>
      <c r="H63" s="3">
        <f>I63/F63</f>
        <v/>
      </c>
      <c r="I63" s="3">
        <f>METRICS!$C$14 * 0.02</f>
        <v/>
      </c>
      <c r="J63" s="3">
        <f>(G63-F63)*H63</f>
        <v/>
      </c>
      <c r="K63" s="3">
        <f>(G63-F63)/F63*100</f>
        <v/>
      </c>
      <c r="L63" s="3">
        <f>RAW_INPUT!F63</f>
        <v/>
      </c>
      <c r="M63" s="3">
        <f>K63-L63</f>
        <v/>
      </c>
      <c r="N63" s="3">
        <f>IF(J63&gt;0, 1, 0)</f>
        <v/>
      </c>
      <c r="O63" s="3">
        <f>IF(J63&lt;0, 1, 0)</f>
        <v/>
      </c>
      <c r="P63" s="3">
        <f>SUM($J$3:J63)</f>
        <v/>
      </c>
      <c r="Q63" s="3">
        <f>P63/METRICS!$C$14*100</f>
        <v/>
      </c>
      <c r="R63" s="3">
        <f>METRICS!$C$14+P63</f>
        <v/>
      </c>
      <c r="S63" s="3">
        <f>MAX($R$3:R63)</f>
        <v/>
      </c>
      <c r="T63" s="3">
        <f>R63-S63</f>
        <v/>
      </c>
      <c r="U63" s="3">
        <f>(R63-S63)/S63*100</f>
        <v/>
      </c>
      <c r="V63" s="3">
        <f>IF(K63&lt;0, (K63/100)^2, 0)</f>
        <v/>
      </c>
    </row>
    <row r="64">
      <c r="A64" s="3">
        <f>TEXT(62, """T""0000")</f>
        <v/>
      </c>
      <c r="B64" s="3">
        <f>RAW_INPUT!A64</f>
        <v/>
      </c>
      <c r="C64" s="3">
        <f>RAW_INPUT!B64</f>
        <v/>
      </c>
      <c r="D64" s="3">
        <f>RAW_INPUT!D64</f>
        <v/>
      </c>
      <c r="E64" s="3">
        <f>D64-C64</f>
        <v/>
      </c>
      <c r="F64" s="3">
        <f>RAW_INPUT!C64</f>
        <v/>
      </c>
      <c r="G64" s="3">
        <f>RAW_INPUT!E64</f>
        <v/>
      </c>
      <c r="H64" s="3">
        <f>I64/F64</f>
        <v/>
      </c>
      <c r="I64" s="3">
        <f>METRICS!$C$14 * 0.02</f>
        <v/>
      </c>
      <c r="J64" s="3">
        <f>(G64-F64)*H64</f>
        <v/>
      </c>
      <c r="K64" s="3">
        <f>(G64-F64)/F64*100</f>
        <v/>
      </c>
      <c r="L64" s="3">
        <f>RAW_INPUT!F64</f>
        <v/>
      </c>
      <c r="M64" s="3">
        <f>K64-L64</f>
        <v/>
      </c>
      <c r="N64" s="3">
        <f>IF(J64&gt;0, 1, 0)</f>
        <v/>
      </c>
      <c r="O64" s="3">
        <f>IF(J64&lt;0, 1, 0)</f>
        <v/>
      </c>
      <c r="P64" s="3">
        <f>SUM($J$3:J64)</f>
        <v/>
      </c>
      <c r="Q64" s="3">
        <f>P64/METRICS!$C$14*100</f>
        <v/>
      </c>
      <c r="R64" s="3">
        <f>METRICS!$C$14+P64</f>
        <v/>
      </c>
      <c r="S64" s="3">
        <f>MAX($R$3:R64)</f>
        <v/>
      </c>
      <c r="T64" s="3">
        <f>R64-S64</f>
        <v/>
      </c>
      <c r="U64" s="3">
        <f>(R64-S64)/S64*100</f>
        <v/>
      </c>
      <c r="V64" s="3">
        <f>IF(K64&lt;0, (K64/100)^2, 0)</f>
        <v/>
      </c>
    </row>
    <row r="65">
      <c r="A65" s="3">
        <f>TEXT(63, """T""0000")</f>
        <v/>
      </c>
      <c r="B65" s="3">
        <f>RAW_INPUT!A65</f>
        <v/>
      </c>
      <c r="C65" s="3">
        <f>RAW_INPUT!B65</f>
        <v/>
      </c>
      <c r="D65" s="3">
        <f>RAW_INPUT!D65</f>
        <v/>
      </c>
      <c r="E65" s="3">
        <f>D65-C65</f>
        <v/>
      </c>
      <c r="F65" s="3">
        <f>RAW_INPUT!C65</f>
        <v/>
      </c>
      <c r="G65" s="3">
        <f>RAW_INPUT!E65</f>
        <v/>
      </c>
      <c r="H65" s="3">
        <f>I65/F65</f>
        <v/>
      </c>
      <c r="I65" s="3">
        <f>METRICS!$C$14 * 0.02</f>
        <v/>
      </c>
      <c r="J65" s="3">
        <f>(G65-F65)*H65</f>
        <v/>
      </c>
      <c r="K65" s="3">
        <f>(G65-F65)/F65*100</f>
        <v/>
      </c>
      <c r="L65" s="3">
        <f>RAW_INPUT!F65</f>
        <v/>
      </c>
      <c r="M65" s="3">
        <f>K65-L65</f>
        <v/>
      </c>
      <c r="N65" s="3">
        <f>IF(J65&gt;0, 1, 0)</f>
        <v/>
      </c>
      <c r="O65" s="3">
        <f>IF(J65&lt;0, 1, 0)</f>
        <v/>
      </c>
      <c r="P65" s="3">
        <f>SUM($J$3:J65)</f>
        <v/>
      </c>
      <c r="Q65" s="3">
        <f>P65/METRICS!$C$14*100</f>
        <v/>
      </c>
      <c r="R65" s="3">
        <f>METRICS!$C$14+P65</f>
        <v/>
      </c>
      <c r="S65" s="3">
        <f>MAX($R$3:R65)</f>
        <v/>
      </c>
      <c r="T65" s="3">
        <f>R65-S65</f>
        <v/>
      </c>
      <c r="U65" s="3">
        <f>(R65-S65)/S65*100</f>
        <v/>
      </c>
      <c r="V65" s="3">
        <f>IF(K65&lt;0, (K65/100)^2, 0)</f>
        <v/>
      </c>
    </row>
    <row r="66">
      <c r="A66" s="3">
        <f>TEXT(64, """T""0000")</f>
        <v/>
      </c>
      <c r="B66" s="3">
        <f>RAW_INPUT!A66</f>
        <v/>
      </c>
      <c r="C66" s="3">
        <f>RAW_INPUT!B66</f>
        <v/>
      </c>
      <c r="D66" s="3">
        <f>RAW_INPUT!D66</f>
        <v/>
      </c>
      <c r="E66" s="3">
        <f>D66-C66</f>
        <v/>
      </c>
      <c r="F66" s="3">
        <f>RAW_INPUT!C66</f>
        <v/>
      </c>
      <c r="G66" s="3">
        <f>RAW_INPUT!E66</f>
        <v/>
      </c>
      <c r="H66" s="3">
        <f>I66/F66</f>
        <v/>
      </c>
      <c r="I66" s="3">
        <f>METRICS!$C$14 * 0.02</f>
        <v/>
      </c>
      <c r="J66" s="3">
        <f>(G66-F66)*H66</f>
        <v/>
      </c>
      <c r="K66" s="3">
        <f>(G66-F66)/F66*100</f>
        <v/>
      </c>
      <c r="L66" s="3">
        <f>RAW_INPUT!F66</f>
        <v/>
      </c>
      <c r="M66" s="3">
        <f>K66-L66</f>
        <v/>
      </c>
      <c r="N66" s="3">
        <f>IF(J66&gt;0, 1, 0)</f>
        <v/>
      </c>
      <c r="O66" s="3">
        <f>IF(J66&lt;0, 1, 0)</f>
        <v/>
      </c>
      <c r="P66" s="3">
        <f>SUM($J$3:J66)</f>
        <v/>
      </c>
      <c r="Q66" s="3">
        <f>P66/METRICS!$C$14*100</f>
        <v/>
      </c>
      <c r="R66" s="3">
        <f>METRICS!$C$14+P66</f>
        <v/>
      </c>
      <c r="S66" s="3">
        <f>MAX($R$3:R66)</f>
        <v/>
      </c>
      <c r="T66" s="3">
        <f>R66-S66</f>
        <v/>
      </c>
      <c r="U66" s="3">
        <f>(R66-S66)/S66*100</f>
        <v/>
      </c>
      <c r="V66" s="3">
        <f>IF(K66&lt;0, (K66/100)^2, 0)</f>
        <v/>
      </c>
    </row>
    <row r="67">
      <c r="A67" s="3">
        <f>TEXT(65, """T""0000")</f>
        <v/>
      </c>
      <c r="B67" s="3">
        <f>RAW_INPUT!A67</f>
        <v/>
      </c>
      <c r="C67" s="3">
        <f>RAW_INPUT!B67</f>
        <v/>
      </c>
      <c r="D67" s="3">
        <f>RAW_INPUT!D67</f>
        <v/>
      </c>
      <c r="E67" s="3">
        <f>D67-C67</f>
        <v/>
      </c>
      <c r="F67" s="3">
        <f>RAW_INPUT!C67</f>
        <v/>
      </c>
      <c r="G67" s="3">
        <f>RAW_INPUT!E67</f>
        <v/>
      </c>
      <c r="H67" s="3">
        <f>I67/F67</f>
        <v/>
      </c>
      <c r="I67" s="3">
        <f>METRICS!$C$14 * 0.02</f>
        <v/>
      </c>
      <c r="J67" s="3">
        <f>(G67-F67)*H67</f>
        <v/>
      </c>
      <c r="K67" s="3">
        <f>(G67-F67)/F67*100</f>
        <v/>
      </c>
      <c r="L67" s="3">
        <f>RAW_INPUT!F67</f>
        <v/>
      </c>
      <c r="M67" s="3">
        <f>K67-L67</f>
        <v/>
      </c>
      <c r="N67" s="3">
        <f>IF(J67&gt;0, 1, 0)</f>
        <v/>
      </c>
      <c r="O67" s="3">
        <f>IF(J67&lt;0, 1, 0)</f>
        <v/>
      </c>
      <c r="P67" s="3">
        <f>SUM($J$3:J67)</f>
        <v/>
      </c>
      <c r="Q67" s="3">
        <f>P67/METRICS!$C$14*100</f>
        <v/>
      </c>
      <c r="R67" s="3">
        <f>METRICS!$C$14+P67</f>
        <v/>
      </c>
      <c r="S67" s="3">
        <f>MAX($R$3:R67)</f>
        <v/>
      </c>
      <c r="T67" s="3">
        <f>R67-S67</f>
        <v/>
      </c>
      <c r="U67" s="3">
        <f>(R67-S67)/S67*100</f>
        <v/>
      </c>
      <c r="V67" s="3">
        <f>IF(K67&lt;0, (K67/100)^2, 0)</f>
        <v/>
      </c>
    </row>
    <row r="68">
      <c r="A68" s="3">
        <f>TEXT(66, """T""0000")</f>
        <v/>
      </c>
      <c r="B68" s="3">
        <f>RAW_INPUT!A68</f>
        <v/>
      </c>
      <c r="C68" s="3">
        <f>RAW_INPUT!B68</f>
        <v/>
      </c>
      <c r="D68" s="3">
        <f>RAW_INPUT!D68</f>
        <v/>
      </c>
      <c r="E68" s="3">
        <f>D68-C68</f>
        <v/>
      </c>
      <c r="F68" s="3">
        <f>RAW_INPUT!C68</f>
        <v/>
      </c>
      <c r="G68" s="3">
        <f>RAW_INPUT!E68</f>
        <v/>
      </c>
      <c r="H68" s="3">
        <f>I68/F68</f>
        <v/>
      </c>
      <c r="I68" s="3">
        <f>METRICS!$C$14 * 0.02</f>
        <v/>
      </c>
      <c r="J68" s="3">
        <f>(G68-F68)*H68</f>
        <v/>
      </c>
      <c r="K68" s="3">
        <f>(G68-F68)/F68*100</f>
        <v/>
      </c>
      <c r="L68" s="3">
        <f>RAW_INPUT!F68</f>
        <v/>
      </c>
      <c r="M68" s="3">
        <f>K68-L68</f>
        <v/>
      </c>
      <c r="N68" s="3">
        <f>IF(J68&gt;0, 1, 0)</f>
        <v/>
      </c>
      <c r="O68" s="3">
        <f>IF(J68&lt;0, 1, 0)</f>
        <v/>
      </c>
      <c r="P68" s="3">
        <f>SUM($J$3:J68)</f>
        <v/>
      </c>
      <c r="Q68" s="3">
        <f>P68/METRICS!$C$14*100</f>
        <v/>
      </c>
      <c r="R68" s="3">
        <f>METRICS!$C$14+P68</f>
        <v/>
      </c>
      <c r="S68" s="3">
        <f>MAX($R$3:R68)</f>
        <v/>
      </c>
      <c r="T68" s="3">
        <f>R68-S68</f>
        <v/>
      </c>
      <c r="U68" s="3">
        <f>(R68-S68)/S68*100</f>
        <v/>
      </c>
      <c r="V68" s="3">
        <f>IF(K68&lt;0, (K68/100)^2, 0)</f>
        <v/>
      </c>
    </row>
    <row r="69">
      <c r="A69" s="3">
        <f>TEXT(67, """T""0000")</f>
        <v/>
      </c>
      <c r="B69" s="3">
        <f>RAW_INPUT!A69</f>
        <v/>
      </c>
      <c r="C69" s="3">
        <f>RAW_INPUT!B69</f>
        <v/>
      </c>
      <c r="D69" s="3">
        <f>RAW_INPUT!D69</f>
        <v/>
      </c>
      <c r="E69" s="3">
        <f>D69-C69</f>
        <v/>
      </c>
      <c r="F69" s="3">
        <f>RAW_INPUT!C69</f>
        <v/>
      </c>
      <c r="G69" s="3">
        <f>RAW_INPUT!E69</f>
        <v/>
      </c>
      <c r="H69" s="3">
        <f>I69/F69</f>
        <v/>
      </c>
      <c r="I69" s="3">
        <f>METRICS!$C$14 * 0.02</f>
        <v/>
      </c>
      <c r="J69" s="3">
        <f>(G69-F69)*H69</f>
        <v/>
      </c>
      <c r="K69" s="3">
        <f>(G69-F69)/F69*100</f>
        <v/>
      </c>
      <c r="L69" s="3">
        <f>RAW_INPUT!F69</f>
        <v/>
      </c>
      <c r="M69" s="3">
        <f>K69-L69</f>
        <v/>
      </c>
      <c r="N69" s="3">
        <f>IF(J69&gt;0, 1, 0)</f>
        <v/>
      </c>
      <c r="O69" s="3">
        <f>IF(J69&lt;0, 1, 0)</f>
        <v/>
      </c>
      <c r="P69" s="3">
        <f>SUM($J$3:J69)</f>
        <v/>
      </c>
      <c r="Q69" s="3">
        <f>P69/METRICS!$C$14*100</f>
        <v/>
      </c>
      <c r="R69" s="3">
        <f>METRICS!$C$14+P69</f>
        <v/>
      </c>
      <c r="S69" s="3">
        <f>MAX($R$3:R69)</f>
        <v/>
      </c>
      <c r="T69" s="3">
        <f>R69-S69</f>
        <v/>
      </c>
      <c r="U69" s="3">
        <f>(R69-S69)/S69*100</f>
        <v/>
      </c>
      <c r="V69" s="3">
        <f>IF(K69&lt;0, (K69/100)^2, 0)</f>
        <v/>
      </c>
    </row>
    <row r="70">
      <c r="A70" s="3">
        <f>TEXT(68, """T""0000")</f>
        <v/>
      </c>
      <c r="B70" s="3">
        <f>RAW_INPUT!A70</f>
        <v/>
      </c>
      <c r="C70" s="3">
        <f>RAW_INPUT!B70</f>
        <v/>
      </c>
      <c r="D70" s="3">
        <f>RAW_INPUT!D70</f>
        <v/>
      </c>
      <c r="E70" s="3">
        <f>D70-C70</f>
        <v/>
      </c>
      <c r="F70" s="3">
        <f>RAW_INPUT!C70</f>
        <v/>
      </c>
      <c r="G70" s="3">
        <f>RAW_INPUT!E70</f>
        <v/>
      </c>
      <c r="H70" s="3">
        <f>I70/F70</f>
        <v/>
      </c>
      <c r="I70" s="3">
        <f>METRICS!$C$14 * 0.02</f>
        <v/>
      </c>
      <c r="J70" s="3">
        <f>(G70-F70)*H70</f>
        <v/>
      </c>
      <c r="K70" s="3">
        <f>(G70-F70)/F70*100</f>
        <v/>
      </c>
      <c r="L70" s="3">
        <f>RAW_INPUT!F70</f>
        <v/>
      </c>
      <c r="M70" s="3">
        <f>K70-L70</f>
        <v/>
      </c>
      <c r="N70" s="3">
        <f>IF(J70&gt;0, 1, 0)</f>
        <v/>
      </c>
      <c r="O70" s="3">
        <f>IF(J70&lt;0, 1, 0)</f>
        <v/>
      </c>
      <c r="P70" s="3">
        <f>SUM($J$3:J70)</f>
        <v/>
      </c>
      <c r="Q70" s="3">
        <f>P70/METRICS!$C$14*100</f>
        <v/>
      </c>
      <c r="R70" s="3">
        <f>METRICS!$C$14+P70</f>
        <v/>
      </c>
      <c r="S70" s="3">
        <f>MAX($R$3:R70)</f>
        <v/>
      </c>
      <c r="T70" s="3">
        <f>R70-S70</f>
        <v/>
      </c>
      <c r="U70" s="3">
        <f>(R70-S70)/S70*100</f>
        <v/>
      </c>
      <c r="V70" s="3">
        <f>IF(K70&lt;0, (K70/100)^2, 0)</f>
        <v/>
      </c>
    </row>
    <row r="71">
      <c r="A71" s="3">
        <f>TEXT(69, """T""0000")</f>
        <v/>
      </c>
      <c r="B71" s="3">
        <f>RAW_INPUT!A71</f>
        <v/>
      </c>
      <c r="C71" s="3">
        <f>RAW_INPUT!B71</f>
        <v/>
      </c>
      <c r="D71" s="3">
        <f>RAW_INPUT!D71</f>
        <v/>
      </c>
      <c r="E71" s="3">
        <f>D71-C71</f>
        <v/>
      </c>
      <c r="F71" s="3">
        <f>RAW_INPUT!C71</f>
        <v/>
      </c>
      <c r="G71" s="3">
        <f>RAW_INPUT!E71</f>
        <v/>
      </c>
      <c r="H71" s="3">
        <f>I71/F71</f>
        <v/>
      </c>
      <c r="I71" s="3">
        <f>METRICS!$C$14 * 0.02</f>
        <v/>
      </c>
      <c r="J71" s="3">
        <f>(G71-F71)*H71</f>
        <v/>
      </c>
      <c r="K71" s="3">
        <f>(G71-F71)/F71*100</f>
        <v/>
      </c>
      <c r="L71" s="3">
        <f>RAW_INPUT!F71</f>
        <v/>
      </c>
      <c r="M71" s="3">
        <f>K71-L71</f>
        <v/>
      </c>
      <c r="N71" s="3">
        <f>IF(J71&gt;0, 1, 0)</f>
        <v/>
      </c>
      <c r="O71" s="3">
        <f>IF(J71&lt;0, 1, 0)</f>
        <v/>
      </c>
      <c r="P71" s="3">
        <f>SUM($J$3:J71)</f>
        <v/>
      </c>
      <c r="Q71" s="3">
        <f>P71/METRICS!$C$14*100</f>
        <v/>
      </c>
      <c r="R71" s="3">
        <f>METRICS!$C$14+P71</f>
        <v/>
      </c>
      <c r="S71" s="3">
        <f>MAX($R$3:R71)</f>
        <v/>
      </c>
      <c r="T71" s="3">
        <f>R71-S71</f>
        <v/>
      </c>
      <c r="U71" s="3">
        <f>(R71-S71)/S71*100</f>
        <v/>
      </c>
      <c r="V71" s="3">
        <f>IF(K71&lt;0, (K71/100)^2, 0)</f>
        <v/>
      </c>
    </row>
    <row r="72">
      <c r="A72" s="3">
        <f>TEXT(70, """T""0000")</f>
        <v/>
      </c>
      <c r="B72" s="3">
        <f>RAW_INPUT!A72</f>
        <v/>
      </c>
      <c r="C72" s="3">
        <f>RAW_INPUT!B72</f>
        <v/>
      </c>
      <c r="D72" s="3">
        <f>RAW_INPUT!D72</f>
        <v/>
      </c>
      <c r="E72" s="3">
        <f>D72-C72</f>
        <v/>
      </c>
      <c r="F72" s="3">
        <f>RAW_INPUT!C72</f>
        <v/>
      </c>
      <c r="G72" s="3">
        <f>RAW_INPUT!E72</f>
        <v/>
      </c>
      <c r="H72" s="3">
        <f>I72/F72</f>
        <v/>
      </c>
      <c r="I72" s="3">
        <f>METRICS!$C$14 * 0.02</f>
        <v/>
      </c>
      <c r="J72" s="3">
        <f>(G72-F72)*H72</f>
        <v/>
      </c>
      <c r="K72" s="3">
        <f>(G72-F72)/F72*100</f>
        <v/>
      </c>
      <c r="L72" s="3">
        <f>RAW_INPUT!F72</f>
        <v/>
      </c>
      <c r="M72" s="3">
        <f>K72-L72</f>
        <v/>
      </c>
      <c r="N72" s="3">
        <f>IF(J72&gt;0, 1, 0)</f>
        <v/>
      </c>
      <c r="O72" s="3">
        <f>IF(J72&lt;0, 1, 0)</f>
        <v/>
      </c>
      <c r="P72" s="3">
        <f>SUM($J$3:J72)</f>
        <v/>
      </c>
      <c r="Q72" s="3">
        <f>P72/METRICS!$C$14*100</f>
        <v/>
      </c>
      <c r="R72" s="3">
        <f>METRICS!$C$14+P72</f>
        <v/>
      </c>
      <c r="S72" s="3">
        <f>MAX($R$3:R72)</f>
        <v/>
      </c>
      <c r="T72" s="3">
        <f>R72-S72</f>
        <v/>
      </c>
      <c r="U72" s="3">
        <f>(R72-S72)/S72*100</f>
        <v/>
      </c>
      <c r="V72" s="3">
        <f>IF(K72&lt;0, (K72/100)^2, 0)</f>
        <v/>
      </c>
    </row>
    <row r="73">
      <c r="A73" s="3">
        <f>TEXT(71, """T""0000")</f>
        <v/>
      </c>
      <c r="B73" s="3">
        <f>RAW_INPUT!A73</f>
        <v/>
      </c>
      <c r="C73" s="3">
        <f>RAW_INPUT!B73</f>
        <v/>
      </c>
      <c r="D73" s="3">
        <f>RAW_INPUT!D73</f>
        <v/>
      </c>
      <c r="E73" s="3">
        <f>D73-C73</f>
        <v/>
      </c>
      <c r="F73" s="3">
        <f>RAW_INPUT!C73</f>
        <v/>
      </c>
      <c r="G73" s="3">
        <f>RAW_INPUT!E73</f>
        <v/>
      </c>
      <c r="H73" s="3">
        <f>I73/F73</f>
        <v/>
      </c>
      <c r="I73" s="3">
        <f>METRICS!$C$14 * 0.02</f>
        <v/>
      </c>
      <c r="J73" s="3">
        <f>(G73-F73)*H73</f>
        <v/>
      </c>
      <c r="K73" s="3">
        <f>(G73-F73)/F73*100</f>
        <v/>
      </c>
      <c r="L73" s="3">
        <f>RAW_INPUT!F73</f>
        <v/>
      </c>
      <c r="M73" s="3">
        <f>K73-L73</f>
        <v/>
      </c>
      <c r="N73" s="3">
        <f>IF(J73&gt;0, 1, 0)</f>
        <v/>
      </c>
      <c r="O73" s="3">
        <f>IF(J73&lt;0, 1, 0)</f>
        <v/>
      </c>
      <c r="P73" s="3">
        <f>SUM($J$3:J73)</f>
        <v/>
      </c>
      <c r="Q73" s="3">
        <f>P73/METRICS!$C$14*100</f>
        <v/>
      </c>
      <c r="R73" s="3">
        <f>METRICS!$C$14+P73</f>
        <v/>
      </c>
      <c r="S73" s="3">
        <f>MAX($R$3:R73)</f>
        <v/>
      </c>
      <c r="T73" s="3">
        <f>R73-S73</f>
        <v/>
      </c>
      <c r="U73" s="3">
        <f>(R73-S73)/S73*100</f>
        <v/>
      </c>
      <c r="V73" s="3">
        <f>IF(K73&lt;0, (K73/100)^2, 0)</f>
        <v/>
      </c>
    </row>
    <row r="74">
      <c r="A74" s="3">
        <f>TEXT(72, """T""0000")</f>
        <v/>
      </c>
      <c r="B74" s="3">
        <f>RAW_INPUT!A74</f>
        <v/>
      </c>
      <c r="C74" s="3">
        <f>RAW_INPUT!B74</f>
        <v/>
      </c>
      <c r="D74" s="3">
        <f>RAW_INPUT!D74</f>
        <v/>
      </c>
      <c r="E74" s="3">
        <f>D74-C74</f>
        <v/>
      </c>
      <c r="F74" s="3">
        <f>RAW_INPUT!C74</f>
        <v/>
      </c>
      <c r="G74" s="3">
        <f>RAW_INPUT!E74</f>
        <v/>
      </c>
      <c r="H74" s="3">
        <f>I74/F74</f>
        <v/>
      </c>
      <c r="I74" s="3">
        <f>METRICS!$C$14 * 0.02</f>
        <v/>
      </c>
      <c r="J74" s="3">
        <f>(G74-F74)*H74</f>
        <v/>
      </c>
      <c r="K74" s="3">
        <f>(G74-F74)/F74*100</f>
        <v/>
      </c>
      <c r="L74" s="3">
        <f>RAW_INPUT!F74</f>
        <v/>
      </c>
      <c r="M74" s="3">
        <f>K74-L74</f>
        <v/>
      </c>
      <c r="N74" s="3">
        <f>IF(J74&gt;0, 1, 0)</f>
        <v/>
      </c>
      <c r="O74" s="3">
        <f>IF(J74&lt;0, 1, 0)</f>
        <v/>
      </c>
      <c r="P74" s="3">
        <f>SUM($J$3:J74)</f>
        <v/>
      </c>
      <c r="Q74" s="3">
        <f>P74/METRICS!$C$14*100</f>
        <v/>
      </c>
      <c r="R74" s="3">
        <f>METRICS!$C$14+P74</f>
        <v/>
      </c>
      <c r="S74" s="3">
        <f>MAX($R$3:R74)</f>
        <v/>
      </c>
      <c r="T74" s="3">
        <f>R74-S74</f>
        <v/>
      </c>
      <c r="U74" s="3">
        <f>(R74-S74)/S74*100</f>
        <v/>
      </c>
      <c r="V74" s="3">
        <f>IF(K74&lt;0, (K74/100)^2, 0)</f>
        <v/>
      </c>
    </row>
    <row r="75">
      <c r="A75" s="3">
        <f>TEXT(73, """T""0000")</f>
        <v/>
      </c>
      <c r="B75" s="3">
        <f>RAW_INPUT!A75</f>
        <v/>
      </c>
      <c r="C75" s="3">
        <f>RAW_INPUT!B75</f>
        <v/>
      </c>
      <c r="D75" s="3">
        <f>RAW_INPUT!D75</f>
        <v/>
      </c>
      <c r="E75" s="3">
        <f>D75-C75</f>
        <v/>
      </c>
      <c r="F75" s="3">
        <f>RAW_INPUT!C75</f>
        <v/>
      </c>
      <c r="G75" s="3">
        <f>RAW_INPUT!E75</f>
        <v/>
      </c>
      <c r="H75" s="3">
        <f>I75/F75</f>
        <v/>
      </c>
      <c r="I75" s="3">
        <f>METRICS!$C$14 * 0.02</f>
        <v/>
      </c>
      <c r="J75" s="3">
        <f>(G75-F75)*H75</f>
        <v/>
      </c>
      <c r="K75" s="3">
        <f>(G75-F75)/F75*100</f>
        <v/>
      </c>
      <c r="L75" s="3">
        <f>RAW_INPUT!F75</f>
        <v/>
      </c>
      <c r="M75" s="3">
        <f>K75-L75</f>
        <v/>
      </c>
      <c r="N75" s="3">
        <f>IF(J75&gt;0, 1, 0)</f>
        <v/>
      </c>
      <c r="O75" s="3">
        <f>IF(J75&lt;0, 1, 0)</f>
        <v/>
      </c>
      <c r="P75" s="3">
        <f>SUM($J$3:J75)</f>
        <v/>
      </c>
      <c r="Q75" s="3">
        <f>P75/METRICS!$C$14*100</f>
        <v/>
      </c>
      <c r="R75" s="3">
        <f>METRICS!$C$14+P75</f>
        <v/>
      </c>
      <c r="S75" s="3">
        <f>MAX($R$3:R75)</f>
        <v/>
      </c>
      <c r="T75" s="3">
        <f>R75-S75</f>
        <v/>
      </c>
      <c r="U75" s="3">
        <f>(R75-S75)/S75*100</f>
        <v/>
      </c>
      <c r="V75" s="3">
        <f>IF(K75&lt;0, (K75/100)^2, 0)</f>
        <v/>
      </c>
    </row>
    <row r="76">
      <c r="A76" s="3">
        <f>TEXT(74, """T""0000")</f>
        <v/>
      </c>
      <c r="B76" s="3">
        <f>RAW_INPUT!A76</f>
        <v/>
      </c>
      <c r="C76" s="3">
        <f>RAW_INPUT!B76</f>
        <v/>
      </c>
      <c r="D76" s="3">
        <f>RAW_INPUT!D76</f>
        <v/>
      </c>
      <c r="E76" s="3">
        <f>D76-C76</f>
        <v/>
      </c>
      <c r="F76" s="3">
        <f>RAW_INPUT!C76</f>
        <v/>
      </c>
      <c r="G76" s="3">
        <f>RAW_INPUT!E76</f>
        <v/>
      </c>
      <c r="H76" s="3">
        <f>I76/F76</f>
        <v/>
      </c>
      <c r="I76" s="3">
        <f>METRICS!$C$14 * 0.02</f>
        <v/>
      </c>
      <c r="J76" s="3">
        <f>(G76-F76)*H76</f>
        <v/>
      </c>
      <c r="K76" s="3">
        <f>(G76-F76)/F76*100</f>
        <v/>
      </c>
      <c r="L76" s="3">
        <f>RAW_INPUT!F76</f>
        <v/>
      </c>
      <c r="M76" s="3">
        <f>K76-L76</f>
        <v/>
      </c>
      <c r="N76" s="3">
        <f>IF(J76&gt;0, 1, 0)</f>
        <v/>
      </c>
      <c r="O76" s="3">
        <f>IF(J76&lt;0, 1, 0)</f>
        <v/>
      </c>
      <c r="P76" s="3">
        <f>SUM($J$3:J76)</f>
        <v/>
      </c>
      <c r="Q76" s="3">
        <f>P76/METRICS!$C$14*100</f>
        <v/>
      </c>
      <c r="R76" s="3">
        <f>METRICS!$C$14+P76</f>
        <v/>
      </c>
      <c r="S76" s="3">
        <f>MAX($R$3:R76)</f>
        <v/>
      </c>
      <c r="T76" s="3">
        <f>R76-S76</f>
        <v/>
      </c>
      <c r="U76" s="3">
        <f>(R76-S76)/S76*100</f>
        <v/>
      </c>
      <c r="V76" s="3">
        <f>IF(K76&lt;0, (K76/100)^2, 0)</f>
        <v/>
      </c>
    </row>
    <row r="77">
      <c r="A77" s="3">
        <f>TEXT(75, """T""0000")</f>
        <v/>
      </c>
      <c r="B77" s="3">
        <f>RAW_INPUT!A77</f>
        <v/>
      </c>
      <c r="C77" s="3">
        <f>RAW_INPUT!B77</f>
        <v/>
      </c>
      <c r="D77" s="3">
        <f>RAW_INPUT!D77</f>
        <v/>
      </c>
      <c r="E77" s="3">
        <f>D77-C77</f>
        <v/>
      </c>
      <c r="F77" s="3">
        <f>RAW_INPUT!C77</f>
        <v/>
      </c>
      <c r="G77" s="3">
        <f>RAW_INPUT!E77</f>
        <v/>
      </c>
      <c r="H77" s="3">
        <f>I77/F77</f>
        <v/>
      </c>
      <c r="I77" s="3">
        <f>METRICS!$C$14 * 0.02</f>
        <v/>
      </c>
      <c r="J77" s="3">
        <f>(G77-F77)*H77</f>
        <v/>
      </c>
      <c r="K77" s="3">
        <f>(G77-F77)/F77*100</f>
        <v/>
      </c>
      <c r="L77" s="3">
        <f>RAW_INPUT!F77</f>
        <v/>
      </c>
      <c r="M77" s="3">
        <f>K77-L77</f>
        <v/>
      </c>
      <c r="N77" s="3">
        <f>IF(J77&gt;0, 1, 0)</f>
        <v/>
      </c>
      <c r="O77" s="3">
        <f>IF(J77&lt;0, 1, 0)</f>
        <v/>
      </c>
      <c r="P77" s="3">
        <f>SUM($J$3:J77)</f>
        <v/>
      </c>
      <c r="Q77" s="3">
        <f>P77/METRICS!$C$14*100</f>
        <v/>
      </c>
      <c r="R77" s="3">
        <f>METRICS!$C$14+P77</f>
        <v/>
      </c>
      <c r="S77" s="3">
        <f>MAX($R$3:R77)</f>
        <v/>
      </c>
      <c r="T77" s="3">
        <f>R77-S77</f>
        <v/>
      </c>
      <c r="U77" s="3">
        <f>(R77-S77)/S77*100</f>
        <v/>
      </c>
      <c r="V77" s="3">
        <f>IF(K77&lt;0, (K77/100)^2, 0)</f>
        <v/>
      </c>
    </row>
    <row r="78">
      <c r="A78" s="3">
        <f>TEXT(76, """T""0000")</f>
        <v/>
      </c>
      <c r="B78" s="3">
        <f>RAW_INPUT!A78</f>
        <v/>
      </c>
      <c r="C78" s="3">
        <f>RAW_INPUT!B78</f>
        <v/>
      </c>
      <c r="D78" s="3">
        <f>RAW_INPUT!D78</f>
        <v/>
      </c>
      <c r="E78" s="3">
        <f>D78-C78</f>
        <v/>
      </c>
      <c r="F78" s="3">
        <f>RAW_INPUT!C78</f>
        <v/>
      </c>
      <c r="G78" s="3">
        <f>RAW_INPUT!E78</f>
        <v/>
      </c>
      <c r="H78" s="3">
        <f>I78/F78</f>
        <v/>
      </c>
      <c r="I78" s="3">
        <f>METRICS!$C$14 * 0.02</f>
        <v/>
      </c>
      <c r="J78" s="3">
        <f>(G78-F78)*H78</f>
        <v/>
      </c>
      <c r="K78" s="3">
        <f>(G78-F78)/F78*100</f>
        <v/>
      </c>
      <c r="L78" s="3">
        <f>RAW_INPUT!F78</f>
        <v/>
      </c>
      <c r="M78" s="3">
        <f>K78-L78</f>
        <v/>
      </c>
      <c r="N78" s="3">
        <f>IF(J78&gt;0, 1, 0)</f>
        <v/>
      </c>
      <c r="O78" s="3">
        <f>IF(J78&lt;0, 1, 0)</f>
        <v/>
      </c>
      <c r="P78" s="3">
        <f>SUM($J$3:J78)</f>
        <v/>
      </c>
      <c r="Q78" s="3">
        <f>P78/METRICS!$C$14*100</f>
        <v/>
      </c>
      <c r="R78" s="3">
        <f>METRICS!$C$14+P78</f>
        <v/>
      </c>
      <c r="S78" s="3">
        <f>MAX($R$3:R78)</f>
        <v/>
      </c>
      <c r="T78" s="3">
        <f>R78-S78</f>
        <v/>
      </c>
      <c r="U78" s="3">
        <f>(R78-S78)/S78*100</f>
        <v/>
      </c>
      <c r="V78" s="3">
        <f>IF(K78&lt;0, (K78/100)^2, 0)</f>
        <v/>
      </c>
    </row>
    <row r="79">
      <c r="A79" s="3">
        <f>TEXT(77, """T""0000")</f>
        <v/>
      </c>
      <c r="B79" s="3">
        <f>RAW_INPUT!A79</f>
        <v/>
      </c>
      <c r="C79" s="3">
        <f>RAW_INPUT!B79</f>
        <v/>
      </c>
      <c r="D79" s="3">
        <f>RAW_INPUT!D79</f>
        <v/>
      </c>
      <c r="E79" s="3">
        <f>D79-C79</f>
        <v/>
      </c>
      <c r="F79" s="3">
        <f>RAW_INPUT!C79</f>
        <v/>
      </c>
      <c r="G79" s="3">
        <f>RAW_INPUT!E79</f>
        <v/>
      </c>
      <c r="H79" s="3">
        <f>I79/F79</f>
        <v/>
      </c>
      <c r="I79" s="3">
        <f>METRICS!$C$14 * 0.02</f>
        <v/>
      </c>
      <c r="J79" s="3">
        <f>(G79-F79)*H79</f>
        <v/>
      </c>
      <c r="K79" s="3">
        <f>(G79-F79)/F79*100</f>
        <v/>
      </c>
      <c r="L79" s="3">
        <f>RAW_INPUT!F79</f>
        <v/>
      </c>
      <c r="M79" s="3">
        <f>K79-L79</f>
        <v/>
      </c>
      <c r="N79" s="3">
        <f>IF(J79&gt;0, 1, 0)</f>
        <v/>
      </c>
      <c r="O79" s="3">
        <f>IF(J79&lt;0, 1, 0)</f>
        <v/>
      </c>
      <c r="P79" s="3">
        <f>SUM($J$3:J79)</f>
        <v/>
      </c>
      <c r="Q79" s="3">
        <f>P79/METRICS!$C$14*100</f>
        <v/>
      </c>
      <c r="R79" s="3">
        <f>METRICS!$C$14+P79</f>
        <v/>
      </c>
      <c r="S79" s="3">
        <f>MAX($R$3:R79)</f>
        <v/>
      </c>
      <c r="T79" s="3">
        <f>R79-S79</f>
        <v/>
      </c>
      <c r="U79" s="3">
        <f>(R79-S79)/S79*100</f>
        <v/>
      </c>
      <c r="V79" s="3">
        <f>IF(K79&lt;0, (K79/100)^2, 0)</f>
        <v/>
      </c>
    </row>
    <row r="80">
      <c r="A80" s="3">
        <f>TEXT(78, """T""0000")</f>
        <v/>
      </c>
      <c r="B80" s="3">
        <f>RAW_INPUT!A80</f>
        <v/>
      </c>
      <c r="C80" s="3">
        <f>RAW_INPUT!B80</f>
        <v/>
      </c>
      <c r="D80" s="3">
        <f>RAW_INPUT!D80</f>
        <v/>
      </c>
      <c r="E80" s="3">
        <f>D80-C80</f>
        <v/>
      </c>
      <c r="F80" s="3">
        <f>RAW_INPUT!C80</f>
        <v/>
      </c>
      <c r="G80" s="3">
        <f>RAW_INPUT!E80</f>
        <v/>
      </c>
      <c r="H80" s="3">
        <f>I80/F80</f>
        <v/>
      </c>
      <c r="I80" s="3">
        <f>METRICS!$C$14 * 0.02</f>
        <v/>
      </c>
      <c r="J80" s="3">
        <f>(G80-F80)*H80</f>
        <v/>
      </c>
      <c r="K80" s="3">
        <f>(G80-F80)/F80*100</f>
        <v/>
      </c>
      <c r="L80" s="3">
        <f>RAW_INPUT!F80</f>
        <v/>
      </c>
      <c r="M80" s="3">
        <f>K80-L80</f>
        <v/>
      </c>
      <c r="N80" s="3">
        <f>IF(J80&gt;0, 1, 0)</f>
        <v/>
      </c>
      <c r="O80" s="3">
        <f>IF(J80&lt;0, 1, 0)</f>
        <v/>
      </c>
      <c r="P80" s="3">
        <f>SUM($J$3:J80)</f>
        <v/>
      </c>
      <c r="Q80" s="3">
        <f>P80/METRICS!$C$14*100</f>
        <v/>
      </c>
      <c r="R80" s="3">
        <f>METRICS!$C$14+P80</f>
        <v/>
      </c>
      <c r="S80" s="3">
        <f>MAX($R$3:R80)</f>
        <v/>
      </c>
      <c r="T80" s="3">
        <f>R80-S80</f>
        <v/>
      </c>
      <c r="U80" s="3">
        <f>(R80-S80)/S80*100</f>
        <v/>
      </c>
      <c r="V80" s="3">
        <f>IF(K80&lt;0, (K80/100)^2, 0)</f>
        <v/>
      </c>
    </row>
    <row r="81">
      <c r="A81" s="3">
        <f>TEXT(79, """T""0000")</f>
        <v/>
      </c>
      <c r="B81" s="3">
        <f>RAW_INPUT!A81</f>
        <v/>
      </c>
      <c r="C81" s="3">
        <f>RAW_INPUT!B81</f>
        <v/>
      </c>
      <c r="D81" s="3">
        <f>RAW_INPUT!D81</f>
        <v/>
      </c>
      <c r="E81" s="3">
        <f>D81-C81</f>
        <v/>
      </c>
      <c r="F81" s="3">
        <f>RAW_INPUT!C81</f>
        <v/>
      </c>
      <c r="G81" s="3">
        <f>RAW_INPUT!E81</f>
        <v/>
      </c>
      <c r="H81" s="3">
        <f>I81/F81</f>
        <v/>
      </c>
      <c r="I81" s="3">
        <f>METRICS!$C$14 * 0.02</f>
        <v/>
      </c>
      <c r="J81" s="3">
        <f>(G81-F81)*H81</f>
        <v/>
      </c>
      <c r="K81" s="3">
        <f>(G81-F81)/F81*100</f>
        <v/>
      </c>
      <c r="L81" s="3">
        <f>RAW_INPUT!F81</f>
        <v/>
      </c>
      <c r="M81" s="3">
        <f>K81-L81</f>
        <v/>
      </c>
      <c r="N81" s="3">
        <f>IF(J81&gt;0, 1, 0)</f>
        <v/>
      </c>
      <c r="O81" s="3">
        <f>IF(J81&lt;0, 1, 0)</f>
        <v/>
      </c>
      <c r="P81" s="3">
        <f>SUM($J$3:J81)</f>
        <v/>
      </c>
      <c r="Q81" s="3">
        <f>P81/METRICS!$C$14*100</f>
        <v/>
      </c>
      <c r="R81" s="3">
        <f>METRICS!$C$14+P81</f>
        <v/>
      </c>
      <c r="S81" s="3">
        <f>MAX($R$3:R81)</f>
        <v/>
      </c>
      <c r="T81" s="3">
        <f>R81-S81</f>
        <v/>
      </c>
      <c r="U81" s="3">
        <f>(R81-S81)/S81*100</f>
        <v/>
      </c>
      <c r="V81" s="3">
        <f>IF(K81&lt;0, (K81/100)^2, 0)</f>
        <v/>
      </c>
    </row>
    <row r="82">
      <c r="A82" s="3">
        <f>TEXT(80, """T""0000")</f>
        <v/>
      </c>
      <c r="B82" s="3">
        <f>RAW_INPUT!A82</f>
        <v/>
      </c>
      <c r="C82" s="3">
        <f>RAW_INPUT!B82</f>
        <v/>
      </c>
      <c r="D82" s="3">
        <f>RAW_INPUT!D82</f>
        <v/>
      </c>
      <c r="E82" s="3">
        <f>D82-C82</f>
        <v/>
      </c>
      <c r="F82" s="3">
        <f>RAW_INPUT!C82</f>
        <v/>
      </c>
      <c r="G82" s="3">
        <f>RAW_INPUT!E82</f>
        <v/>
      </c>
      <c r="H82" s="3">
        <f>I82/F82</f>
        <v/>
      </c>
      <c r="I82" s="3">
        <f>METRICS!$C$14 * 0.02</f>
        <v/>
      </c>
      <c r="J82" s="3">
        <f>(G82-F82)*H82</f>
        <v/>
      </c>
      <c r="K82" s="3">
        <f>(G82-F82)/F82*100</f>
        <v/>
      </c>
      <c r="L82" s="3">
        <f>RAW_INPUT!F82</f>
        <v/>
      </c>
      <c r="M82" s="3">
        <f>K82-L82</f>
        <v/>
      </c>
      <c r="N82" s="3">
        <f>IF(J82&gt;0, 1, 0)</f>
        <v/>
      </c>
      <c r="O82" s="3">
        <f>IF(J82&lt;0, 1, 0)</f>
        <v/>
      </c>
      <c r="P82" s="3">
        <f>SUM($J$3:J82)</f>
        <v/>
      </c>
      <c r="Q82" s="3">
        <f>P82/METRICS!$C$14*100</f>
        <v/>
      </c>
      <c r="R82" s="3">
        <f>METRICS!$C$14+P82</f>
        <v/>
      </c>
      <c r="S82" s="3">
        <f>MAX($R$3:R82)</f>
        <v/>
      </c>
      <c r="T82" s="3">
        <f>R82-S82</f>
        <v/>
      </c>
      <c r="U82" s="3">
        <f>(R82-S82)/S82*100</f>
        <v/>
      </c>
      <c r="V82" s="3">
        <f>IF(K82&lt;0, (K82/100)^2, 0)</f>
        <v/>
      </c>
    </row>
    <row r="83">
      <c r="A83" s="3">
        <f>TEXT(81, """T""0000")</f>
        <v/>
      </c>
      <c r="B83" s="3">
        <f>RAW_INPUT!A83</f>
        <v/>
      </c>
      <c r="C83" s="3">
        <f>RAW_INPUT!B83</f>
        <v/>
      </c>
      <c r="D83" s="3">
        <f>RAW_INPUT!D83</f>
        <v/>
      </c>
      <c r="E83" s="3">
        <f>D83-C83</f>
        <v/>
      </c>
      <c r="F83" s="3">
        <f>RAW_INPUT!C83</f>
        <v/>
      </c>
      <c r="G83" s="3">
        <f>RAW_INPUT!E83</f>
        <v/>
      </c>
      <c r="H83" s="3">
        <f>I83/F83</f>
        <v/>
      </c>
      <c r="I83" s="3">
        <f>METRICS!$C$14 * 0.02</f>
        <v/>
      </c>
      <c r="J83" s="3">
        <f>(G83-F83)*H83</f>
        <v/>
      </c>
      <c r="K83" s="3">
        <f>(G83-F83)/F83*100</f>
        <v/>
      </c>
      <c r="L83" s="3">
        <f>RAW_INPUT!F83</f>
        <v/>
      </c>
      <c r="M83" s="3">
        <f>K83-L83</f>
        <v/>
      </c>
      <c r="N83" s="3">
        <f>IF(J83&gt;0, 1, 0)</f>
        <v/>
      </c>
      <c r="O83" s="3">
        <f>IF(J83&lt;0, 1, 0)</f>
        <v/>
      </c>
      <c r="P83" s="3">
        <f>SUM($J$3:J83)</f>
        <v/>
      </c>
      <c r="Q83" s="3">
        <f>P83/METRICS!$C$14*100</f>
        <v/>
      </c>
      <c r="R83" s="3">
        <f>METRICS!$C$14+P83</f>
        <v/>
      </c>
      <c r="S83" s="3">
        <f>MAX($R$3:R83)</f>
        <v/>
      </c>
      <c r="T83" s="3">
        <f>R83-S83</f>
        <v/>
      </c>
      <c r="U83" s="3">
        <f>(R83-S83)/S83*100</f>
        <v/>
      </c>
      <c r="V83" s="3">
        <f>IF(K83&lt;0, (K83/100)^2, 0)</f>
        <v/>
      </c>
    </row>
    <row r="84">
      <c r="A84" s="3">
        <f>TEXT(82, """T""0000")</f>
        <v/>
      </c>
      <c r="B84" s="3">
        <f>RAW_INPUT!A84</f>
        <v/>
      </c>
      <c r="C84" s="3">
        <f>RAW_INPUT!B84</f>
        <v/>
      </c>
      <c r="D84" s="3">
        <f>RAW_INPUT!D84</f>
        <v/>
      </c>
      <c r="E84" s="3">
        <f>D84-C84</f>
        <v/>
      </c>
      <c r="F84" s="3">
        <f>RAW_INPUT!C84</f>
        <v/>
      </c>
      <c r="G84" s="3">
        <f>RAW_INPUT!E84</f>
        <v/>
      </c>
      <c r="H84" s="3">
        <f>I84/F84</f>
        <v/>
      </c>
      <c r="I84" s="3">
        <f>METRICS!$C$14 * 0.02</f>
        <v/>
      </c>
      <c r="J84" s="3">
        <f>(G84-F84)*H84</f>
        <v/>
      </c>
      <c r="K84" s="3">
        <f>(G84-F84)/F84*100</f>
        <v/>
      </c>
      <c r="L84" s="3">
        <f>RAW_INPUT!F84</f>
        <v/>
      </c>
      <c r="M84" s="3">
        <f>K84-L84</f>
        <v/>
      </c>
      <c r="N84" s="3">
        <f>IF(J84&gt;0, 1, 0)</f>
        <v/>
      </c>
      <c r="O84" s="3">
        <f>IF(J84&lt;0, 1, 0)</f>
        <v/>
      </c>
      <c r="P84" s="3">
        <f>SUM($J$3:J84)</f>
        <v/>
      </c>
      <c r="Q84" s="3">
        <f>P84/METRICS!$C$14*100</f>
        <v/>
      </c>
      <c r="R84" s="3">
        <f>METRICS!$C$14+P84</f>
        <v/>
      </c>
      <c r="S84" s="3">
        <f>MAX($R$3:R84)</f>
        <v/>
      </c>
      <c r="T84" s="3">
        <f>R84-S84</f>
        <v/>
      </c>
      <c r="U84" s="3">
        <f>(R84-S84)/S84*100</f>
        <v/>
      </c>
      <c r="V84" s="3">
        <f>IF(K84&lt;0, (K84/100)^2, 0)</f>
        <v/>
      </c>
    </row>
    <row r="85">
      <c r="A85" s="3">
        <f>TEXT(83, """T""0000")</f>
        <v/>
      </c>
      <c r="B85" s="3">
        <f>RAW_INPUT!A85</f>
        <v/>
      </c>
      <c r="C85" s="3">
        <f>RAW_INPUT!B85</f>
        <v/>
      </c>
      <c r="D85" s="3">
        <f>RAW_INPUT!D85</f>
        <v/>
      </c>
      <c r="E85" s="3">
        <f>D85-C85</f>
        <v/>
      </c>
      <c r="F85" s="3">
        <f>RAW_INPUT!C85</f>
        <v/>
      </c>
      <c r="G85" s="3">
        <f>RAW_INPUT!E85</f>
        <v/>
      </c>
      <c r="H85" s="3">
        <f>I85/F85</f>
        <v/>
      </c>
      <c r="I85" s="3">
        <f>METRICS!$C$14 * 0.02</f>
        <v/>
      </c>
      <c r="J85" s="3">
        <f>(G85-F85)*H85</f>
        <v/>
      </c>
      <c r="K85" s="3">
        <f>(G85-F85)/F85*100</f>
        <v/>
      </c>
      <c r="L85" s="3">
        <f>RAW_INPUT!F85</f>
        <v/>
      </c>
      <c r="M85" s="3">
        <f>K85-L85</f>
        <v/>
      </c>
      <c r="N85" s="3">
        <f>IF(J85&gt;0, 1, 0)</f>
        <v/>
      </c>
      <c r="O85" s="3">
        <f>IF(J85&lt;0, 1, 0)</f>
        <v/>
      </c>
      <c r="P85" s="3">
        <f>SUM($J$3:J85)</f>
        <v/>
      </c>
      <c r="Q85" s="3">
        <f>P85/METRICS!$C$14*100</f>
        <v/>
      </c>
      <c r="R85" s="3">
        <f>METRICS!$C$14+P85</f>
        <v/>
      </c>
      <c r="S85" s="3">
        <f>MAX($R$3:R85)</f>
        <v/>
      </c>
      <c r="T85" s="3">
        <f>R85-S85</f>
        <v/>
      </c>
      <c r="U85" s="3">
        <f>(R85-S85)/S85*100</f>
        <v/>
      </c>
      <c r="V85" s="3">
        <f>IF(K85&lt;0, (K85/100)^2, 0)</f>
        <v/>
      </c>
    </row>
    <row r="86">
      <c r="A86" s="3">
        <f>TEXT(84, """T""0000")</f>
        <v/>
      </c>
      <c r="B86" s="3">
        <f>RAW_INPUT!A86</f>
        <v/>
      </c>
      <c r="C86" s="3">
        <f>RAW_INPUT!B86</f>
        <v/>
      </c>
      <c r="D86" s="3">
        <f>RAW_INPUT!D86</f>
        <v/>
      </c>
      <c r="E86" s="3">
        <f>D86-C86</f>
        <v/>
      </c>
      <c r="F86" s="3">
        <f>RAW_INPUT!C86</f>
        <v/>
      </c>
      <c r="G86" s="3">
        <f>RAW_INPUT!E86</f>
        <v/>
      </c>
      <c r="H86" s="3">
        <f>I86/F86</f>
        <v/>
      </c>
      <c r="I86" s="3">
        <f>METRICS!$C$14 * 0.02</f>
        <v/>
      </c>
      <c r="J86" s="3">
        <f>(G86-F86)*H86</f>
        <v/>
      </c>
      <c r="K86" s="3">
        <f>(G86-F86)/F86*100</f>
        <v/>
      </c>
      <c r="L86" s="3">
        <f>RAW_INPUT!F86</f>
        <v/>
      </c>
      <c r="M86" s="3">
        <f>K86-L86</f>
        <v/>
      </c>
      <c r="N86" s="3">
        <f>IF(J86&gt;0, 1, 0)</f>
        <v/>
      </c>
      <c r="O86" s="3">
        <f>IF(J86&lt;0, 1, 0)</f>
        <v/>
      </c>
      <c r="P86" s="3">
        <f>SUM($J$3:J86)</f>
        <v/>
      </c>
      <c r="Q86" s="3">
        <f>P86/METRICS!$C$14*100</f>
        <v/>
      </c>
      <c r="R86" s="3">
        <f>METRICS!$C$14+P86</f>
        <v/>
      </c>
      <c r="S86" s="3">
        <f>MAX($R$3:R86)</f>
        <v/>
      </c>
      <c r="T86" s="3">
        <f>R86-S86</f>
        <v/>
      </c>
      <c r="U86" s="3">
        <f>(R86-S86)/S86*100</f>
        <v/>
      </c>
      <c r="V86" s="3">
        <f>IF(K86&lt;0, (K86/100)^2, 0)</f>
        <v/>
      </c>
    </row>
    <row r="87">
      <c r="A87" s="3">
        <f>TEXT(85, """T""0000")</f>
        <v/>
      </c>
      <c r="B87" s="3">
        <f>RAW_INPUT!A87</f>
        <v/>
      </c>
      <c r="C87" s="3">
        <f>RAW_INPUT!B87</f>
        <v/>
      </c>
      <c r="D87" s="3">
        <f>RAW_INPUT!D87</f>
        <v/>
      </c>
      <c r="E87" s="3">
        <f>D87-C87</f>
        <v/>
      </c>
      <c r="F87" s="3">
        <f>RAW_INPUT!C87</f>
        <v/>
      </c>
      <c r="G87" s="3">
        <f>RAW_INPUT!E87</f>
        <v/>
      </c>
      <c r="H87" s="3">
        <f>I87/F87</f>
        <v/>
      </c>
      <c r="I87" s="3">
        <f>METRICS!$C$14 * 0.02</f>
        <v/>
      </c>
      <c r="J87" s="3">
        <f>(G87-F87)*H87</f>
        <v/>
      </c>
      <c r="K87" s="3">
        <f>(G87-F87)/F87*100</f>
        <v/>
      </c>
      <c r="L87" s="3">
        <f>RAW_INPUT!F87</f>
        <v/>
      </c>
      <c r="M87" s="3">
        <f>K87-L87</f>
        <v/>
      </c>
      <c r="N87" s="3">
        <f>IF(J87&gt;0, 1, 0)</f>
        <v/>
      </c>
      <c r="O87" s="3">
        <f>IF(J87&lt;0, 1, 0)</f>
        <v/>
      </c>
      <c r="P87" s="3">
        <f>SUM($J$3:J87)</f>
        <v/>
      </c>
      <c r="Q87" s="3">
        <f>P87/METRICS!$C$14*100</f>
        <v/>
      </c>
      <c r="R87" s="3">
        <f>METRICS!$C$14+P87</f>
        <v/>
      </c>
      <c r="S87" s="3">
        <f>MAX($R$3:R87)</f>
        <v/>
      </c>
      <c r="T87" s="3">
        <f>R87-S87</f>
        <v/>
      </c>
      <c r="U87" s="3">
        <f>(R87-S87)/S87*100</f>
        <v/>
      </c>
      <c r="V87" s="3">
        <f>IF(K87&lt;0, (K87/100)^2, 0)</f>
        <v/>
      </c>
    </row>
    <row r="88">
      <c r="A88" s="3">
        <f>TEXT(86, """T""0000")</f>
        <v/>
      </c>
      <c r="B88" s="3">
        <f>RAW_INPUT!A88</f>
        <v/>
      </c>
      <c r="C88" s="3">
        <f>RAW_INPUT!B88</f>
        <v/>
      </c>
      <c r="D88" s="3">
        <f>RAW_INPUT!D88</f>
        <v/>
      </c>
      <c r="E88" s="3">
        <f>D88-C88</f>
        <v/>
      </c>
      <c r="F88" s="3">
        <f>RAW_INPUT!C88</f>
        <v/>
      </c>
      <c r="G88" s="3">
        <f>RAW_INPUT!E88</f>
        <v/>
      </c>
      <c r="H88" s="3">
        <f>I88/F88</f>
        <v/>
      </c>
      <c r="I88" s="3">
        <f>METRICS!$C$14 * 0.02</f>
        <v/>
      </c>
      <c r="J88" s="3">
        <f>(G88-F88)*H88</f>
        <v/>
      </c>
      <c r="K88" s="3">
        <f>(G88-F88)/F88*100</f>
        <v/>
      </c>
      <c r="L88" s="3">
        <f>RAW_INPUT!F88</f>
        <v/>
      </c>
      <c r="M88" s="3">
        <f>K88-L88</f>
        <v/>
      </c>
      <c r="N88" s="3">
        <f>IF(J88&gt;0, 1, 0)</f>
        <v/>
      </c>
      <c r="O88" s="3">
        <f>IF(J88&lt;0, 1, 0)</f>
        <v/>
      </c>
      <c r="P88" s="3">
        <f>SUM($J$3:J88)</f>
        <v/>
      </c>
      <c r="Q88" s="3">
        <f>P88/METRICS!$C$14*100</f>
        <v/>
      </c>
      <c r="R88" s="3">
        <f>METRICS!$C$14+P88</f>
        <v/>
      </c>
      <c r="S88" s="3">
        <f>MAX($R$3:R88)</f>
        <v/>
      </c>
      <c r="T88" s="3">
        <f>R88-S88</f>
        <v/>
      </c>
      <c r="U88" s="3">
        <f>(R88-S88)/S88*100</f>
        <v/>
      </c>
      <c r="V88" s="3">
        <f>IF(K88&lt;0, (K88/100)^2, 0)</f>
        <v/>
      </c>
    </row>
    <row r="89">
      <c r="A89" s="3">
        <f>TEXT(87, """T""0000")</f>
        <v/>
      </c>
      <c r="B89" s="3">
        <f>RAW_INPUT!A89</f>
        <v/>
      </c>
      <c r="C89" s="3">
        <f>RAW_INPUT!B89</f>
        <v/>
      </c>
      <c r="D89" s="3">
        <f>RAW_INPUT!D89</f>
        <v/>
      </c>
      <c r="E89" s="3">
        <f>D89-C89</f>
        <v/>
      </c>
      <c r="F89" s="3">
        <f>RAW_INPUT!C89</f>
        <v/>
      </c>
      <c r="G89" s="3">
        <f>RAW_INPUT!E89</f>
        <v/>
      </c>
      <c r="H89" s="3">
        <f>I89/F89</f>
        <v/>
      </c>
      <c r="I89" s="3">
        <f>METRICS!$C$14 * 0.02</f>
        <v/>
      </c>
      <c r="J89" s="3">
        <f>(G89-F89)*H89</f>
        <v/>
      </c>
      <c r="K89" s="3">
        <f>(G89-F89)/F89*100</f>
        <v/>
      </c>
      <c r="L89" s="3">
        <f>RAW_INPUT!F89</f>
        <v/>
      </c>
      <c r="M89" s="3">
        <f>K89-L89</f>
        <v/>
      </c>
      <c r="N89" s="3">
        <f>IF(J89&gt;0, 1, 0)</f>
        <v/>
      </c>
      <c r="O89" s="3">
        <f>IF(J89&lt;0, 1, 0)</f>
        <v/>
      </c>
      <c r="P89" s="3">
        <f>SUM($J$3:J89)</f>
        <v/>
      </c>
      <c r="Q89" s="3">
        <f>P89/METRICS!$C$14*100</f>
        <v/>
      </c>
      <c r="R89" s="3">
        <f>METRICS!$C$14+P89</f>
        <v/>
      </c>
      <c r="S89" s="3">
        <f>MAX($R$3:R89)</f>
        <v/>
      </c>
      <c r="T89" s="3">
        <f>R89-S89</f>
        <v/>
      </c>
      <c r="U89" s="3">
        <f>(R89-S89)/S89*100</f>
        <v/>
      </c>
      <c r="V89" s="3">
        <f>IF(K89&lt;0, (K89/100)^2, 0)</f>
        <v/>
      </c>
    </row>
    <row r="90">
      <c r="A90" s="3">
        <f>TEXT(88, """T""0000")</f>
        <v/>
      </c>
      <c r="B90" s="3">
        <f>RAW_INPUT!A90</f>
        <v/>
      </c>
      <c r="C90" s="3">
        <f>RAW_INPUT!B90</f>
        <v/>
      </c>
      <c r="D90" s="3">
        <f>RAW_INPUT!D90</f>
        <v/>
      </c>
      <c r="E90" s="3">
        <f>D90-C90</f>
        <v/>
      </c>
      <c r="F90" s="3">
        <f>RAW_INPUT!C90</f>
        <v/>
      </c>
      <c r="G90" s="3">
        <f>RAW_INPUT!E90</f>
        <v/>
      </c>
      <c r="H90" s="3">
        <f>I90/F90</f>
        <v/>
      </c>
      <c r="I90" s="3">
        <f>METRICS!$C$14 * 0.02</f>
        <v/>
      </c>
      <c r="J90" s="3">
        <f>(G90-F90)*H90</f>
        <v/>
      </c>
      <c r="K90" s="3">
        <f>(G90-F90)/F90*100</f>
        <v/>
      </c>
      <c r="L90" s="3">
        <f>RAW_INPUT!F90</f>
        <v/>
      </c>
      <c r="M90" s="3">
        <f>K90-L90</f>
        <v/>
      </c>
      <c r="N90" s="3">
        <f>IF(J90&gt;0, 1, 0)</f>
        <v/>
      </c>
      <c r="O90" s="3">
        <f>IF(J90&lt;0, 1, 0)</f>
        <v/>
      </c>
      <c r="P90" s="3">
        <f>SUM($J$3:J90)</f>
        <v/>
      </c>
      <c r="Q90" s="3">
        <f>P90/METRICS!$C$14*100</f>
        <v/>
      </c>
      <c r="R90" s="3">
        <f>METRICS!$C$14+P90</f>
        <v/>
      </c>
      <c r="S90" s="3">
        <f>MAX($R$3:R90)</f>
        <v/>
      </c>
      <c r="T90" s="3">
        <f>R90-S90</f>
        <v/>
      </c>
      <c r="U90" s="3">
        <f>(R90-S90)/S90*100</f>
        <v/>
      </c>
      <c r="V90" s="3">
        <f>IF(K90&lt;0, (K90/100)^2, 0)</f>
        <v/>
      </c>
    </row>
    <row r="91">
      <c r="A91" s="3">
        <f>TEXT(89, """T""0000")</f>
        <v/>
      </c>
      <c r="B91" s="3">
        <f>RAW_INPUT!A91</f>
        <v/>
      </c>
      <c r="C91" s="3">
        <f>RAW_INPUT!B91</f>
        <v/>
      </c>
      <c r="D91" s="3">
        <f>RAW_INPUT!D91</f>
        <v/>
      </c>
      <c r="E91" s="3">
        <f>D91-C91</f>
        <v/>
      </c>
      <c r="F91" s="3">
        <f>RAW_INPUT!C91</f>
        <v/>
      </c>
      <c r="G91" s="3">
        <f>RAW_INPUT!E91</f>
        <v/>
      </c>
      <c r="H91" s="3">
        <f>I91/F91</f>
        <v/>
      </c>
      <c r="I91" s="3">
        <f>METRICS!$C$14 * 0.02</f>
        <v/>
      </c>
      <c r="J91" s="3">
        <f>(G91-F91)*H91</f>
        <v/>
      </c>
      <c r="K91" s="3">
        <f>(G91-F91)/F91*100</f>
        <v/>
      </c>
      <c r="L91" s="3">
        <f>RAW_INPUT!F91</f>
        <v/>
      </c>
      <c r="M91" s="3">
        <f>K91-L91</f>
        <v/>
      </c>
      <c r="N91" s="3">
        <f>IF(J91&gt;0, 1, 0)</f>
        <v/>
      </c>
      <c r="O91" s="3">
        <f>IF(J91&lt;0, 1, 0)</f>
        <v/>
      </c>
      <c r="P91" s="3">
        <f>SUM($J$3:J91)</f>
        <v/>
      </c>
      <c r="Q91" s="3">
        <f>P91/METRICS!$C$14*100</f>
        <v/>
      </c>
      <c r="R91" s="3">
        <f>METRICS!$C$14+P91</f>
        <v/>
      </c>
      <c r="S91" s="3">
        <f>MAX($R$3:R91)</f>
        <v/>
      </c>
      <c r="T91" s="3">
        <f>R91-S91</f>
        <v/>
      </c>
      <c r="U91" s="3">
        <f>(R91-S91)/S91*100</f>
        <v/>
      </c>
      <c r="V91" s="3">
        <f>IF(K91&lt;0, (K91/100)^2, 0)</f>
        <v/>
      </c>
    </row>
    <row r="92">
      <c r="A92" s="3">
        <f>TEXT(90, """T""0000")</f>
        <v/>
      </c>
      <c r="B92" s="3">
        <f>RAW_INPUT!A92</f>
        <v/>
      </c>
      <c r="C92" s="3">
        <f>RAW_INPUT!B92</f>
        <v/>
      </c>
      <c r="D92" s="3">
        <f>RAW_INPUT!D92</f>
        <v/>
      </c>
      <c r="E92" s="3">
        <f>D92-C92</f>
        <v/>
      </c>
      <c r="F92" s="3">
        <f>RAW_INPUT!C92</f>
        <v/>
      </c>
      <c r="G92" s="3">
        <f>RAW_INPUT!E92</f>
        <v/>
      </c>
      <c r="H92" s="3">
        <f>I92/F92</f>
        <v/>
      </c>
      <c r="I92" s="3">
        <f>METRICS!$C$14 * 0.02</f>
        <v/>
      </c>
      <c r="J92" s="3">
        <f>(G92-F92)*H92</f>
        <v/>
      </c>
      <c r="K92" s="3">
        <f>(G92-F92)/F92*100</f>
        <v/>
      </c>
      <c r="L92" s="3">
        <f>RAW_INPUT!F92</f>
        <v/>
      </c>
      <c r="M92" s="3">
        <f>K92-L92</f>
        <v/>
      </c>
      <c r="N92" s="3">
        <f>IF(J92&gt;0, 1, 0)</f>
        <v/>
      </c>
      <c r="O92" s="3">
        <f>IF(J92&lt;0, 1, 0)</f>
        <v/>
      </c>
      <c r="P92" s="3">
        <f>SUM($J$3:J92)</f>
        <v/>
      </c>
      <c r="Q92" s="3">
        <f>P92/METRICS!$C$14*100</f>
        <v/>
      </c>
      <c r="R92" s="3">
        <f>METRICS!$C$14+P92</f>
        <v/>
      </c>
      <c r="S92" s="3">
        <f>MAX($R$3:R92)</f>
        <v/>
      </c>
      <c r="T92" s="3">
        <f>R92-S92</f>
        <v/>
      </c>
      <c r="U92" s="3">
        <f>(R92-S92)/S92*100</f>
        <v/>
      </c>
      <c r="V92" s="3">
        <f>IF(K92&lt;0, (K92/100)^2, 0)</f>
        <v/>
      </c>
    </row>
    <row r="93">
      <c r="A93" s="3">
        <f>TEXT(91, """T""0000")</f>
        <v/>
      </c>
      <c r="B93" s="3">
        <f>RAW_INPUT!A93</f>
        <v/>
      </c>
      <c r="C93" s="3">
        <f>RAW_INPUT!B93</f>
        <v/>
      </c>
      <c r="D93" s="3">
        <f>RAW_INPUT!D93</f>
        <v/>
      </c>
      <c r="E93" s="3">
        <f>D93-C93</f>
        <v/>
      </c>
      <c r="F93" s="3">
        <f>RAW_INPUT!C93</f>
        <v/>
      </c>
      <c r="G93" s="3">
        <f>RAW_INPUT!E93</f>
        <v/>
      </c>
      <c r="H93" s="3">
        <f>I93/F93</f>
        <v/>
      </c>
      <c r="I93" s="3">
        <f>METRICS!$C$14 * 0.02</f>
        <v/>
      </c>
      <c r="J93" s="3">
        <f>(G93-F93)*H93</f>
        <v/>
      </c>
      <c r="K93" s="3">
        <f>(G93-F93)/F93*100</f>
        <v/>
      </c>
      <c r="L93" s="3">
        <f>RAW_INPUT!F93</f>
        <v/>
      </c>
      <c r="M93" s="3">
        <f>K93-L93</f>
        <v/>
      </c>
      <c r="N93" s="3">
        <f>IF(J93&gt;0, 1, 0)</f>
        <v/>
      </c>
      <c r="O93" s="3">
        <f>IF(J93&lt;0, 1, 0)</f>
        <v/>
      </c>
      <c r="P93" s="3">
        <f>SUM($J$3:J93)</f>
        <v/>
      </c>
      <c r="Q93" s="3">
        <f>P93/METRICS!$C$14*100</f>
        <v/>
      </c>
      <c r="R93" s="3">
        <f>METRICS!$C$14+P93</f>
        <v/>
      </c>
      <c r="S93" s="3">
        <f>MAX($R$3:R93)</f>
        <v/>
      </c>
      <c r="T93" s="3">
        <f>R93-S93</f>
        <v/>
      </c>
      <c r="U93" s="3">
        <f>(R93-S93)/S93*100</f>
        <v/>
      </c>
      <c r="V93" s="3">
        <f>IF(K93&lt;0, (K93/100)^2, 0)</f>
        <v/>
      </c>
    </row>
    <row r="94">
      <c r="A94" s="3">
        <f>TEXT(92, """T""0000")</f>
        <v/>
      </c>
      <c r="B94" s="3">
        <f>RAW_INPUT!A94</f>
        <v/>
      </c>
      <c r="C94" s="3">
        <f>RAW_INPUT!B94</f>
        <v/>
      </c>
      <c r="D94" s="3">
        <f>RAW_INPUT!D94</f>
        <v/>
      </c>
      <c r="E94" s="3">
        <f>D94-C94</f>
        <v/>
      </c>
      <c r="F94" s="3">
        <f>RAW_INPUT!C94</f>
        <v/>
      </c>
      <c r="G94" s="3">
        <f>RAW_INPUT!E94</f>
        <v/>
      </c>
      <c r="H94" s="3">
        <f>I94/F94</f>
        <v/>
      </c>
      <c r="I94" s="3">
        <f>METRICS!$C$14 * 0.02</f>
        <v/>
      </c>
      <c r="J94" s="3">
        <f>(G94-F94)*H94</f>
        <v/>
      </c>
      <c r="K94" s="3">
        <f>(G94-F94)/F94*100</f>
        <v/>
      </c>
      <c r="L94" s="3">
        <f>RAW_INPUT!F94</f>
        <v/>
      </c>
      <c r="M94" s="3">
        <f>K94-L94</f>
        <v/>
      </c>
      <c r="N94" s="3">
        <f>IF(J94&gt;0, 1, 0)</f>
        <v/>
      </c>
      <c r="O94" s="3">
        <f>IF(J94&lt;0, 1, 0)</f>
        <v/>
      </c>
      <c r="P94" s="3">
        <f>SUM($J$3:J94)</f>
        <v/>
      </c>
      <c r="Q94" s="3">
        <f>P94/METRICS!$C$14*100</f>
        <v/>
      </c>
      <c r="R94" s="3">
        <f>METRICS!$C$14+P94</f>
        <v/>
      </c>
      <c r="S94" s="3">
        <f>MAX($R$3:R94)</f>
        <v/>
      </c>
      <c r="T94" s="3">
        <f>R94-S94</f>
        <v/>
      </c>
      <c r="U94" s="3">
        <f>(R94-S94)/S94*100</f>
        <v/>
      </c>
      <c r="V94" s="3">
        <f>IF(K94&lt;0, (K94/100)^2, 0)</f>
        <v/>
      </c>
    </row>
    <row r="95">
      <c r="A95" s="3">
        <f>TEXT(93, """T""0000")</f>
        <v/>
      </c>
      <c r="B95" s="3">
        <f>RAW_INPUT!A95</f>
        <v/>
      </c>
      <c r="C95" s="3">
        <f>RAW_INPUT!B95</f>
        <v/>
      </c>
      <c r="D95" s="3">
        <f>RAW_INPUT!D95</f>
        <v/>
      </c>
      <c r="E95" s="3">
        <f>D95-C95</f>
        <v/>
      </c>
      <c r="F95" s="3">
        <f>RAW_INPUT!C95</f>
        <v/>
      </c>
      <c r="G95" s="3">
        <f>RAW_INPUT!E95</f>
        <v/>
      </c>
      <c r="H95" s="3">
        <f>I95/F95</f>
        <v/>
      </c>
      <c r="I95" s="3">
        <f>METRICS!$C$14 * 0.02</f>
        <v/>
      </c>
      <c r="J95" s="3">
        <f>(G95-F95)*H95</f>
        <v/>
      </c>
      <c r="K95" s="3">
        <f>(G95-F95)/F95*100</f>
        <v/>
      </c>
      <c r="L95" s="3">
        <f>RAW_INPUT!F95</f>
        <v/>
      </c>
      <c r="M95" s="3">
        <f>K95-L95</f>
        <v/>
      </c>
      <c r="N95" s="3">
        <f>IF(J95&gt;0, 1, 0)</f>
        <v/>
      </c>
      <c r="O95" s="3">
        <f>IF(J95&lt;0, 1, 0)</f>
        <v/>
      </c>
      <c r="P95" s="3">
        <f>SUM($J$3:J95)</f>
        <v/>
      </c>
      <c r="Q95" s="3">
        <f>P95/METRICS!$C$14*100</f>
        <v/>
      </c>
      <c r="R95" s="3">
        <f>METRICS!$C$14+P95</f>
        <v/>
      </c>
      <c r="S95" s="3">
        <f>MAX($R$3:R95)</f>
        <v/>
      </c>
      <c r="T95" s="3">
        <f>R95-S95</f>
        <v/>
      </c>
      <c r="U95" s="3">
        <f>(R95-S95)/S95*100</f>
        <v/>
      </c>
      <c r="V95" s="3">
        <f>IF(K95&lt;0, (K95/100)^2, 0)</f>
        <v/>
      </c>
    </row>
    <row r="96">
      <c r="A96" s="3">
        <f>TEXT(94, """T""0000")</f>
        <v/>
      </c>
      <c r="B96" s="3">
        <f>RAW_INPUT!A96</f>
        <v/>
      </c>
      <c r="C96" s="3">
        <f>RAW_INPUT!B96</f>
        <v/>
      </c>
      <c r="D96" s="3">
        <f>RAW_INPUT!D96</f>
        <v/>
      </c>
      <c r="E96" s="3">
        <f>D96-C96</f>
        <v/>
      </c>
      <c r="F96" s="3">
        <f>RAW_INPUT!C96</f>
        <v/>
      </c>
      <c r="G96" s="3">
        <f>RAW_INPUT!E96</f>
        <v/>
      </c>
      <c r="H96" s="3">
        <f>I96/F96</f>
        <v/>
      </c>
      <c r="I96" s="3">
        <f>METRICS!$C$14 * 0.02</f>
        <v/>
      </c>
      <c r="J96" s="3">
        <f>(G96-F96)*H96</f>
        <v/>
      </c>
      <c r="K96" s="3">
        <f>(G96-F96)/F96*100</f>
        <v/>
      </c>
      <c r="L96" s="3">
        <f>RAW_INPUT!F96</f>
        <v/>
      </c>
      <c r="M96" s="3">
        <f>K96-L96</f>
        <v/>
      </c>
      <c r="N96" s="3">
        <f>IF(J96&gt;0, 1, 0)</f>
        <v/>
      </c>
      <c r="O96" s="3">
        <f>IF(J96&lt;0, 1, 0)</f>
        <v/>
      </c>
      <c r="P96" s="3">
        <f>SUM($J$3:J96)</f>
        <v/>
      </c>
      <c r="Q96" s="3">
        <f>P96/METRICS!$C$14*100</f>
        <v/>
      </c>
      <c r="R96" s="3">
        <f>METRICS!$C$14+P96</f>
        <v/>
      </c>
      <c r="S96" s="3">
        <f>MAX($R$3:R96)</f>
        <v/>
      </c>
      <c r="T96" s="3">
        <f>R96-S96</f>
        <v/>
      </c>
      <c r="U96" s="3">
        <f>(R96-S96)/S96*100</f>
        <v/>
      </c>
      <c r="V96" s="3">
        <f>IF(K96&lt;0, (K96/100)^2, 0)</f>
        <v/>
      </c>
    </row>
    <row r="97">
      <c r="A97" s="3">
        <f>TEXT(95, """T""0000")</f>
        <v/>
      </c>
      <c r="B97" s="3">
        <f>RAW_INPUT!A97</f>
        <v/>
      </c>
      <c r="C97" s="3">
        <f>RAW_INPUT!B97</f>
        <v/>
      </c>
      <c r="D97" s="3">
        <f>RAW_INPUT!D97</f>
        <v/>
      </c>
      <c r="E97" s="3">
        <f>D97-C97</f>
        <v/>
      </c>
      <c r="F97" s="3">
        <f>RAW_INPUT!C97</f>
        <v/>
      </c>
      <c r="G97" s="3">
        <f>RAW_INPUT!E97</f>
        <v/>
      </c>
      <c r="H97" s="3">
        <f>I97/F97</f>
        <v/>
      </c>
      <c r="I97" s="3">
        <f>METRICS!$C$14 * 0.02</f>
        <v/>
      </c>
      <c r="J97" s="3">
        <f>(G97-F97)*H97</f>
        <v/>
      </c>
      <c r="K97" s="3">
        <f>(G97-F97)/F97*100</f>
        <v/>
      </c>
      <c r="L97" s="3">
        <f>RAW_INPUT!F97</f>
        <v/>
      </c>
      <c r="M97" s="3">
        <f>K97-L97</f>
        <v/>
      </c>
      <c r="N97" s="3">
        <f>IF(J97&gt;0, 1, 0)</f>
        <v/>
      </c>
      <c r="O97" s="3">
        <f>IF(J97&lt;0, 1, 0)</f>
        <v/>
      </c>
      <c r="P97" s="3">
        <f>SUM($J$3:J97)</f>
        <v/>
      </c>
      <c r="Q97" s="3">
        <f>P97/METRICS!$C$14*100</f>
        <v/>
      </c>
      <c r="R97" s="3">
        <f>METRICS!$C$14+P97</f>
        <v/>
      </c>
      <c r="S97" s="3">
        <f>MAX($R$3:R97)</f>
        <v/>
      </c>
      <c r="T97" s="3">
        <f>R97-S97</f>
        <v/>
      </c>
      <c r="U97" s="3">
        <f>(R97-S97)/S97*100</f>
        <v/>
      </c>
      <c r="V97" s="3">
        <f>IF(K97&lt;0, (K97/100)^2, 0)</f>
        <v/>
      </c>
    </row>
    <row r="98">
      <c r="A98" s="3">
        <f>TEXT(96, """T""0000")</f>
        <v/>
      </c>
      <c r="B98" s="3">
        <f>RAW_INPUT!A98</f>
        <v/>
      </c>
      <c r="C98" s="3">
        <f>RAW_INPUT!B98</f>
        <v/>
      </c>
      <c r="D98" s="3">
        <f>RAW_INPUT!D98</f>
        <v/>
      </c>
      <c r="E98" s="3">
        <f>D98-C98</f>
        <v/>
      </c>
      <c r="F98" s="3">
        <f>RAW_INPUT!C98</f>
        <v/>
      </c>
      <c r="G98" s="3">
        <f>RAW_INPUT!E98</f>
        <v/>
      </c>
      <c r="H98" s="3">
        <f>I98/F98</f>
        <v/>
      </c>
      <c r="I98" s="3">
        <f>METRICS!$C$14 * 0.02</f>
        <v/>
      </c>
      <c r="J98" s="3">
        <f>(G98-F98)*H98</f>
        <v/>
      </c>
      <c r="K98" s="3">
        <f>(G98-F98)/F98*100</f>
        <v/>
      </c>
      <c r="L98" s="3">
        <f>RAW_INPUT!F98</f>
        <v/>
      </c>
      <c r="M98" s="3">
        <f>K98-L98</f>
        <v/>
      </c>
      <c r="N98" s="3">
        <f>IF(J98&gt;0, 1, 0)</f>
        <v/>
      </c>
      <c r="O98" s="3">
        <f>IF(J98&lt;0, 1, 0)</f>
        <v/>
      </c>
      <c r="P98" s="3">
        <f>SUM($J$3:J98)</f>
        <v/>
      </c>
      <c r="Q98" s="3">
        <f>P98/METRICS!$C$14*100</f>
        <v/>
      </c>
      <c r="R98" s="3">
        <f>METRICS!$C$14+P98</f>
        <v/>
      </c>
      <c r="S98" s="3">
        <f>MAX($R$3:R98)</f>
        <v/>
      </c>
      <c r="T98" s="3">
        <f>R98-S98</f>
        <v/>
      </c>
      <c r="U98" s="3">
        <f>(R98-S98)/S98*100</f>
        <v/>
      </c>
      <c r="V98" s="3">
        <f>IF(K98&lt;0, (K98/100)^2, 0)</f>
        <v/>
      </c>
    </row>
    <row r="99">
      <c r="A99" s="3">
        <f>TEXT(97, """T""0000")</f>
        <v/>
      </c>
      <c r="B99" s="3">
        <f>RAW_INPUT!A99</f>
        <v/>
      </c>
      <c r="C99" s="3">
        <f>RAW_INPUT!B99</f>
        <v/>
      </c>
      <c r="D99" s="3">
        <f>RAW_INPUT!D99</f>
        <v/>
      </c>
      <c r="E99" s="3">
        <f>D99-C99</f>
        <v/>
      </c>
      <c r="F99" s="3">
        <f>RAW_INPUT!C99</f>
        <v/>
      </c>
      <c r="G99" s="3">
        <f>RAW_INPUT!E99</f>
        <v/>
      </c>
      <c r="H99" s="3">
        <f>I99/F99</f>
        <v/>
      </c>
      <c r="I99" s="3">
        <f>METRICS!$C$14 * 0.02</f>
        <v/>
      </c>
      <c r="J99" s="3">
        <f>(G99-F99)*H99</f>
        <v/>
      </c>
      <c r="K99" s="3">
        <f>(G99-F99)/F99*100</f>
        <v/>
      </c>
      <c r="L99" s="3">
        <f>RAW_INPUT!F99</f>
        <v/>
      </c>
      <c r="M99" s="3">
        <f>K99-L99</f>
        <v/>
      </c>
      <c r="N99" s="3">
        <f>IF(J99&gt;0, 1, 0)</f>
        <v/>
      </c>
      <c r="O99" s="3">
        <f>IF(J99&lt;0, 1, 0)</f>
        <v/>
      </c>
      <c r="P99" s="3">
        <f>SUM($J$3:J99)</f>
        <v/>
      </c>
      <c r="Q99" s="3">
        <f>P99/METRICS!$C$14*100</f>
        <v/>
      </c>
      <c r="R99" s="3">
        <f>METRICS!$C$14+P99</f>
        <v/>
      </c>
      <c r="S99" s="3">
        <f>MAX($R$3:R99)</f>
        <v/>
      </c>
      <c r="T99" s="3">
        <f>R99-S99</f>
        <v/>
      </c>
      <c r="U99" s="3">
        <f>(R99-S99)/S99*100</f>
        <v/>
      </c>
      <c r="V99" s="3">
        <f>IF(K99&lt;0, (K99/100)^2, 0)</f>
        <v/>
      </c>
    </row>
    <row r="100">
      <c r="A100" s="3">
        <f>TEXT(98, """T""0000")</f>
        <v/>
      </c>
      <c r="B100" s="3">
        <f>RAW_INPUT!A100</f>
        <v/>
      </c>
      <c r="C100" s="3">
        <f>RAW_INPUT!B100</f>
        <v/>
      </c>
      <c r="D100" s="3">
        <f>RAW_INPUT!D100</f>
        <v/>
      </c>
      <c r="E100" s="3">
        <f>D100-C100</f>
        <v/>
      </c>
      <c r="F100" s="3">
        <f>RAW_INPUT!C100</f>
        <v/>
      </c>
      <c r="G100" s="3">
        <f>RAW_INPUT!E100</f>
        <v/>
      </c>
      <c r="H100" s="3">
        <f>I100/F100</f>
        <v/>
      </c>
      <c r="I100" s="3">
        <f>METRICS!$C$14 * 0.02</f>
        <v/>
      </c>
      <c r="J100" s="3">
        <f>(G100-F100)*H100</f>
        <v/>
      </c>
      <c r="K100" s="3">
        <f>(G100-F100)/F100*100</f>
        <v/>
      </c>
      <c r="L100" s="3">
        <f>RAW_INPUT!F100</f>
        <v/>
      </c>
      <c r="M100" s="3">
        <f>K100-L100</f>
        <v/>
      </c>
      <c r="N100" s="3">
        <f>IF(J100&gt;0, 1, 0)</f>
        <v/>
      </c>
      <c r="O100" s="3">
        <f>IF(J100&lt;0, 1, 0)</f>
        <v/>
      </c>
      <c r="P100" s="3">
        <f>SUM($J$3:J100)</f>
        <v/>
      </c>
      <c r="Q100" s="3">
        <f>P100/METRICS!$C$14*100</f>
        <v/>
      </c>
      <c r="R100" s="3">
        <f>METRICS!$C$14+P100</f>
        <v/>
      </c>
      <c r="S100" s="3">
        <f>MAX($R$3:R100)</f>
        <v/>
      </c>
      <c r="T100" s="3">
        <f>R100-S100</f>
        <v/>
      </c>
      <c r="U100" s="3">
        <f>(R100-S100)/S100*100</f>
        <v/>
      </c>
      <c r="V100" s="3">
        <f>IF(K100&lt;0, (K100/100)^2, 0)</f>
        <v/>
      </c>
    </row>
    <row r="101">
      <c r="A101" s="3">
        <f>TEXT(99, """T""0000")</f>
        <v/>
      </c>
      <c r="B101" s="3">
        <f>RAW_INPUT!A101</f>
        <v/>
      </c>
      <c r="C101" s="3">
        <f>RAW_INPUT!B101</f>
        <v/>
      </c>
      <c r="D101" s="3">
        <f>RAW_INPUT!D101</f>
        <v/>
      </c>
      <c r="E101" s="3">
        <f>D101-C101</f>
        <v/>
      </c>
      <c r="F101" s="3">
        <f>RAW_INPUT!C101</f>
        <v/>
      </c>
      <c r="G101" s="3">
        <f>RAW_INPUT!E101</f>
        <v/>
      </c>
      <c r="H101" s="3">
        <f>I101/F101</f>
        <v/>
      </c>
      <c r="I101" s="3">
        <f>METRICS!$C$14 * 0.02</f>
        <v/>
      </c>
      <c r="J101" s="3">
        <f>(G101-F101)*H101</f>
        <v/>
      </c>
      <c r="K101" s="3">
        <f>(G101-F101)/F101*100</f>
        <v/>
      </c>
      <c r="L101" s="3">
        <f>RAW_INPUT!F101</f>
        <v/>
      </c>
      <c r="M101" s="3">
        <f>K101-L101</f>
        <v/>
      </c>
      <c r="N101" s="3">
        <f>IF(J101&gt;0, 1, 0)</f>
        <v/>
      </c>
      <c r="O101" s="3">
        <f>IF(J101&lt;0, 1, 0)</f>
        <v/>
      </c>
      <c r="P101" s="3">
        <f>SUM($J$3:J101)</f>
        <v/>
      </c>
      <c r="Q101" s="3">
        <f>P101/METRICS!$C$14*100</f>
        <v/>
      </c>
      <c r="R101" s="3">
        <f>METRICS!$C$14+P101</f>
        <v/>
      </c>
      <c r="S101" s="3">
        <f>MAX($R$3:R101)</f>
        <v/>
      </c>
      <c r="T101" s="3">
        <f>R101-S101</f>
        <v/>
      </c>
      <c r="U101" s="3">
        <f>(R101-S101)/S101*100</f>
        <v/>
      </c>
      <c r="V101" s="3">
        <f>IF(K101&lt;0, (K101/100)^2, 0)</f>
        <v/>
      </c>
    </row>
    <row r="102">
      <c r="A102" s="3">
        <f>TEXT(100, """T""0000")</f>
        <v/>
      </c>
      <c r="B102" s="3">
        <f>RAW_INPUT!A102</f>
        <v/>
      </c>
      <c r="C102" s="3">
        <f>RAW_INPUT!B102</f>
        <v/>
      </c>
      <c r="D102" s="3">
        <f>RAW_INPUT!D102</f>
        <v/>
      </c>
      <c r="E102" s="3">
        <f>D102-C102</f>
        <v/>
      </c>
      <c r="F102" s="3">
        <f>RAW_INPUT!C102</f>
        <v/>
      </c>
      <c r="G102" s="3">
        <f>RAW_INPUT!E102</f>
        <v/>
      </c>
      <c r="H102" s="3">
        <f>I102/F102</f>
        <v/>
      </c>
      <c r="I102" s="3">
        <f>METRICS!$C$14 * 0.02</f>
        <v/>
      </c>
      <c r="J102" s="3">
        <f>(G102-F102)*H102</f>
        <v/>
      </c>
      <c r="K102" s="3">
        <f>(G102-F102)/F102*100</f>
        <v/>
      </c>
      <c r="L102" s="3">
        <f>RAW_INPUT!F102</f>
        <v/>
      </c>
      <c r="M102" s="3">
        <f>K102-L102</f>
        <v/>
      </c>
      <c r="N102" s="3">
        <f>IF(J102&gt;0, 1, 0)</f>
        <v/>
      </c>
      <c r="O102" s="3">
        <f>IF(J102&lt;0, 1, 0)</f>
        <v/>
      </c>
      <c r="P102" s="3">
        <f>SUM($J$3:J102)</f>
        <v/>
      </c>
      <c r="Q102" s="3">
        <f>P102/METRICS!$C$14*100</f>
        <v/>
      </c>
      <c r="R102" s="3">
        <f>METRICS!$C$14+P102</f>
        <v/>
      </c>
      <c r="S102" s="3">
        <f>MAX($R$3:R102)</f>
        <v/>
      </c>
      <c r="T102" s="3">
        <f>R102-S102</f>
        <v/>
      </c>
      <c r="U102" s="3">
        <f>(R102-S102)/S102*100</f>
        <v/>
      </c>
      <c r="V102" s="3">
        <f>IF(K102&lt;0, (K102/100)^2, 0)</f>
        <v/>
      </c>
    </row>
    <row r="103">
      <c r="A103" s="3">
        <f>TEXT(101, """T""0000")</f>
        <v/>
      </c>
      <c r="B103" s="3">
        <f>RAW_INPUT!A103</f>
        <v/>
      </c>
      <c r="C103" s="3">
        <f>RAW_INPUT!B103</f>
        <v/>
      </c>
      <c r="D103" s="3">
        <f>RAW_INPUT!D103</f>
        <v/>
      </c>
      <c r="E103" s="3">
        <f>D103-C103</f>
        <v/>
      </c>
      <c r="F103" s="3">
        <f>RAW_INPUT!C103</f>
        <v/>
      </c>
      <c r="G103" s="3">
        <f>RAW_INPUT!E103</f>
        <v/>
      </c>
      <c r="H103" s="3">
        <f>I103/F103</f>
        <v/>
      </c>
      <c r="I103" s="3">
        <f>METRICS!$C$14 * 0.02</f>
        <v/>
      </c>
      <c r="J103" s="3">
        <f>(G103-F103)*H103</f>
        <v/>
      </c>
      <c r="K103" s="3">
        <f>(G103-F103)/F103*100</f>
        <v/>
      </c>
      <c r="L103" s="3">
        <f>RAW_INPUT!F103</f>
        <v/>
      </c>
      <c r="M103" s="3">
        <f>K103-L103</f>
        <v/>
      </c>
      <c r="N103" s="3">
        <f>IF(J103&gt;0, 1, 0)</f>
        <v/>
      </c>
      <c r="O103" s="3">
        <f>IF(J103&lt;0, 1, 0)</f>
        <v/>
      </c>
      <c r="P103" s="3">
        <f>SUM($J$3:J103)</f>
        <v/>
      </c>
      <c r="Q103" s="3">
        <f>P103/METRICS!$C$14*100</f>
        <v/>
      </c>
      <c r="R103" s="3">
        <f>METRICS!$C$14+P103</f>
        <v/>
      </c>
      <c r="S103" s="3">
        <f>MAX($R$3:R103)</f>
        <v/>
      </c>
      <c r="T103" s="3">
        <f>R103-S103</f>
        <v/>
      </c>
      <c r="U103" s="3">
        <f>(R103-S103)/S103*100</f>
        <v/>
      </c>
      <c r="V103" s="3">
        <f>IF(K103&lt;0, (K103/100)^2, 0)</f>
        <v/>
      </c>
    </row>
    <row r="104">
      <c r="A104" s="3">
        <f>TEXT(102, """T""0000")</f>
        <v/>
      </c>
      <c r="B104" s="3">
        <f>RAW_INPUT!A104</f>
        <v/>
      </c>
      <c r="C104" s="3">
        <f>RAW_INPUT!B104</f>
        <v/>
      </c>
      <c r="D104" s="3">
        <f>RAW_INPUT!D104</f>
        <v/>
      </c>
      <c r="E104" s="3">
        <f>D104-C104</f>
        <v/>
      </c>
      <c r="F104" s="3">
        <f>RAW_INPUT!C104</f>
        <v/>
      </c>
      <c r="G104" s="3">
        <f>RAW_INPUT!E104</f>
        <v/>
      </c>
      <c r="H104" s="3">
        <f>I104/F104</f>
        <v/>
      </c>
      <c r="I104" s="3">
        <f>METRICS!$C$14 * 0.02</f>
        <v/>
      </c>
      <c r="J104" s="3">
        <f>(G104-F104)*H104</f>
        <v/>
      </c>
      <c r="K104" s="3">
        <f>(G104-F104)/F104*100</f>
        <v/>
      </c>
      <c r="L104" s="3">
        <f>RAW_INPUT!F104</f>
        <v/>
      </c>
      <c r="M104" s="3">
        <f>K104-L104</f>
        <v/>
      </c>
      <c r="N104" s="3">
        <f>IF(J104&gt;0, 1, 0)</f>
        <v/>
      </c>
      <c r="O104" s="3">
        <f>IF(J104&lt;0, 1, 0)</f>
        <v/>
      </c>
      <c r="P104" s="3">
        <f>SUM($J$3:J104)</f>
        <v/>
      </c>
      <c r="Q104" s="3">
        <f>P104/METRICS!$C$14*100</f>
        <v/>
      </c>
      <c r="R104" s="3">
        <f>METRICS!$C$14+P104</f>
        <v/>
      </c>
      <c r="S104" s="3">
        <f>MAX($R$3:R104)</f>
        <v/>
      </c>
      <c r="T104" s="3">
        <f>R104-S104</f>
        <v/>
      </c>
      <c r="U104" s="3">
        <f>(R104-S104)/S104*100</f>
        <v/>
      </c>
      <c r="V104" s="3">
        <f>IF(K104&lt;0, (K104/100)^2, 0)</f>
        <v/>
      </c>
    </row>
    <row r="105">
      <c r="A105" s="3">
        <f>TEXT(103, """T""0000")</f>
        <v/>
      </c>
      <c r="B105" s="3">
        <f>RAW_INPUT!A105</f>
        <v/>
      </c>
      <c r="C105" s="3">
        <f>RAW_INPUT!B105</f>
        <v/>
      </c>
      <c r="D105" s="3">
        <f>RAW_INPUT!D105</f>
        <v/>
      </c>
      <c r="E105" s="3">
        <f>D105-C105</f>
        <v/>
      </c>
      <c r="F105" s="3">
        <f>RAW_INPUT!C105</f>
        <v/>
      </c>
      <c r="G105" s="3">
        <f>RAW_INPUT!E105</f>
        <v/>
      </c>
      <c r="H105" s="3">
        <f>I105/F105</f>
        <v/>
      </c>
      <c r="I105" s="3">
        <f>METRICS!$C$14 * 0.02</f>
        <v/>
      </c>
      <c r="J105" s="3">
        <f>(G105-F105)*H105</f>
        <v/>
      </c>
      <c r="K105" s="3">
        <f>(G105-F105)/F105*100</f>
        <v/>
      </c>
      <c r="L105" s="3">
        <f>RAW_INPUT!F105</f>
        <v/>
      </c>
      <c r="M105" s="3">
        <f>K105-L105</f>
        <v/>
      </c>
      <c r="N105" s="3">
        <f>IF(J105&gt;0, 1, 0)</f>
        <v/>
      </c>
      <c r="O105" s="3">
        <f>IF(J105&lt;0, 1, 0)</f>
        <v/>
      </c>
      <c r="P105" s="3">
        <f>SUM($J$3:J105)</f>
        <v/>
      </c>
      <c r="Q105" s="3">
        <f>P105/METRICS!$C$14*100</f>
        <v/>
      </c>
      <c r="R105" s="3">
        <f>METRICS!$C$14+P105</f>
        <v/>
      </c>
      <c r="S105" s="3">
        <f>MAX($R$3:R105)</f>
        <v/>
      </c>
      <c r="T105" s="3">
        <f>R105-S105</f>
        <v/>
      </c>
      <c r="U105" s="3">
        <f>(R105-S105)/S105*100</f>
        <v/>
      </c>
      <c r="V105" s="3">
        <f>IF(K105&lt;0, (K105/100)^2, 0)</f>
        <v/>
      </c>
    </row>
    <row r="106">
      <c r="A106" s="3">
        <f>TEXT(104, """T""0000")</f>
        <v/>
      </c>
      <c r="B106" s="3">
        <f>RAW_INPUT!A106</f>
        <v/>
      </c>
      <c r="C106" s="3">
        <f>RAW_INPUT!B106</f>
        <v/>
      </c>
      <c r="D106" s="3">
        <f>RAW_INPUT!D106</f>
        <v/>
      </c>
      <c r="E106" s="3">
        <f>D106-C106</f>
        <v/>
      </c>
      <c r="F106" s="3">
        <f>RAW_INPUT!C106</f>
        <v/>
      </c>
      <c r="G106" s="3">
        <f>RAW_INPUT!E106</f>
        <v/>
      </c>
      <c r="H106" s="3">
        <f>I106/F106</f>
        <v/>
      </c>
      <c r="I106" s="3">
        <f>METRICS!$C$14 * 0.02</f>
        <v/>
      </c>
      <c r="J106" s="3">
        <f>(G106-F106)*H106</f>
        <v/>
      </c>
      <c r="K106" s="3">
        <f>(G106-F106)/F106*100</f>
        <v/>
      </c>
      <c r="L106" s="3">
        <f>RAW_INPUT!F106</f>
        <v/>
      </c>
      <c r="M106" s="3">
        <f>K106-L106</f>
        <v/>
      </c>
      <c r="N106" s="3">
        <f>IF(J106&gt;0, 1, 0)</f>
        <v/>
      </c>
      <c r="O106" s="3">
        <f>IF(J106&lt;0, 1, 0)</f>
        <v/>
      </c>
      <c r="P106" s="3">
        <f>SUM($J$3:J106)</f>
        <v/>
      </c>
      <c r="Q106" s="3">
        <f>P106/METRICS!$C$14*100</f>
        <v/>
      </c>
      <c r="R106" s="3">
        <f>METRICS!$C$14+P106</f>
        <v/>
      </c>
      <c r="S106" s="3">
        <f>MAX($R$3:R106)</f>
        <v/>
      </c>
      <c r="T106" s="3">
        <f>R106-S106</f>
        <v/>
      </c>
      <c r="U106" s="3">
        <f>(R106-S106)/S106*100</f>
        <v/>
      </c>
      <c r="V106" s="3">
        <f>IF(K106&lt;0, (K106/100)^2, 0)</f>
        <v/>
      </c>
    </row>
    <row r="107">
      <c r="A107" s="3">
        <f>TEXT(105, """T""0000")</f>
        <v/>
      </c>
      <c r="B107" s="3">
        <f>RAW_INPUT!A107</f>
        <v/>
      </c>
      <c r="C107" s="3">
        <f>RAW_INPUT!B107</f>
        <v/>
      </c>
      <c r="D107" s="3">
        <f>RAW_INPUT!D107</f>
        <v/>
      </c>
      <c r="E107" s="3">
        <f>D107-C107</f>
        <v/>
      </c>
      <c r="F107" s="3">
        <f>RAW_INPUT!C107</f>
        <v/>
      </c>
      <c r="G107" s="3">
        <f>RAW_INPUT!E107</f>
        <v/>
      </c>
      <c r="H107" s="3">
        <f>I107/F107</f>
        <v/>
      </c>
      <c r="I107" s="3">
        <f>METRICS!$C$14 * 0.02</f>
        <v/>
      </c>
      <c r="J107" s="3">
        <f>(G107-F107)*H107</f>
        <v/>
      </c>
      <c r="K107" s="3">
        <f>(G107-F107)/F107*100</f>
        <v/>
      </c>
      <c r="L107" s="3">
        <f>RAW_INPUT!F107</f>
        <v/>
      </c>
      <c r="M107" s="3">
        <f>K107-L107</f>
        <v/>
      </c>
      <c r="N107" s="3">
        <f>IF(J107&gt;0, 1, 0)</f>
        <v/>
      </c>
      <c r="O107" s="3">
        <f>IF(J107&lt;0, 1, 0)</f>
        <v/>
      </c>
      <c r="P107" s="3">
        <f>SUM($J$3:J107)</f>
        <v/>
      </c>
      <c r="Q107" s="3">
        <f>P107/METRICS!$C$14*100</f>
        <v/>
      </c>
      <c r="R107" s="3">
        <f>METRICS!$C$14+P107</f>
        <v/>
      </c>
      <c r="S107" s="3">
        <f>MAX($R$3:R107)</f>
        <v/>
      </c>
      <c r="T107" s="3">
        <f>R107-S107</f>
        <v/>
      </c>
      <c r="U107" s="3">
        <f>(R107-S107)/S107*100</f>
        <v/>
      </c>
      <c r="V107" s="3">
        <f>IF(K107&lt;0, (K107/100)^2, 0)</f>
        <v/>
      </c>
    </row>
    <row r="108">
      <c r="A108" s="3">
        <f>TEXT(106, """T""0000")</f>
        <v/>
      </c>
      <c r="B108" s="3">
        <f>RAW_INPUT!A108</f>
        <v/>
      </c>
      <c r="C108" s="3">
        <f>RAW_INPUT!B108</f>
        <v/>
      </c>
      <c r="D108" s="3">
        <f>RAW_INPUT!D108</f>
        <v/>
      </c>
      <c r="E108" s="3">
        <f>D108-C108</f>
        <v/>
      </c>
      <c r="F108" s="3">
        <f>RAW_INPUT!C108</f>
        <v/>
      </c>
      <c r="G108" s="3">
        <f>RAW_INPUT!E108</f>
        <v/>
      </c>
      <c r="H108" s="3">
        <f>I108/F108</f>
        <v/>
      </c>
      <c r="I108" s="3">
        <f>METRICS!$C$14 * 0.02</f>
        <v/>
      </c>
      <c r="J108" s="3">
        <f>(G108-F108)*H108</f>
        <v/>
      </c>
      <c r="K108" s="3">
        <f>(G108-F108)/F108*100</f>
        <v/>
      </c>
      <c r="L108" s="3">
        <f>RAW_INPUT!F108</f>
        <v/>
      </c>
      <c r="M108" s="3">
        <f>K108-L108</f>
        <v/>
      </c>
      <c r="N108" s="3">
        <f>IF(J108&gt;0, 1, 0)</f>
        <v/>
      </c>
      <c r="O108" s="3">
        <f>IF(J108&lt;0, 1, 0)</f>
        <v/>
      </c>
      <c r="P108" s="3">
        <f>SUM($J$3:J108)</f>
        <v/>
      </c>
      <c r="Q108" s="3">
        <f>P108/METRICS!$C$14*100</f>
        <v/>
      </c>
      <c r="R108" s="3">
        <f>METRICS!$C$14+P108</f>
        <v/>
      </c>
      <c r="S108" s="3">
        <f>MAX($R$3:R108)</f>
        <v/>
      </c>
      <c r="T108" s="3">
        <f>R108-S108</f>
        <v/>
      </c>
      <c r="U108" s="3">
        <f>(R108-S108)/S108*100</f>
        <v/>
      </c>
      <c r="V108" s="3">
        <f>IF(K108&lt;0, (K108/100)^2, 0)</f>
        <v/>
      </c>
    </row>
    <row r="109">
      <c r="A109" s="3">
        <f>TEXT(107, """T""0000")</f>
        <v/>
      </c>
      <c r="B109" s="3">
        <f>RAW_INPUT!A109</f>
        <v/>
      </c>
      <c r="C109" s="3">
        <f>RAW_INPUT!B109</f>
        <v/>
      </c>
      <c r="D109" s="3">
        <f>RAW_INPUT!D109</f>
        <v/>
      </c>
      <c r="E109" s="3">
        <f>D109-C109</f>
        <v/>
      </c>
      <c r="F109" s="3">
        <f>RAW_INPUT!C109</f>
        <v/>
      </c>
      <c r="G109" s="3">
        <f>RAW_INPUT!E109</f>
        <v/>
      </c>
      <c r="H109" s="3">
        <f>I109/F109</f>
        <v/>
      </c>
      <c r="I109" s="3">
        <f>METRICS!$C$14 * 0.02</f>
        <v/>
      </c>
      <c r="J109" s="3">
        <f>(G109-F109)*H109</f>
        <v/>
      </c>
      <c r="K109" s="3">
        <f>(G109-F109)/F109*100</f>
        <v/>
      </c>
      <c r="L109" s="3">
        <f>RAW_INPUT!F109</f>
        <v/>
      </c>
      <c r="M109" s="3">
        <f>K109-L109</f>
        <v/>
      </c>
      <c r="N109" s="3">
        <f>IF(J109&gt;0, 1, 0)</f>
        <v/>
      </c>
      <c r="O109" s="3">
        <f>IF(J109&lt;0, 1, 0)</f>
        <v/>
      </c>
      <c r="P109" s="3">
        <f>SUM($J$3:J109)</f>
        <v/>
      </c>
      <c r="Q109" s="3">
        <f>P109/METRICS!$C$14*100</f>
        <v/>
      </c>
      <c r="R109" s="3">
        <f>METRICS!$C$14+P109</f>
        <v/>
      </c>
      <c r="S109" s="3">
        <f>MAX($R$3:R109)</f>
        <v/>
      </c>
      <c r="T109" s="3">
        <f>R109-S109</f>
        <v/>
      </c>
      <c r="U109" s="3">
        <f>(R109-S109)/S109*100</f>
        <v/>
      </c>
      <c r="V109" s="3">
        <f>IF(K109&lt;0, (K109/100)^2, 0)</f>
        <v/>
      </c>
    </row>
    <row r="110">
      <c r="A110" s="3">
        <f>TEXT(108, """T""0000")</f>
        <v/>
      </c>
      <c r="B110" s="3">
        <f>RAW_INPUT!A110</f>
        <v/>
      </c>
      <c r="C110" s="3">
        <f>RAW_INPUT!B110</f>
        <v/>
      </c>
      <c r="D110" s="3">
        <f>RAW_INPUT!D110</f>
        <v/>
      </c>
      <c r="E110" s="3">
        <f>D110-C110</f>
        <v/>
      </c>
      <c r="F110" s="3">
        <f>RAW_INPUT!C110</f>
        <v/>
      </c>
      <c r="G110" s="3">
        <f>RAW_INPUT!E110</f>
        <v/>
      </c>
      <c r="H110" s="3">
        <f>I110/F110</f>
        <v/>
      </c>
      <c r="I110" s="3">
        <f>METRICS!$C$14 * 0.02</f>
        <v/>
      </c>
      <c r="J110" s="3">
        <f>(G110-F110)*H110</f>
        <v/>
      </c>
      <c r="K110" s="3">
        <f>(G110-F110)/F110*100</f>
        <v/>
      </c>
      <c r="L110" s="3">
        <f>RAW_INPUT!F110</f>
        <v/>
      </c>
      <c r="M110" s="3">
        <f>K110-L110</f>
        <v/>
      </c>
      <c r="N110" s="3">
        <f>IF(J110&gt;0, 1, 0)</f>
        <v/>
      </c>
      <c r="O110" s="3">
        <f>IF(J110&lt;0, 1, 0)</f>
        <v/>
      </c>
      <c r="P110" s="3">
        <f>SUM($J$3:J110)</f>
        <v/>
      </c>
      <c r="Q110" s="3">
        <f>P110/METRICS!$C$14*100</f>
        <v/>
      </c>
      <c r="R110" s="3">
        <f>METRICS!$C$14+P110</f>
        <v/>
      </c>
      <c r="S110" s="3">
        <f>MAX($R$3:R110)</f>
        <v/>
      </c>
      <c r="T110" s="3">
        <f>R110-S110</f>
        <v/>
      </c>
      <c r="U110" s="3">
        <f>(R110-S110)/S110*100</f>
        <v/>
      </c>
      <c r="V110" s="3">
        <f>IF(K110&lt;0, (K110/100)^2, 0)</f>
        <v/>
      </c>
    </row>
    <row r="111">
      <c r="A111" s="3">
        <f>TEXT(109, """T""0000")</f>
        <v/>
      </c>
      <c r="B111" s="3">
        <f>RAW_INPUT!A111</f>
        <v/>
      </c>
      <c r="C111" s="3">
        <f>RAW_INPUT!B111</f>
        <v/>
      </c>
      <c r="D111" s="3">
        <f>RAW_INPUT!D111</f>
        <v/>
      </c>
      <c r="E111" s="3">
        <f>D111-C111</f>
        <v/>
      </c>
      <c r="F111" s="3">
        <f>RAW_INPUT!C111</f>
        <v/>
      </c>
      <c r="G111" s="3">
        <f>RAW_INPUT!E111</f>
        <v/>
      </c>
      <c r="H111" s="3">
        <f>I111/F111</f>
        <v/>
      </c>
      <c r="I111" s="3">
        <f>METRICS!$C$14 * 0.02</f>
        <v/>
      </c>
      <c r="J111" s="3">
        <f>(G111-F111)*H111</f>
        <v/>
      </c>
      <c r="K111" s="3">
        <f>(G111-F111)/F111*100</f>
        <v/>
      </c>
      <c r="L111" s="3">
        <f>RAW_INPUT!F111</f>
        <v/>
      </c>
      <c r="M111" s="3">
        <f>K111-L111</f>
        <v/>
      </c>
      <c r="N111" s="3">
        <f>IF(J111&gt;0, 1, 0)</f>
        <v/>
      </c>
      <c r="O111" s="3">
        <f>IF(J111&lt;0, 1, 0)</f>
        <v/>
      </c>
      <c r="P111" s="3">
        <f>SUM($J$3:J111)</f>
        <v/>
      </c>
      <c r="Q111" s="3">
        <f>P111/METRICS!$C$14*100</f>
        <v/>
      </c>
      <c r="R111" s="3">
        <f>METRICS!$C$14+P111</f>
        <v/>
      </c>
      <c r="S111" s="3">
        <f>MAX($R$3:R111)</f>
        <v/>
      </c>
      <c r="T111" s="3">
        <f>R111-S111</f>
        <v/>
      </c>
      <c r="U111" s="3">
        <f>(R111-S111)/S111*100</f>
        <v/>
      </c>
      <c r="V111" s="3">
        <f>IF(K111&lt;0, (K111/100)^2, 0)</f>
        <v/>
      </c>
    </row>
    <row r="112">
      <c r="A112" s="3">
        <f>TEXT(110, """T""0000")</f>
        <v/>
      </c>
      <c r="B112" s="3">
        <f>RAW_INPUT!A112</f>
        <v/>
      </c>
      <c r="C112" s="3">
        <f>RAW_INPUT!B112</f>
        <v/>
      </c>
      <c r="D112" s="3">
        <f>RAW_INPUT!D112</f>
        <v/>
      </c>
      <c r="E112" s="3">
        <f>D112-C112</f>
        <v/>
      </c>
      <c r="F112" s="3">
        <f>RAW_INPUT!C112</f>
        <v/>
      </c>
      <c r="G112" s="3">
        <f>RAW_INPUT!E112</f>
        <v/>
      </c>
      <c r="H112" s="3">
        <f>I112/F112</f>
        <v/>
      </c>
      <c r="I112" s="3">
        <f>METRICS!$C$14 * 0.02</f>
        <v/>
      </c>
      <c r="J112" s="3">
        <f>(G112-F112)*H112</f>
        <v/>
      </c>
      <c r="K112" s="3">
        <f>(G112-F112)/F112*100</f>
        <v/>
      </c>
      <c r="L112" s="3">
        <f>RAW_INPUT!F112</f>
        <v/>
      </c>
      <c r="M112" s="3">
        <f>K112-L112</f>
        <v/>
      </c>
      <c r="N112" s="3">
        <f>IF(J112&gt;0, 1, 0)</f>
        <v/>
      </c>
      <c r="O112" s="3">
        <f>IF(J112&lt;0, 1, 0)</f>
        <v/>
      </c>
      <c r="P112" s="3">
        <f>SUM($J$3:J112)</f>
        <v/>
      </c>
      <c r="Q112" s="3">
        <f>P112/METRICS!$C$14*100</f>
        <v/>
      </c>
      <c r="R112" s="3">
        <f>METRICS!$C$14+P112</f>
        <v/>
      </c>
      <c r="S112" s="3">
        <f>MAX($R$3:R112)</f>
        <v/>
      </c>
      <c r="T112" s="3">
        <f>R112-S112</f>
        <v/>
      </c>
      <c r="U112" s="3">
        <f>(R112-S112)/S112*100</f>
        <v/>
      </c>
      <c r="V112" s="3">
        <f>IF(K112&lt;0, (K112/100)^2, 0)</f>
        <v/>
      </c>
    </row>
    <row r="113">
      <c r="A113" s="3">
        <f>TEXT(111, """T""0000")</f>
        <v/>
      </c>
      <c r="B113" s="3">
        <f>RAW_INPUT!A113</f>
        <v/>
      </c>
      <c r="C113" s="3">
        <f>RAW_INPUT!B113</f>
        <v/>
      </c>
      <c r="D113" s="3">
        <f>RAW_INPUT!D113</f>
        <v/>
      </c>
      <c r="E113" s="3">
        <f>D113-C113</f>
        <v/>
      </c>
      <c r="F113" s="3">
        <f>RAW_INPUT!C113</f>
        <v/>
      </c>
      <c r="G113" s="3">
        <f>RAW_INPUT!E113</f>
        <v/>
      </c>
      <c r="H113" s="3">
        <f>I113/F113</f>
        <v/>
      </c>
      <c r="I113" s="3">
        <f>METRICS!$C$14 * 0.02</f>
        <v/>
      </c>
      <c r="J113" s="3">
        <f>(G113-F113)*H113</f>
        <v/>
      </c>
      <c r="K113" s="3">
        <f>(G113-F113)/F113*100</f>
        <v/>
      </c>
      <c r="L113" s="3">
        <f>RAW_INPUT!F113</f>
        <v/>
      </c>
      <c r="M113" s="3">
        <f>K113-L113</f>
        <v/>
      </c>
      <c r="N113" s="3">
        <f>IF(J113&gt;0, 1, 0)</f>
        <v/>
      </c>
      <c r="O113" s="3">
        <f>IF(J113&lt;0, 1, 0)</f>
        <v/>
      </c>
      <c r="P113" s="3">
        <f>SUM($J$3:J113)</f>
        <v/>
      </c>
      <c r="Q113" s="3">
        <f>P113/METRICS!$C$14*100</f>
        <v/>
      </c>
      <c r="R113" s="3">
        <f>METRICS!$C$14+P113</f>
        <v/>
      </c>
      <c r="S113" s="3">
        <f>MAX($R$3:R113)</f>
        <v/>
      </c>
      <c r="T113" s="3">
        <f>R113-S113</f>
        <v/>
      </c>
      <c r="U113" s="3">
        <f>(R113-S113)/S113*100</f>
        <v/>
      </c>
      <c r="V113" s="3">
        <f>IF(K113&lt;0, (K113/100)^2, 0)</f>
        <v/>
      </c>
    </row>
    <row r="114">
      <c r="A114" s="3">
        <f>TEXT(112, """T""0000")</f>
        <v/>
      </c>
      <c r="B114" s="3">
        <f>RAW_INPUT!A114</f>
        <v/>
      </c>
      <c r="C114" s="3">
        <f>RAW_INPUT!B114</f>
        <v/>
      </c>
      <c r="D114" s="3">
        <f>RAW_INPUT!D114</f>
        <v/>
      </c>
      <c r="E114" s="3">
        <f>D114-C114</f>
        <v/>
      </c>
      <c r="F114" s="3">
        <f>RAW_INPUT!C114</f>
        <v/>
      </c>
      <c r="G114" s="3">
        <f>RAW_INPUT!E114</f>
        <v/>
      </c>
      <c r="H114" s="3">
        <f>I114/F114</f>
        <v/>
      </c>
      <c r="I114" s="3">
        <f>METRICS!$C$14 * 0.02</f>
        <v/>
      </c>
      <c r="J114" s="3">
        <f>(G114-F114)*H114</f>
        <v/>
      </c>
      <c r="K114" s="3">
        <f>(G114-F114)/F114*100</f>
        <v/>
      </c>
      <c r="L114" s="3">
        <f>RAW_INPUT!F114</f>
        <v/>
      </c>
      <c r="M114" s="3">
        <f>K114-L114</f>
        <v/>
      </c>
      <c r="N114" s="3">
        <f>IF(J114&gt;0, 1, 0)</f>
        <v/>
      </c>
      <c r="O114" s="3">
        <f>IF(J114&lt;0, 1, 0)</f>
        <v/>
      </c>
      <c r="P114" s="3">
        <f>SUM($J$3:J114)</f>
        <v/>
      </c>
      <c r="Q114" s="3">
        <f>P114/METRICS!$C$14*100</f>
        <v/>
      </c>
      <c r="R114" s="3">
        <f>METRICS!$C$14+P114</f>
        <v/>
      </c>
      <c r="S114" s="3">
        <f>MAX($R$3:R114)</f>
        <v/>
      </c>
      <c r="T114" s="3">
        <f>R114-S114</f>
        <v/>
      </c>
      <c r="U114" s="3">
        <f>(R114-S114)/S114*100</f>
        <v/>
      </c>
      <c r="V114" s="3">
        <f>IF(K114&lt;0, (K114/100)^2, 0)</f>
        <v/>
      </c>
    </row>
    <row r="115">
      <c r="A115" s="3">
        <f>TEXT(113, """T""0000")</f>
        <v/>
      </c>
      <c r="B115" s="3">
        <f>RAW_INPUT!A115</f>
        <v/>
      </c>
      <c r="C115" s="3">
        <f>RAW_INPUT!B115</f>
        <v/>
      </c>
      <c r="D115" s="3">
        <f>RAW_INPUT!D115</f>
        <v/>
      </c>
      <c r="E115" s="3">
        <f>D115-C115</f>
        <v/>
      </c>
      <c r="F115" s="3">
        <f>RAW_INPUT!C115</f>
        <v/>
      </c>
      <c r="G115" s="3">
        <f>RAW_INPUT!E115</f>
        <v/>
      </c>
      <c r="H115" s="3">
        <f>I115/F115</f>
        <v/>
      </c>
      <c r="I115" s="3">
        <f>METRICS!$C$14 * 0.02</f>
        <v/>
      </c>
      <c r="J115" s="3">
        <f>(G115-F115)*H115</f>
        <v/>
      </c>
      <c r="K115" s="3">
        <f>(G115-F115)/F115*100</f>
        <v/>
      </c>
      <c r="L115" s="3">
        <f>RAW_INPUT!F115</f>
        <v/>
      </c>
      <c r="M115" s="3">
        <f>K115-L115</f>
        <v/>
      </c>
      <c r="N115" s="3">
        <f>IF(J115&gt;0, 1, 0)</f>
        <v/>
      </c>
      <c r="O115" s="3">
        <f>IF(J115&lt;0, 1, 0)</f>
        <v/>
      </c>
      <c r="P115" s="3">
        <f>SUM($J$3:J115)</f>
        <v/>
      </c>
      <c r="Q115" s="3">
        <f>P115/METRICS!$C$14*100</f>
        <v/>
      </c>
      <c r="R115" s="3">
        <f>METRICS!$C$14+P115</f>
        <v/>
      </c>
      <c r="S115" s="3">
        <f>MAX($R$3:R115)</f>
        <v/>
      </c>
      <c r="T115" s="3">
        <f>R115-S115</f>
        <v/>
      </c>
      <c r="U115" s="3">
        <f>(R115-S115)/S115*100</f>
        <v/>
      </c>
      <c r="V115" s="3">
        <f>IF(K115&lt;0, (K115/100)^2, 0)</f>
        <v/>
      </c>
    </row>
    <row r="116">
      <c r="A116" s="3">
        <f>TEXT(114, """T""0000")</f>
        <v/>
      </c>
      <c r="B116" s="3">
        <f>RAW_INPUT!A116</f>
        <v/>
      </c>
      <c r="C116" s="3">
        <f>RAW_INPUT!B116</f>
        <v/>
      </c>
      <c r="D116" s="3">
        <f>RAW_INPUT!D116</f>
        <v/>
      </c>
      <c r="E116" s="3">
        <f>D116-C116</f>
        <v/>
      </c>
      <c r="F116" s="3">
        <f>RAW_INPUT!C116</f>
        <v/>
      </c>
      <c r="G116" s="3">
        <f>RAW_INPUT!E116</f>
        <v/>
      </c>
      <c r="H116" s="3">
        <f>I116/F116</f>
        <v/>
      </c>
      <c r="I116" s="3">
        <f>METRICS!$C$14 * 0.02</f>
        <v/>
      </c>
      <c r="J116" s="3">
        <f>(G116-F116)*H116</f>
        <v/>
      </c>
      <c r="K116" s="3">
        <f>(G116-F116)/F116*100</f>
        <v/>
      </c>
      <c r="L116" s="3">
        <f>RAW_INPUT!F116</f>
        <v/>
      </c>
      <c r="M116" s="3">
        <f>K116-L116</f>
        <v/>
      </c>
      <c r="N116" s="3">
        <f>IF(J116&gt;0, 1, 0)</f>
        <v/>
      </c>
      <c r="O116" s="3">
        <f>IF(J116&lt;0, 1, 0)</f>
        <v/>
      </c>
      <c r="P116" s="3">
        <f>SUM($J$3:J116)</f>
        <v/>
      </c>
      <c r="Q116" s="3">
        <f>P116/METRICS!$C$14*100</f>
        <v/>
      </c>
      <c r="R116" s="3">
        <f>METRICS!$C$14+P116</f>
        <v/>
      </c>
      <c r="S116" s="3">
        <f>MAX($R$3:R116)</f>
        <v/>
      </c>
      <c r="T116" s="3">
        <f>R116-S116</f>
        <v/>
      </c>
      <c r="U116" s="3">
        <f>(R116-S116)/S116*100</f>
        <v/>
      </c>
      <c r="V116" s="3">
        <f>IF(K116&lt;0, (K116/100)^2, 0)</f>
        <v/>
      </c>
    </row>
    <row r="117">
      <c r="A117" s="3">
        <f>TEXT(115, """T""0000")</f>
        <v/>
      </c>
      <c r="B117" s="3">
        <f>RAW_INPUT!A117</f>
        <v/>
      </c>
      <c r="C117" s="3">
        <f>RAW_INPUT!B117</f>
        <v/>
      </c>
      <c r="D117" s="3">
        <f>RAW_INPUT!D117</f>
        <v/>
      </c>
      <c r="E117" s="3">
        <f>D117-C117</f>
        <v/>
      </c>
      <c r="F117" s="3">
        <f>RAW_INPUT!C117</f>
        <v/>
      </c>
      <c r="G117" s="3">
        <f>RAW_INPUT!E117</f>
        <v/>
      </c>
      <c r="H117" s="3">
        <f>I117/F117</f>
        <v/>
      </c>
      <c r="I117" s="3">
        <f>METRICS!$C$14 * 0.02</f>
        <v/>
      </c>
      <c r="J117" s="3">
        <f>(G117-F117)*H117</f>
        <v/>
      </c>
      <c r="K117" s="3">
        <f>(G117-F117)/F117*100</f>
        <v/>
      </c>
      <c r="L117" s="3">
        <f>RAW_INPUT!F117</f>
        <v/>
      </c>
      <c r="M117" s="3">
        <f>K117-L117</f>
        <v/>
      </c>
      <c r="N117" s="3">
        <f>IF(J117&gt;0, 1, 0)</f>
        <v/>
      </c>
      <c r="O117" s="3">
        <f>IF(J117&lt;0, 1, 0)</f>
        <v/>
      </c>
      <c r="P117" s="3">
        <f>SUM($J$3:J117)</f>
        <v/>
      </c>
      <c r="Q117" s="3">
        <f>P117/METRICS!$C$14*100</f>
        <v/>
      </c>
      <c r="R117" s="3">
        <f>METRICS!$C$14+P117</f>
        <v/>
      </c>
      <c r="S117" s="3">
        <f>MAX($R$3:R117)</f>
        <v/>
      </c>
      <c r="T117" s="3">
        <f>R117-S117</f>
        <v/>
      </c>
      <c r="U117" s="3">
        <f>(R117-S117)/S117*100</f>
        <v/>
      </c>
      <c r="V117" s="3">
        <f>IF(K117&lt;0, (K117/100)^2, 0)</f>
        <v/>
      </c>
    </row>
    <row r="118">
      <c r="A118" s="3">
        <f>TEXT(116, """T""0000")</f>
        <v/>
      </c>
      <c r="B118" s="3">
        <f>RAW_INPUT!A118</f>
        <v/>
      </c>
      <c r="C118" s="3">
        <f>RAW_INPUT!B118</f>
        <v/>
      </c>
      <c r="D118" s="3">
        <f>RAW_INPUT!D118</f>
        <v/>
      </c>
      <c r="E118" s="3">
        <f>D118-C118</f>
        <v/>
      </c>
      <c r="F118" s="3">
        <f>RAW_INPUT!C118</f>
        <v/>
      </c>
      <c r="G118" s="3">
        <f>RAW_INPUT!E118</f>
        <v/>
      </c>
      <c r="H118" s="3">
        <f>I118/F118</f>
        <v/>
      </c>
      <c r="I118" s="3">
        <f>METRICS!$C$14 * 0.02</f>
        <v/>
      </c>
      <c r="J118" s="3">
        <f>(G118-F118)*H118</f>
        <v/>
      </c>
      <c r="K118" s="3">
        <f>(G118-F118)/F118*100</f>
        <v/>
      </c>
      <c r="L118" s="3">
        <f>RAW_INPUT!F118</f>
        <v/>
      </c>
      <c r="M118" s="3">
        <f>K118-L118</f>
        <v/>
      </c>
      <c r="N118" s="3">
        <f>IF(J118&gt;0, 1, 0)</f>
        <v/>
      </c>
      <c r="O118" s="3">
        <f>IF(J118&lt;0, 1, 0)</f>
        <v/>
      </c>
      <c r="P118" s="3">
        <f>SUM($J$3:J118)</f>
        <v/>
      </c>
      <c r="Q118" s="3">
        <f>P118/METRICS!$C$14*100</f>
        <v/>
      </c>
      <c r="R118" s="3">
        <f>METRICS!$C$14+P118</f>
        <v/>
      </c>
      <c r="S118" s="3">
        <f>MAX($R$3:R118)</f>
        <v/>
      </c>
      <c r="T118" s="3">
        <f>R118-S118</f>
        <v/>
      </c>
      <c r="U118" s="3">
        <f>(R118-S118)/S118*100</f>
        <v/>
      </c>
      <c r="V118" s="3">
        <f>IF(K118&lt;0, (K118/100)^2, 0)</f>
        <v/>
      </c>
    </row>
    <row r="119">
      <c r="A119" s="3">
        <f>TEXT(117, """T""0000")</f>
        <v/>
      </c>
      <c r="B119" s="3">
        <f>RAW_INPUT!A119</f>
        <v/>
      </c>
      <c r="C119" s="3">
        <f>RAW_INPUT!B119</f>
        <v/>
      </c>
      <c r="D119" s="3">
        <f>RAW_INPUT!D119</f>
        <v/>
      </c>
      <c r="E119" s="3">
        <f>D119-C119</f>
        <v/>
      </c>
      <c r="F119" s="3">
        <f>RAW_INPUT!C119</f>
        <v/>
      </c>
      <c r="G119" s="3">
        <f>RAW_INPUT!E119</f>
        <v/>
      </c>
      <c r="H119" s="3">
        <f>I119/F119</f>
        <v/>
      </c>
      <c r="I119" s="3">
        <f>METRICS!$C$14 * 0.02</f>
        <v/>
      </c>
      <c r="J119" s="3">
        <f>(G119-F119)*H119</f>
        <v/>
      </c>
      <c r="K119" s="3">
        <f>(G119-F119)/F119*100</f>
        <v/>
      </c>
      <c r="L119" s="3">
        <f>RAW_INPUT!F119</f>
        <v/>
      </c>
      <c r="M119" s="3">
        <f>K119-L119</f>
        <v/>
      </c>
      <c r="N119" s="3">
        <f>IF(J119&gt;0, 1, 0)</f>
        <v/>
      </c>
      <c r="O119" s="3">
        <f>IF(J119&lt;0, 1, 0)</f>
        <v/>
      </c>
      <c r="P119" s="3">
        <f>SUM($J$3:J119)</f>
        <v/>
      </c>
      <c r="Q119" s="3">
        <f>P119/METRICS!$C$14*100</f>
        <v/>
      </c>
      <c r="R119" s="3">
        <f>METRICS!$C$14+P119</f>
        <v/>
      </c>
      <c r="S119" s="3">
        <f>MAX($R$3:R119)</f>
        <v/>
      </c>
      <c r="T119" s="3">
        <f>R119-S119</f>
        <v/>
      </c>
      <c r="U119" s="3">
        <f>(R119-S119)/S119*100</f>
        <v/>
      </c>
      <c r="V119" s="3">
        <f>IF(K119&lt;0, (K119/100)^2, 0)</f>
        <v/>
      </c>
    </row>
    <row r="120">
      <c r="A120" s="3">
        <f>TEXT(118, """T""0000")</f>
        <v/>
      </c>
      <c r="B120" s="3">
        <f>RAW_INPUT!A120</f>
        <v/>
      </c>
      <c r="C120" s="3">
        <f>RAW_INPUT!B120</f>
        <v/>
      </c>
      <c r="D120" s="3">
        <f>RAW_INPUT!D120</f>
        <v/>
      </c>
      <c r="E120" s="3">
        <f>D120-C120</f>
        <v/>
      </c>
      <c r="F120" s="3">
        <f>RAW_INPUT!C120</f>
        <v/>
      </c>
      <c r="G120" s="3">
        <f>RAW_INPUT!E120</f>
        <v/>
      </c>
      <c r="H120" s="3">
        <f>I120/F120</f>
        <v/>
      </c>
      <c r="I120" s="3">
        <f>METRICS!$C$14 * 0.02</f>
        <v/>
      </c>
      <c r="J120" s="3">
        <f>(G120-F120)*H120</f>
        <v/>
      </c>
      <c r="K120" s="3">
        <f>(G120-F120)/F120*100</f>
        <v/>
      </c>
      <c r="L120" s="3">
        <f>RAW_INPUT!F120</f>
        <v/>
      </c>
      <c r="M120" s="3">
        <f>K120-L120</f>
        <v/>
      </c>
      <c r="N120" s="3">
        <f>IF(J120&gt;0, 1, 0)</f>
        <v/>
      </c>
      <c r="O120" s="3">
        <f>IF(J120&lt;0, 1, 0)</f>
        <v/>
      </c>
      <c r="P120" s="3">
        <f>SUM($J$3:J120)</f>
        <v/>
      </c>
      <c r="Q120" s="3">
        <f>P120/METRICS!$C$14*100</f>
        <v/>
      </c>
      <c r="R120" s="3">
        <f>METRICS!$C$14+P120</f>
        <v/>
      </c>
      <c r="S120" s="3">
        <f>MAX($R$3:R120)</f>
        <v/>
      </c>
      <c r="T120" s="3">
        <f>R120-S120</f>
        <v/>
      </c>
      <c r="U120" s="3">
        <f>(R120-S120)/S120*100</f>
        <v/>
      </c>
      <c r="V120" s="3">
        <f>IF(K120&lt;0, (K120/100)^2, 0)</f>
        <v/>
      </c>
    </row>
    <row r="121">
      <c r="A121" s="3">
        <f>TEXT(119, """T""0000")</f>
        <v/>
      </c>
      <c r="B121" s="3">
        <f>RAW_INPUT!A121</f>
        <v/>
      </c>
      <c r="C121" s="3">
        <f>RAW_INPUT!B121</f>
        <v/>
      </c>
      <c r="D121" s="3">
        <f>RAW_INPUT!D121</f>
        <v/>
      </c>
      <c r="E121" s="3">
        <f>D121-C121</f>
        <v/>
      </c>
      <c r="F121" s="3">
        <f>RAW_INPUT!C121</f>
        <v/>
      </c>
      <c r="G121" s="3">
        <f>RAW_INPUT!E121</f>
        <v/>
      </c>
      <c r="H121" s="3">
        <f>I121/F121</f>
        <v/>
      </c>
      <c r="I121" s="3">
        <f>METRICS!$C$14 * 0.02</f>
        <v/>
      </c>
      <c r="J121" s="3">
        <f>(G121-F121)*H121</f>
        <v/>
      </c>
      <c r="K121" s="3">
        <f>(G121-F121)/F121*100</f>
        <v/>
      </c>
      <c r="L121" s="3">
        <f>RAW_INPUT!F121</f>
        <v/>
      </c>
      <c r="M121" s="3">
        <f>K121-L121</f>
        <v/>
      </c>
      <c r="N121" s="3">
        <f>IF(J121&gt;0, 1, 0)</f>
        <v/>
      </c>
      <c r="O121" s="3">
        <f>IF(J121&lt;0, 1, 0)</f>
        <v/>
      </c>
      <c r="P121" s="3">
        <f>SUM($J$3:J121)</f>
        <v/>
      </c>
      <c r="Q121" s="3">
        <f>P121/METRICS!$C$14*100</f>
        <v/>
      </c>
      <c r="R121" s="3">
        <f>METRICS!$C$14+P121</f>
        <v/>
      </c>
      <c r="S121" s="3">
        <f>MAX($R$3:R121)</f>
        <v/>
      </c>
      <c r="T121" s="3">
        <f>R121-S121</f>
        <v/>
      </c>
      <c r="U121" s="3">
        <f>(R121-S121)/S121*100</f>
        <v/>
      </c>
      <c r="V121" s="3">
        <f>IF(K121&lt;0, (K121/100)^2, 0)</f>
        <v/>
      </c>
    </row>
    <row r="122">
      <c r="A122" s="3">
        <f>TEXT(120, """T""0000")</f>
        <v/>
      </c>
      <c r="B122" s="3">
        <f>RAW_INPUT!A122</f>
        <v/>
      </c>
      <c r="C122" s="3">
        <f>RAW_INPUT!B122</f>
        <v/>
      </c>
      <c r="D122" s="3">
        <f>RAW_INPUT!D122</f>
        <v/>
      </c>
      <c r="E122" s="3">
        <f>D122-C122</f>
        <v/>
      </c>
      <c r="F122" s="3">
        <f>RAW_INPUT!C122</f>
        <v/>
      </c>
      <c r="G122" s="3">
        <f>RAW_INPUT!E122</f>
        <v/>
      </c>
      <c r="H122" s="3">
        <f>I122/F122</f>
        <v/>
      </c>
      <c r="I122" s="3">
        <f>METRICS!$C$14 * 0.02</f>
        <v/>
      </c>
      <c r="J122" s="3">
        <f>(G122-F122)*H122</f>
        <v/>
      </c>
      <c r="K122" s="3">
        <f>(G122-F122)/F122*100</f>
        <v/>
      </c>
      <c r="L122" s="3">
        <f>RAW_INPUT!F122</f>
        <v/>
      </c>
      <c r="M122" s="3">
        <f>K122-L122</f>
        <v/>
      </c>
      <c r="N122" s="3">
        <f>IF(J122&gt;0, 1, 0)</f>
        <v/>
      </c>
      <c r="O122" s="3">
        <f>IF(J122&lt;0, 1, 0)</f>
        <v/>
      </c>
      <c r="P122" s="3">
        <f>SUM($J$3:J122)</f>
        <v/>
      </c>
      <c r="Q122" s="3">
        <f>P122/METRICS!$C$14*100</f>
        <v/>
      </c>
      <c r="R122" s="3">
        <f>METRICS!$C$14+P122</f>
        <v/>
      </c>
      <c r="S122" s="3">
        <f>MAX($R$3:R122)</f>
        <v/>
      </c>
      <c r="T122" s="3">
        <f>R122-S122</f>
        <v/>
      </c>
      <c r="U122" s="3">
        <f>(R122-S122)/S122*100</f>
        <v/>
      </c>
      <c r="V122" s="3">
        <f>IF(K122&lt;0, (K122/100)^2, 0)</f>
        <v/>
      </c>
    </row>
    <row r="123">
      <c r="A123" s="3">
        <f>TEXT(121, """T""0000")</f>
        <v/>
      </c>
      <c r="B123" s="3">
        <f>RAW_INPUT!A123</f>
        <v/>
      </c>
      <c r="C123" s="3">
        <f>RAW_INPUT!B123</f>
        <v/>
      </c>
      <c r="D123" s="3">
        <f>RAW_INPUT!D123</f>
        <v/>
      </c>
      <c r="E123" s="3">
        <f>D123-C123</f>
        <v/>
      </c>
      <c r="F123" s="3">
        <f>RAW_INPUT!C123</f>
        <v/>
      </c>
      <c r="G123" s="3">
        <f>RAW_INPUT!E123</f>
        <v/>
      </c>
      <c r="H123" s="3">
        <f>I123/F123</f>
        <v/>
      </c>
      <c r="I123" s="3">
        <f>METRICS!$C$14 * 0.02</f>
        <v/>
      </c>
      <c r="J123" s="3">
        <f>(G123-F123)*H123</f>
        <v/>
      </c>
      <c r="K123" s="3">
        <f>(G123-F123)/F123*100</f>
        <v/>
      </c>
      <c r="L123" s="3">
        <f>RAW_INPUT!F123</f>
        <v/>
      </c>
      <c r="M123" s="3">
        <f>K123-L123</f>
        <v/>
      </c>
      <c r="N123" s="3">
        <f>IF(J123&gt;0, 1, 0)</f>
        <v/>
      </c>
      <c r="O123" s="3">
        <f>IF(J123&lt;0, 1, 0)</f>
        <v/>
      </c>
      <c r="P123" s="3">
        <f>SUM($J$3:J123)</f>
        <v/>
      </c>
      <c r="Q123" s="3">
        <f>P123/METRICS!$C$14*100</f>
        <v/>
      </c>
      <c r="R123" s="3">
        <f>METRICS!$C$14+P123</f>
        <v/>
      </c>
      <c r="S123" s="3">
        <f>MAX($R$3:R123)</f>
        <v/>
      </c>
      <c r="T123" s="3">
        <f>R123-S123</f>
        <v/>
      </c>
      <c r="U123" s="3">
        <f>(R123-S123)/S123*100</f>
        <v/>
      </c>
      <c r="V123" s="3">
        <f>IF(K123&lt;0, (K123/100)^2, 0)</f>
        <v/>
      </c>
    </row>
    <row r="124">
      <c r="A124" s="3">
        <f>TEXT(122, """T""0000")</f>
        <v/>
      </c>
      <c r="B124" s="3">
        <f>RAW_INPUT!A124</f>
        <v/>
      </c>
      <c r="C124" s="3">
        <f>RAW_INPUT!B124</f>
        <v/>
      </c>
      <c r="D124" s="3">
        <f>RAW_INPUT!D124</f>
        <v/>
      </c>
      <c r="E124" s="3">
        <f>D124-C124</f>
        <v/>
      </c>
      <c r="F124" s="3">
        <f>RAW_INPUT!C124</f>
        <v/>
      </c>
      <c r="G124" s="3">
        <f>RAW_INPUT!E124</f>
        <v/>
      </c>
      <c r="H124" s="3">
        <f>I124/F124</f>
        <v/>
      </c>
      <c r="I124" s="3">
        <f>METRICS!$C$14 * 0.02</f>
        <v/>
      </c>
      <c r="J124" s="3">
        <f>(G124-F124)*H124</f>
        <v/>
      </c>
      <c r="K124" s="3">
        <f>(G124-F124)/F124*100</f>
        <v/>
      </c>
      <c r="L124" s="3">
        <f>RAW_INPUT!F124</f>
        <v/>
      </c>
      <c r="M124" s="3">
        <f>K124-L124</f>
        <v/>
      </c>
      <c r="N124" s="3">
        <f>IF(J124&gt;0, 1, 0)</f>
        <v/>
      </c>
      <c r="O124" s="3">
        <f>IF(J124&lt;0, 1, 0)</f>
        <v/>
      </c>
      <c r="P124" s="3">
        <f>SUM($J$3:J124)</f>
        <v/>
      </c>
      <c r="Q124" s="3">
        <f>P124/METRICS!$C$14*100</f>
        <v/>
      </c>
      <c r="R124" s="3">
        <f>METRICS!$C$14+P124</f>
        <v/>
      </c>
      <c r="S124" s="3">
        <f>MAX($R$3:R124)</f>
        <v/>
      </c>
      <c r="T124" s="3">
        <f>R124-S124</f>
        <v/>
      </c>
      <c r="U124" s="3">
        <f>(R124-S124)/S124*100</f>
        <v/>
      </c>
      <c r="V124" s="3">
        <f>IF(K124&lt;0, (K124/100)^2, 0)</f>
        <v/>
      </c>
    </row>
    <row r="125">
      <c r="A125" s="3">
        <f>TEXT(123, """T""0000")</f>
        <v/>
      </c>
      <c r="B125" s="3">
        <f>RAW_INPUT!A125</f>
        <v/>
      </c>
      <c r="C125" s="3">
        <f>RAW_INPUT!B125</f>
        <v/>
      </c>
      <c r="D125" s="3">
        <f>RAW_INPUT!D125</f>
        <v/>
      </c>
      <c r="E125" s="3">
        <f>D125-C125</f>
        <v/>
      </c>
      <c r="F125" s="3">
        <f>RAW_INPUT!C125</f>
        <v/>
      </c>
      <c r="G125" s="3">
        <f>RAW_INPUT!E125</f>
        <v/>
      </c>
      <c r="H125" s="3">
        <f>I125/F125</f>
        <v/>
      </c>
      <c r="I125" s="3">
        <f>METRICS!$C$14 * 0.02</f>
        <v/>
      </c>
      <c r="J125" s="3">
        <f>(G125-F125)*H125</f>
        <v/>
      </c>
      <c r="K125" s="3">
        <f>(G125-F125)/F125*100</f>
        <v/>
      </c>
      <c r="L125" s="3">
        <f>RAW_INPUT!F125</f>
        <v/>
      </c>
      <c r="M125" s="3">
        <f>K125-L125</f>
        <v/>
      </c>
      <c r="N125" s="3">
        <f>IF(J125&gt;0, 1, 0)</f>
        <v/>
      </c>
      <c r="O125" s="3">
        <f>IF(J125&lt;0, 1, 0)</f>
        <v/>
      </c>
      <c r="P125" s="3">
        <f>SUM($J$3:J125)</f>
        <v/>
      </c>
      <c r="Q125" s="3">
        <f>P125/METRICS!$C$14*100</f>
        <v/>
      </c>
      <c r="R125" s="3">
        <f>METRICS!$C$14+P125</f>
        <v/>
      </c>
      <c r="S125" s="3">
        <f>MAX($R$3:R125)</f>
        <v/>
      </c>
      <c r="T125" s="3">
        <f>R125-S125</f>
        <v/>
      </c>
      <c r="U125" s="3">
        <f>(R125-S125)/S125*100</f>
        <v/>
      </c>
      <c r="V125" s="3">
        <f>IF(K125&lt;0, (K125/100)^2, 0)</f>
        <v/>
      </c>
    </row>
    <row r="126">
      <c r="A126" s="3">
        <f>TEXT(124, """T""0000")</f>
        <v/>
      </c>
      <c r="B126" s="3">
        <f>RAW_INPUT!A126</f>
        <v/>
      </c>
      <c r="C126" s="3">
        <f>RAW_INPUT!B126</f>
        <v/>
      </c>
      <c r="D126" s="3">
        <f>RAW_INPUT!D126</f>
        <v/>
      </c>
      <c r="E126" s="3">
        <f>D126-C126</f>
        <v/>
      </c>
      <c r="F126" s="3">
        <f>RAW_INPUT!C126</f>
        <v/>
      </c>
      <c r="G126" s="3">
        <f>RAW_INPUT!E126</f>
        <v/>
      </c>
      <c r="H126" s="3">
        <f>I126/F126</f>
        <v/>
      </c>
      <c r="I126" s="3">
        <f>METRICS!$C$14 * 0.02</f>
        <v/>
      </c>
      <c r="J126" s="3">
        <f>(G126-F126)*H126</f>
        <v/>
      </c>
      <c r="K126" s="3">
        <f>(G126-F126)/F126*100</f>
        <v/>
      </c>
      <c r="L126" s="3">
        <f>RAW_INPUT!F126</f>
        <v/>
      </c>
      <c r="M126" s="3">
        <f>K126-L126</f>
        <v/>
      </c>
      <c r="N126" s="3">
        <f>IF(J126&gt;0, 1, 0)</f>
        <v/>
      </c>
      <c r="O126" s="3">
        <f>IF(J126&lt;0, 1, 0)</f>
        <v/>
      </c>
      <c r="P126" s="3">
        <f>SUM($J$3:J126)</f>
        <v/>
      </c>
      <c r="Q126" s="3">
        <f>P126/METRICS!$C$14*100</f>
        <v/>
      </c>
      <c r="R126" s="3">
        <f>METRICS!$C$14+P126</f>
        <v/>
      </c>
      <c r="S126" s="3">
        <f>MAX($R$3:R126)</f>
        <v/>
      </c>
      <c r="T126" s="3">
        <f>R126-S126</f>
        <v/>
      </c>
      <c r="U126" s="3">
        <f>(R126-S126)/S126*100</f>
        <v/>
      </c>
      <c r="V126" s="3">
        <f>IF(K126&lt;0, (K126/100)^2, 0)</f>
        <v/>
      </c>
    </row>
    <row r="127">
      <c r="A127" s="3">
        <f>TEXT(125, """T""0000")</f>
        <v/>
      </c>
      <c r="B127" s="3">
        <f>RAW_INPUT!A127</f>
        <v/>
      </c>
      <c r="C127" s="3">
        <f>RAW_INPUT!B127</f>
        <v/>
      </c>
      <c r="D127" s="3">
        <f>RAW_INPUT!D127</f>
        <v/>
      </c>
      <c r="E127" s="3">
        <f>D127-C127</f>
        <v/>
      </c>
      <c r="F127" s="3">
        <f>RAW_INPUT!C127</f>
        <v/>
      </c>
      <c r="G127" s="3">
        <f>RAW_INPUT!E127</f>
        <v/>
      </c>
      <c r="H127" s="3">
        <f>I127/F127</f>
        <v/>
      </c>
      <c r="I127" s="3">
        <f>METRICS!$C$14 * 0.02</f>
        <v/>
      </c>
      <c r="J127" s="3">
        <f>(G127-F127)*H127</f>
        <v/>
      </c>
      <c r="K127" s="3">
        <f>(G127-F127)/F127*100</f>
        <v/>
      </c>
      <c r="L127" s="3">
        <f>RAW_INPUT!F127</f>
        <v/>
      </c>
      <c r="M127" s="3">
        <f>K127-L127</f>
        <v/>
      </c>
      <c r="N127" s="3">
        <f>IF(J127&gt;0, 1, 0)</f>
        <v/>
      </c>
      <c r="O127" s="3">
        <f>IF(J127&lt;0, 1, 0)</f>
        <v/>
      </c>
      <c r="P127" s="3">
        <f>SUM($J$3:J127)</f>
        <v/>
      </c>
      <c r="Q127" s="3">
        <f>P127/METRICS!$C$14*100</f>
        <v/>
      </c>
      <c r="R127" s="3">
        <f>METRICS!$C$14+P127</f>
        <v/>
      </c>
      <c r="S127" s="3">
        <f>MAX($R$3:R127)</f>
        <v/>
      </c>
      <c r="T127" s="3">
        <f>R127-S127</f>
        <v/>
      </c>
      <c r="U127" s="3">
        <f>(R127-S127)/S127*100</f>
        <v/>
      </c>
      <c r="V127" s="3">
        <f>IF(K127&lt;0, (K127/100)^2, 0)</f>
        <v/>
      </c>
    </row>
    <row r="128">
      <c r="A128" s="3">
        <f>TEXT(126, """T""0000")</f>
        <v/>
      </c>
      <c r="B128" s="3">
        <f>RAW_INPUT!A128</f>
        <v/>
      </c>
      <c r="C128" s="3">
        <f>RAW_INPUT!B128</f>
        <v/>
      </c>
      <c r="D128" s="3">
        <f>RAW_INPUT!D128</f>
        <v/>
      </c>
      <c r="E128" s="3">
        <f>D128-C128</f>
        <v/>
      </c>
      <c r="F128" s="3">
        <f>RAW_INPUT!C128</f>
        <v/>
      </c>
      <c r="G128" s="3">
        <f>RAW_INPUT!E128</f>
        <v/>
      </c>
      <c r="H128" s="3">
        <f>I128/F128</f>
        <v/>
      </c>
      <c r="I128" s="3">
        <f>METRICS!$C$14 * 0.02</f>
        <v/>
      </c>
      <c r="J128" s="3">
        <f>(G128-F128)*H128</f>
        <v/>
      </c>
      <c r="K128" s="3">
        <f>(G128-F128)/F128*100</f>
        <v/>
      </c>
      <c r="L128" s="3">
        <f>RAW_INPUT!F128</f>
        <v/>
      </c>
      <c r="M128" s="3">
        <f>K128-L128</f>
        <v/>
      </c>
      <c r="N128" s="3">
        <f>IF(J128&gt;0, 1, 0)</f>
        <v/>
      </c>
      <c r="O128" s="3">
        <f>IF(J128&lt;0, 1, 0)</f>
        <v/>
      </c>
      <c r="P128" s="3">
        <f>SUM($J$3:J128)</f>
        <v/>
      </c>
      <c r="Q128" s="3">
        <f>P128/METRICS!$C$14*100</f>
        <v/>
      </c>
      <c r="R128" s="3">
        <f>METRICS!$C$14+P128</f>
        <v/>
      </c>
      <c r="S128" s="3">
        <f>MAX($R$3:R128)</f>
        <v/>
      </c>
      <c r="T128" s="3">
        <f>R128-S128</f>
        <v/>
      </c>
      <c r="U128" s="3">
        <f>(R128-S128)/S128*100</f>
        <v/>
      </c>
      <c r="V128" s="3">
        <f>IF(K128&lt;0, (K128/100)^2, 0)</f>
        <v/>
      </c>
    </row>
    <row r="129">
      <c r="A129" s="3">
        <f>TEXT(127, """T""0000")</f>
        <v/>
      </c>
      <c r="B129" s="3">
        <f>RAW_INPUT!A129</f>
        <v/>
      </c>
      <c r="C129" s="3">
        <f>RAW_INPUT!B129</f>
        <v/>
      </c>
      <c r="D129" s="3">
        <f>RAW_INPUT!D129</f>
        <v/>
      </c>
      <c r="E129" s="3">
        <f>D129-C129</f>
        <v/>
      </c>
      <c r="F129" s="3">
        <f>RAW_INPUT!C129</f>
        <v/>
      </c>
      <c r="G129" s="3">
        <f>RAW_INPUT!E129</f>
        <v/>
      </c>
      <c r="H129" s="3">
        <f>I129/F129</f>
        <v/>
      </c>
      <c r="I129" s="3">
        <f>METRICS!$C$14 * 0.02</f>
        <v/>
      </c>
      <c r="J129" s="3">
        <f>(G129-F129)*H129</f>
        <v/>
      </c>
      <c r="K129" s="3">
        <f>(G129-F129)/F129*100</f>
        <v/>
      </c>
      <c r="L129" s="3">
        <f>RAW_INPUT!F129</f>
        <v/>
      </c>
      <c r="M129" s="3">
        <f>K129-L129</f>
        <v/>
      </c>
      <c r="N129" s="3">
        <f>IF(J129&gt;0, 1, 0)</f>
        <v/>
      </c>
      <c r="O129" s="3">
        <f>IF(J129&lt;0, 1, 0)</f>
        <v/>
      </c>
      <c r="P129" s="3">
        <f>SUM($J$3:J129)</f>
        <v/>
      </c>
      <c r="Q129" s="3">
        <f>P129/METRICS!$C$14*100</f>
        <v/>
      </c>
      <c r="R129" s="3">
        <f>METRICS!$C$14+P129</f>
        <v/>
      </c>
      <c r="S129" s="3">
        <f>MAX($R$3:R129)</f>
        <v/>
      </c>
      <c r="T129" s="3">
        <f>R129-S129</f>
        <v/>
      </c>
      <c r="U129" s="3">
        <f>(R129-S129)/S129*100</f>
        <v/>
      </c>
      <c r="V129" s="3">
        <f>IF(K129&lt;0, (K129/100)^2, 0)</f>
        <v/>
      </c>
    </row>
    <row r="130">
      <c r="A130" s="3">
        <f>TEXT(128, """T""0000")</f>
        <v/>
      </c>
      <c r="B130" s="3">
        <f>RAW_INPUT!A130</f>
        <v/>
      </c>
      <c r="C130" s="3">
        <f>RAW_INPUT!B130</f>
        <v/>
      </c>
      <c r="D130" s="3">
        <f>RAW_INPUT!D130</f>
        <v/>
      </c>
      <c r="E130" s="3">
        <f>D130-C130</f>
        <v/>
      </c>
      <c r="F130" s="3">
        <f>RAW_INPUT!C130</f>
        <v/>
      </c>
      <c r="G130" s="3">
        <f>RAW_INPUT!E130</f>
        <v/>
      </c>
      <c r="H130" s="3">
        <f>I130/F130</f>
        <v/>
      </c>
      <c r="I130" s="3">
        <f>METRICS!$C$14 * 0.02</f>
        <v/>
      </c>
      <c r="J130" s="3">
        <f>(G130-F130)*H130</f>
        <v/>
      </c>
      <c r="K130" s="3">
        <f>(G130-F130)/F130*100</f>
        <v/>
      </c>
      <c r="L130" s="3">
        <f>RAW_INPUT!F130</f>
        <v/>
      </c>
      <c r="M130" s="3">
        <f>K130-L130</f>
        <v/>
      </c>
      <c r="N130" s="3">
        <f>IF(J130&gt;0, 1, 0)</f>
        <v/>
      </c>
      <c r="O130" s="3">
        <f>IF(J130&lt;0, 1, 0)</f>
        <v/>
      </c>
      <c r="P130" s="3">
        <f>SUM($J$3:J130)</f>
        <v/>
      </c>
      <c r="Q130" s="3">
        <f>P130/METRICS!$C$14*100</f>
        <v/>
      </c>
      <c r="R130" s="3">
        <f>METRICS!$C$14+P130</f>
        <v/>
      </c>
      <c r="S130" s="3">
        <f>MAX($R$3:R130)</f>
        <v/>
      </c>
      <c r="T130" s="3">
        <f>R130-S130</f>
        <v/>
      </c>
      <c r="U130" s="3">
        <f>(R130-S130)/S130*100</f>
        <v/>
      </c>
      <c r="V130" s="3">
        <f>IF(K130&lt;0, (K130/100)^2, 0)</f>
        <v/>
      </c>
    </row>
    <row r="131">
      <c r="A131" s="3">
        <f>TEXT(129, """T""0000")</f>
        <v/>
      </c>
      <c r="B131" s="3">
        <f>RAW_INPUT!A131</f>
        <v/>
      </c>
      <c r="C131" s="3">
        <f>RAW_INPUT!B131</f>
        <v/>
      </c>
      <c r="D131" s="3">
        <f>RAW_INPUT!D131</f>
        <v/>
      </c>
      <c r="E131" s="3">
        <f>D131-C131</f>
        <v/>
      </c>
      <c r="F131" s="3">
        <f>RAW_INPUT!C131</f>
        <v/>
      </c>
      <c r="G131" s="3">
        <f>RAW_INPUT!E131</f>
        <v/>
      </c>
      <c r="H131" s="3">
        <f>I131/F131</f>
        <v/>
      </c>
      <c r="I131" s="3">
        <f>METRICS!$C$14 * 0.02</f>
        <v/>
      </c>
      <c r="J131" s="3">
        <f>(G131-F131)*H131</f>
        <v/>
      </c>
      <c r="K131" s="3">
        <f>(G131-F131)/F131*100</f>
        <v/>
      </c>
      <c r="L131" s="3">
        <f>RAW_INPUT!F131</f>
        <v/>
      </c>
      <c r="M131" s="3">
        <f>K131-L131</f>
        <v/>
      </c>
      <c r="N131" s="3">
        <f>IF(J131&gt;0, 1, 0)</f>
        <v/>
      </c>
      <c r="O131" s="3">
        <f>IF(J131&lt;0, 1, 0)</f>
        <v/>
      </c>
      <c r="P131" s="3">
        <f>SUM($J$3:J131)</f>
        <v/>
      </c>
      <c r="Q131" s="3">
        <f>P131/METRICS!$C$14*100</f>
        <v/>
      </c>
      <c r="R131" s="3">
        <f>METRICS!$C$14+P131</f>
        <v/>
      </c>
      <c r="S131" s="3">
        <f>MAX($R$3:R131)</f>
        <v/>
      </c>
      <c r="T131" s="3">
        <f>R131-S131</f>
        <v/>
      </c>
      <c r="U131" s="3">
        <f>(R131-S131)/S131*100</f>
        <v/>
      </c>
      <c r="V131" s="3">
        <f>IF(K131&lt;0, (K131/100)^2, 0)</f>
        <v/>
      </c>
    </row>
    <row r="132">
      <c r="A132" s="3">
        <f>TEXT(130, """T""0000")</f>
        <v/>
      </c>
      <c r="B132" s="3">
        <f>RAW_INPUT!A132</f>
        <v/>
      </c>
      <c r="C132" s="3">
        <f>RAW_INPUT!B132</f>
        <v/>
      </c>
      <c r="D132" s="3">
        <f>RAW_INPUT!D132</f>
        <v/>
      </c>
      <c r="E132" s="3">
        <f>D132-C132</f>
        <v/>
      </c>
      <c r="F132" s="3">
        <f>RAW_INPUT!C132</f>
        <v/>
      </c>
      <c r="G132" s="3">
        <f>RAW_INPUT!E132</f>
        <v/>
      </c>
      <c r="H132" s="3">
        <f>I132/F132</f>
        <v/>
      </c>
      <c r="I132" s="3">
        <f>METRICS!$C$14 * 0.02</f>
        <v/>
      </c>
      <c r="J132" s="3">
        <f>(G132-F132)*H132</f>
        <v/>
      </c>
      <c r="K132" s="3">
        <f>(G132-F132)/F132*100</f>
        <v/>
      </c>
      <c r="L132" s="3">
        <f>RAW_INPUT!F132</f>
        <v/>
      </c>
      <c r="M132" s="3">
        <f>K132-L132</f>
        <v/>
      </c>
      <c r="N132" s="3">
        <f>IF(J132&gt;0, 1, 0)</f>
        <v/>
      </c>
      <c r="O132" s="3">
        <f>IF(J132&lt;0, 1, 0)</f>
        <v/>
      </c>
      <c r="P132" s="3">
        <f>SUM($J$3:J132)</f>
        <v/>
      </c>
      <c r="Q132" s="3">
        <f>P132/METRICS!$C$14*100</f>
        <v/>
      </c>
      <c r="R132" s="3">
        <f>METRICS!$C$14+P132</f>
        <v/>
      </c>
      <c r="S132" s="3">
        <f>MAX($R$3:R132)</f>
        <v/>
      </c>
      <c r="T132" s="3">
        <f>R132-S132</f>
        <v/>
      </c>
      <c r="U132" s="3">
        <f>(R132-S132)/S132*100</f>
        <v/>
      </c>
      <c r="V132" s="3">
        <f>IF(K132&lt;0, (K132/100)^2, 0)</f>
        <v/>
      </c>
    </row>
    <row r="133">
      <c r="A133" s="3">
        <f>TEXT(131, """T""0000")</f>
        <v/>
      </c>
      <c r="B133" s="3">
        <f>RAW_INPUT!A133</f>
        <v/>
      </c>
      <c r="C133" s="3">
        <f>RAW_INPUT!B133</f>
        <v/>
      </c>
      <c r="D133" s="3">
        <f>RAW_INPUT!D133</f>
        <v/>
      </c>
      <c r="E133" s="3">
        <f>D133-C133</f>
        <v/>
      </c>
      <c r="F133" s="3">
        <f>RAW_INPUT!C133</f>
        <v/>
      </c>
      <c r="G133" s="3">
        <f>RAW_INPUT!E133</f>
        <v/>
      </c>
      <c r="H133" s="3">
        <f>I133/F133</f>
        <v/>
      </c>
      <c r="I133" s="3">
        <f>METRICS!$C$14 * 0.02</f>
        <v/>
      </c>
      <c r="J133" s="3">
        <f>(G133-F133)*H133</f>
        <v/>
      </c>
      <c r="K133" s="3">
        <f>(G133-F133)/F133*100</f>
        <v/>
      </c>
      <c r="L133" s="3">
        <f>RAW_INPUT!F133</f>
        <v/>
      </c>
      <c r="M133" s="3">
        <f>K133-L133</f>
        <v/>
      </c>
      <c r="N133" s="3">
        <f>IF(J133&gt;0, 1, 0)</f>
        <v/>
      </c>
      <c r="O133" s="3">
        <f>IF(J133&lt;0, 1, 0)</f>
        <v/>
      </c>
      <c r="P133" s="3">
        <f>SUM($J$3:J133)</f>
        <v/>
      </c>
      <c r="Q133" s="3">
        <f>P133/METRICS!$C$14*100</f>
        <v/>
      </c>
      <c r="R133" s="3">
        <f>METRICS!$C$14+P133</f>
        <v/>
      </c>
      <c r="S133" s="3">
        <f>MAX($R$3:R133)</f>
        <v/>
      </c>
      <c r="T133" s="3">
        <f>R133-S133</f>
        <v/>
      </c>
      <c r="U133" s="3">
        <f>(R133-S133)/S133*100</f>
        <v/>
      </c>
      <c r="V133" s="3">
        <f>IF(K133&lt;0, (K133/100)^2, 0)</f>
        <v/>
      </c>
    </row>
    <row r="134">
      <c r="A134" s="3">
        <f>TEXT(132, """T""0000")</f>
        <v/>
      </c>
      <c r="B134" s="3">
        <f>RAW_INPUT!A134</f>
        <v/>
      </c>
      <c r="C134" s="3">
        <f>RAW_INPUT!B134</f>
        <v/>
      </c>
      <c r="D134" s="3">
        <f>RAW_INPUT!D134</f>
        <v/>
      </c>
      <c r="E134" s="3">
        <f>D134-C134</f>
        <v/>
      </c>
      <c r="F134" s="3">
        <f>RAW_INPUT!C134</f>
        <v/>
      </c>
      <c r="G134" s="3">
        <f>RAW_INPUT!E134</f>
        <v/>
      </c>
      <c r="H134" s="3">
        <f>I134/F134</f>
        <v/>
      </c>
      <c r="I134" s="3">
        <f>METRICS!$C$14 * 0.02</f>
        <v/>
      </c>
      <c r="J134" s="3">
        <f>(G134-F134)*H134</f>
        <v/>
      </c>
      <c r="K134" s="3">
        <f>(G134-F134)/F134*100</f>
        <v/>
      </c>
      <c r="L134" s="3">
        <f>RAW_INPUT!F134</f>
        <v/>
      </c>
      <c r="M134" s="3">
        <f>K134-L134</f>
        <v/>
      </c>
      <c r="N134" s="3">
        <f>IF(J134&gt;0, 1, 0)</f>
        <v/>
      </c>
      <c r="O134" s="3">
        <f>IF(J134&lt;0, 1, 0)</f>
        <v/>
      </c>
      <c r="P134" s="3">
        <f>SUM($J$3:J134)</f>
        <v/>
      </c>
      <c r="Q134" s="3">
        <f>P134/METRICS!$C$14*100</f>
        <v/>
      </c>
      <c r="R134" s="3">
        <f>METRICS!$C$14+P134</f>
        <v/>
      </c>
      <c r="S134" s="3">
        <f>MAX($R$3:R134)</f>
        <v/>
      </c>
      <c r="T134" s="3">
        <f>R134-S134</f>
        <v/>
      </c>
      <c r="U134" s="3">
        <f>(R134-S134)/S134*100</f>
        <v/>
      </c>
      <c r="V134" s="3">
        <f>IF(K134&lt;0, (K134/100)^2, 0)</f>
        <v/>
      </c>
    </row>
    <row r="135">
      <c r="A135" s="3">
        <f>TEXT(133, """T""0000")</f>
        <v/>
      </c>
      <c r="B135" s="3">
        <f>RAW_INPUT!A135</f>
        <v/>
      </c>
      <c r="C135" s="3">
        <f>RAW_INPUT!B135</f>
        <v/>
      </c>
      <c r="D135" s="3">
        <f>RAW_INPUT!D135</f>
        <v/>
      </c>
      <c r="E135" s="3">
        <f>D135-C135</f>
        <v/>
      </c>
      <c r="F135" s="3">
        <f>RAW_INPUT!C135</f>
        <v/>
      </c>
      <c r="G135" s="3">
        <f>RAW_INPUT!E135</f>
        <v/>
      </c>
      <c r="H135" s="3">
        <f>I135/F135</f>
        <v/>
      </c>
      <c r="I135" s="3">
        <f>METRICS!$C$14 * 0.02</f>
        <v/>
      </c>
      <c r="J135" s="3">
        <f>(G135-F135)*H135</f>
        <v/>
      </c>
      <c r="K135" s="3">
        <f>(G135-F135)/F135*100</f>
        <v/>
      </c>
      <c r="L135" s="3">
        <f>RAW_INPUT!F135</f>
        <v/>
      </c>
      <c r="M135" s="3">
        <f>K135-L135</f>
        <v/>
      </c>
      <c r="N135" s="3">
        <f>IF(J135&gt;0, 1, 0)</f>
        <v/>
      </c>
      <c r="O135" s="3">
        <f>IF(J135&lt;0, 1, 0)</f>
        <v/>
      </c>
      <c r="P135" s="3">
        <f>SUM($J$3:J135)</f>
        <v/>
      </c>
      <c r="Q135" s="3">
        <f>P135/METRICS!$C$14*100</f>
        <v/>
      </c>
      <c r="R135" s="3">
        <f>METRICS!$C$14+P135</f>
        <v/>
      </c>
      <c r="S135" s="3">
        <f>MAX($R$3:R135)</f>
        <v/>
      </c>
      <c r="T135" s="3">
        <f>R135-S135</f>
        <v/>
      </c>
      <c r="U135" s="3">
        <f>(R135-S135)/S135*100</f>
        <v/>
      </c>
      <c r="V135" s="3">
        <f>IF(K135&lt;0, (K135/100)^2, 0)</f>
        <v/>
      </c>
    </row>
    <row r="136">
      <c r="A136" s="3">
        <f>TEXT(134, """T""0000")</f>
        <v/>
      </c>
      <c r="B136" s="3">
        <f>RAW_INPUT!A136</f>
        <v/>
      </c>
      <c r="C136" s="3">
        <f>RAW_INPUT!B136</f>
        <v/>
      </c>
      <c r="D136" s="3">
        <f>RAW_INPUT!D136</f>
        <v/>
      </c>
      <c r="E136" s="3">
        <f>D136-C136</f>
        <v/>
      </c>
      <c r="F136" s="3">
        <f>RAW_INPUT!C136</f>
        <v/>
      </c>
      <c r="G136" s="3">
        <f>RAW_INPUT!E136</f>
        <v/>
      </c>
      <c r="H136" s="3">
        <f>I136/F136</f>
        <v/>
      </c>
      <c r="I136" s="3">
        <f>METRICS!$C$14 * 0.02</f>
        <v/>
      </c>
      <c r="J136" s="3">
        <f>(G136-F136)*H136</f>
        <v/>
      </c>
      <c r="K136" s="3">
        <f>(G136-F136)/F136*100</f>
        <v/>
      </c>
      <c r="L136" s="3">
        <f>RAW_INPUT!F136</f>
        <v/>
      </c>
      <c r="M136" s="3">
        <f>K136-L136</f>
        <v/>
      </c>
      <c r="N136" s="3">
        <f>IF(J136&gt;0, 1, 0)</f>
        <v/>
      </c>
      <c r="O136" s="3">
        <f>IF(J136&lt;0, 1, 0)</f>
        <v/>
      </c>
      <c r="P136" s="3">
        <f>SUM($J$3:J136)</f>
        <v/>
      </c>
      <c r="Q136" s="3">
        <f>P136/METRICS!$C$14*100</f>
        <v/>
      </c>
      <c r="R136" s="3">
        <f>METRICS!$C$14+P136</f>
        <v/>
      </c>
      <c r="S136" s="3">
        <f>MAX($R$3:R136)</f>
        <v/>
      </c>
      <c r="T136" s="3">
        <f>R136-S136</f>
        <v/>
      </c>
      <c r="U136" s="3">
        <f>(R136-S136)/S136*100</f>
        <v/>
      </c>
      <c r="V136" s="3">
        <f>IF(K136&lt;0, (K136/100)^2, 0)</f>
        <v/>
      </c>
    </row>
    <row r="137">
      <c r="A137" s="3">
        <f>TEXT(135, """T""0000")</f>
        <v/>
      </c>
      <c r="B137" s="3">
        <f>RAW_INPUT!A137</f>
        <v/>
      </c>
      <c r="C137" s="3">
        <f>RAW_INPUT!B137</f>
        <v/>
      </c>
      <c r="D137" s="3">
        <f>RAW_INPUT!D137</f>
        <v/>
      </c>
      <c r="E137" s="3">
        <f>D137-C137</f>
        <v/>
      </c>
      <c r="F137" s="3">
        <f>RAW_INPUT!C137</f>
        <v/>
      </c>
      <c r="G137" s="3">
        <f>RAW_INPUT!E137</f>
        <v/>
      </c>
      <c r="H137" s="3">
        <f>I137/F137</f>
        <v/>
      </c>
      <c r="I137" s="3">
        <f>METRICS!$C$14 * 0.02</f>
        <v/>
      </c>
      <c r="J137" s="3">
        <f>(G137-F137)*H137</f>
        <v/>
      </c>
      <c r="K137" s="3">
        <f>(G137-F137)/F137*100</f>
        <v/>
      </c>
      <c r="L137" s="3">
        <f>RAW_INPUT!F137</f>
        <v/>
      </c>
      <c r="M137" s="3">
        <f>K137-L137</f>
        <v/>
      </c>
      <c r="N137" s="3">
        <f>IF(J137&gt;0, 1, 0)</f>
        <v/>
      </c>
      <c r="O137" s="3">
        <f>IF(J137&lt;0, 1, 0)</f>
        <v/>
      </c>
      <c r="P137" s="3">
        <f>SUM($J$3:J137)</f>
        <v/>
      </c>
      <c r="Q137" s="3">
        <f>P137/METRICS!$C$14*100</f>
        <v/>
      </c>
      <c r="R137" s="3">
        <f>METRICS!$C$14+P137</f>
        <v/>
      </c>
      <c r="S137" s="3">
        <f>MAX($R$3:R137)</f>
        <v/>
      </c>
      <c r="T137" s="3">
        <f>R137-S137</f>
        <v/>
      </c>
      <c r="U137" s="3">
        <f>(R137-S137)/S137*100</f>
        <v/>
      </c>
      <c r="V137" s="3">
        <f>IF(K137&lt;0, (K137/100)^2, 0)</f>
        <v/>
      </c>
    </row>
    <row r="138">
      <c r="A138" s="3">
        <f>TEXT(136, """T""0000")</f>
        <v/>
      </c>
      <c r="B138" s="3">
        <f>RAW_INPUT!A138</f>
        <v/>
      </c>
      <c r="C138" s="3">
        <f>RAW_INPUT!B138</f>
        <v/>
      </c>
      <c r="D138" s="3">
        <f>RAW_INPUT!D138</f>
        <v/>
      </c>
      <c r="E138" s="3">
        <f>D138-C138</f>
        <v/>
      </c>
      <c r="F138" s="3">
        <f>RAW_INPUT!C138</f>
        <v/>
      </c>
      <c r="G138" s="3">
        <f>RAW_INPUT!E138</f>
        <v/>
      </c>
      <c r="H138" s="3">
        <f>I138/F138</f>
        <v/>
      </c>
      <c r="I138" s="3">
        <f>METRICS!$C$14 * 0.02</f>
        <v/>
      </c>
      <c r="J138" s="3">
        <f>(G138-F138)*H138</f>
        <v/>
      </c>
      <c r="K138" s="3">
        <f>(G138-F138)/F138*100</f>
        <v/>
      </c>
      <c r="L138" s="3">
        <f>RAW_INPUT!F138</f>
        <v/>
      </c>
      <c r="M138" s="3">
        <f>K138-L138</f>
        <v/>
      </c>
      <c r="N138" s="3">
        <f>IF(J138&gt;0, 1, 0)</f>
        <v/>
      </c>
      <c r="O138" s="3">
        <f>IF(J138&lt;0, 1, 0)</f>
        <v/>
      </c>
      <c r="P138" s="3">
        <f>SUM($J$3:J138)</f>
        <v/>
      </c>
      <c r="Q138" s="3">
        <f>P138/METRICS!$C$14*100</f>
        <v/>
      </c>
      <c r="R138" s="3">
        <f>METRICS!$C$14+P138</f>
        <v/>
      </c>
      <c r="S138" s="3">
        <f>MAX($R$3:R138)</f>
        <v/>
      </c>
      <c r="T138" s="3">
        <f>R138-S138</f>
        <v/>
      </c>
      <c r="U138" s="3">
        <f>(R138-S138)/S138*100</f>
        <v/>
      </c>
      <c r="V138" s="3">
        <f>IF(K138&lt;0, (K138/100)^2, 0)</f>
        <v/>
      </c>
    </row>
    <row r="139">
      <c r="A139" s="3">
        <f>TEXT(137, """T""0000")</f>
        <v/>
      </c>
      <c r="B139" s="3">
        <f>RAW_INPUT!A139</f>
        <v/>
      </c>
      <c r="C139" s="3">
        <f>RAW_INPUT!B139</f>
        <v/>
      </c>
      <c r="D139" s="3">
        <f>RAW_INPUT!D139</f>
        <v/>
      </c>
      <c r="E139" s="3">
        <f>D139-C139</f>
        <v/>
      </c>
      <c r="F139" s="3">
        <f>RAW_INPUT!C139</f>
        <v/>
      </c>
      <c r="G139" s="3">
        <f>RAW_INPUT!E139</f>
        <v/>
      </c>
      <c r="H139" s="3">
        <f>I139/F139</f>
        <v/>
      </c>
      <c r="I139" s="3">
        <f>METRICS!$C$14 * 0.02</f>
        <v/>
      </c>
      <c r="J139" s="3">
        <f>(G139-F139)*H139</f>
        <v/>
      </c>
      <c r="K139" s="3">
        <f>(G139-F139)/F139*100</f>
        <v/>
      </c>
      <c r="L139" s="3">
        <f>RAW_INPUT!F139</f>
        <v/>
      </c>
      <c r="M139" s="3">
        <f>K139-L139</f>
        <v/>
      </c>
      <c r="N139" s="3">
        <f>IF(J139&gt;0, 1, 0)</f>
        <v/>
      </c>
      <c r="O139" s="3">
        <f>IF(J139&lt;0, 1, 0)</f>
        <v/>
      </c>
      <c r="P139" s="3">
        <f>SUM($J$3:J139)</f>
        <v/>
      </c>
      <c r="Q139" s="3">
        <f>P139/METRICS!$C$14*100</f>
        <v/>
      </c>
      <c r="R139" s="3">
        <f>METRICS!$C$14+P139</f>
        <v/>
      </c>
      <c r="S139" s="3">
        <f>MAX($R$3:R139)</f>
        <v/>
      </c>
      <c r="T139" s="3">
        <f>R139-S139</f>
        <v/>
      </c>
      <c r="U139" s="3">
        <f>(R139-S139)/S139*100</f>
        <v/>
      </c>
      <c r="V139" s="3">
        <f>IF(K139&lt;0, (K139/100)^2, 0)</f>
        <v/>
      </c>
    </row>
    <row r="140">
      <c r="A140" s="3">
        <f>TEXT(138, """T""0000")</f>
        <v/>
      </c>
      <c r="B140" s="3">
        <f>RAW_INPUT!A140</f>
        <v/>
      </c>
      <c r="C140" s="3">
        <f>RAW_INPUT!B140</f>
        <v/>
      </c>
      <c r="D140" s="3">
        <f>RAW_INPUT!D140</f>
        <v/>
      </c>
      <c r="E140" s="3">
        <f>D140-C140</f>
        <v/>
      </c>
      <c r="F140" s="3">
        <f>RAW_INPUT!C140</f>
        <v/>
      </c>
      <c r="G140" s="3">
        <f>RAW_INPUT!E140</f>
        <v/>
      </c>
      <c r="H140" s="3">
        <f>I140/F140</f>
        <v/>
      </c>
      <c r="I140" s="3">
        <f>METRICS!$C$14 * 0.02</f>
        <v/>
      </c>
      <c r="J140" s="3">
        <f>(G140-F140)*H140</f>
        <v/>
      </c>
      <c r="K140" s="3">
        <f>(G140-F140)/F140*100</f>
        <v/>
      </c>
      <c r="L140" s="3">
        <f>RAW_INPUT!F140</f>
        <v/>
      </c>
      <c r="M140" s="3">
        <f>K140-L140</f>
        <v/>
      </c>
      <c r="N140" s="3">
        <f>IF(J140&gt;0, 1, 0)</f>
        <v/>
      </c>
      <c r="O140" s="3">
        <f>IF(J140&lt;0, 1, 0)</f>
        <v/>
      </c>
      <c r="P140" s="3">
        <f>SUM($J$3:J140)</f>
        <v/>
      </c>
      <c r="Q140" s="3">
        <f>P140/METRICS!$C$14*100</f>
        <v/>
      </c>
      <c r="R140" s="3">
        <f>METRICS!$C$14+P140</f>
        <v/>
      </c>
      <c r="S140" s="3">
        <f>MAX($R$3:R140)</f>
        <v/>
      </c>
      <c r="T140" s="3">
        <f>R140-S140</f>
        <v/>
      </c>
      <c r="U140" s="3">
        <f>(R140-S140)/S140*100</f>
        <v/>
      </c>
      <c r="V140" s="3">
        <f>IF(K140&lt;0, (K140/100)^2, 0)</f>
        <v/>
      </c>
    </row>
    <row r="141">
      <c r="A141" s="3">
        <f>TEXT(139, """T""0000")</f>
        <v/>
      </c>
      <c r="B141" s="3">
        <f>RAW_INPUT!A141</f>
        <v/>
      </c>
      <c r="C141" s="3">
        <f>RAW_INPUT!B141</f>
        <v/>
      </c>
      <c r="D141" s="3">
        <f>RAW_INPUT!D141</f>
        <v/>
      </c>
      <c r="E141" s="3">
        <f>D141-C141</f>
        <v/>
      </c>
      <c r="F141" s="3">
        <f>RAW_INPUT!C141</f>
        <v/>
      </c>
      <c r="G141" s="3">
        <f>RAW_INPUT!E141</f>
        <v/>
      </c>
      <c r="H141" s="3">
        <f>I141/F141</f>
        <v/>
      </c>
      <c r="I141" s="3">
        <f>METRICS!$C$14 * 0.02</f>
        <v/>
      </c>
      <c r="J141" s="3">
        <f>(G141-F141)*H141</f>
        <v/>
      </c>
      <c r="K141" s="3">
        <f>(G141-F141)/F141*100</f>
        <v/>
      </c>
      <c r="L141" s="3">
        <f>RAW_INPUT!F141</f>
        <v/>
      </c>
      <c r="M141" s="3">
        <f>K141-L141</f>
        <v/>
      </c>
      <c r="N141" s="3">
        <f>IF(J141&gt;0, 1, 0)</f>
        <v/>
      </c>
      <c r="O141" s="3">
        <f>IF(J141&lt;0, 1, 0)</f>
        <v/>
      </c>
      <c r="P141" s="3">
        <f>SUM($J$3:J141)</f>
        <v/>
      </c>
      <c r="Q141" s="3">
        <f>P141/METRICS!$C$14*100</f>
        <v/>
      </c>
      <c r="R141" s="3">
        <f>METRICS!$C$14+P141</f>
        <v/>
      </c>
      <c r="S141" s="3">
        <f>MAX($R$3:R141)</f>
        <v/>
      </c>
      <c r="T141" s="3">
        <f>R141-S141</f>
        <v/>
      </c>
      <c r="U141" s="3">
        <f>(R141-S141)/S141*100</f>
        <v/>
      </c>
      <c r="V141" s="3">
        <f>IF(K141&lt;0, (K141/100)^2, 0)</f>
        <v/>
      </c>
    </row>
    <row r="142">
      <c r="A142" s="3">
        <f>TEXT(140, """T""0000")</f>
        <v/>
      </c>
      <c r="B142" s="3">
        <f>RAW_INPUT!A142</f>
        <v/>
      </c>
      <c r="C142" s="3">
        <f>RAW_INPUT!B142</f>
        <v/>
      </c>
      <c r="D142" s="3">
        <f>RAW_INPUT!D142</f>
        <v/>
      </c>
      <c r="E142" s="3">
        <f>D142-C142</f>
        <v/>
      </c>
      <c r="F142" s="3">
        <f>RAW_INPUT!C142</f>
        <v/>
      </c>
      <c r="G142" s="3">
        <f>RAW_INPUT!E142</f>
        <v/>
      </c>
      <c r="H142" s="3">
        <f>I142/F142</f>
        <v/>
      </c>
      <c r="I142" s="3">
        <f>METRICS!$C$14 * 0.02</f>
        <v/>
      </c>
      <c r="J142" s="3">
        <f>(G142-F142)*H142</f>
        <v/>
      </c>
      <c r="K142" s="3">
        <f>(G142-F142)/F142*100</f>
        <v/>
      </c>
      <c r="L142" s="3">
        <f>RAW_INPUT!F142</f>
        <v/>
      </c>
      <c r="M142" s="3">
        <f>K142-L142</f>
        <v/>
      </c>
      <c r="N142" s="3">
        <f>IF(J142&gt;0, 1, 0)</f>
        <v/>
      </c>
      <c r="O142" s="3">
        <f>IF(J142&lt;0, 1, 0)</f>
        <v/>
      </c>
      <c r="P142" s="3">
        <f>SUM($J$3:J142)</f>
        <v/>
      </c>
      <c r="Q142" s="3">
        <f>P142/METRICS!$C$14*100</f>
        <v/>
      </c>
      <c r="R142" s="3">
        <f>METRICS!$C$14+P142</f>
        <v/>
      </c>
      <c r="S142" s="3">
        <f>MAX($R$3:R142)</f>
        <v/>
      </c>
      <c r="T142" s="3">
        <f>R142-S142</f>
        <v/>
      </c>
      <c r="U142" s="3">
        <f>(R142-S142)/S142*100</f>
        <v/>
      </c>
      <c r="V142" s="3">
        <f>IF(K142&lt;0, (K142/100)^2, 0)</f>
        <v/>
      </c>
    </row>
    <row r="143">
      <c r="A143" s="3">
        <f>TEXT(141, """T""0000")</f>
        <v/>
      </c>
      <c r="B143" s="3">
        <f>RAW_INPUT!A143</f>
        <v/>
      </c>
      <c r="C143" s="3">
        <f>RAW_INPUT!B143</f>
        <v/>
      </c>
      <c r="D143" s="3">
        <f>RAW_INPUT!D143</f>
        <v/>
      </c>
      <c r="E143" s="3">
        <f>D143-C143</f>
        <v/>
      </c>
      <c r="F143" s="3">
        <f>RAW_INPUT!C143</f>
        <v/>
      </c>
      <c r="G143" s="3">
        <f>RAW_INPUT!E143</f>
        <v/>
      </c>
      <c r="H143" s="3">
        <f>I143/F143</f>
        <v/>
      </c>
      <c r="I143" s="3">
        <f>METRICS!$C$14 * 0.02</f>
        <v/>
      </c>
      <c r="J143" s="3">
        <f>(G143-F143)*H143</f>
        <v/>
      </c>
      <c r="K143" s="3">
        <f>(G143-F143)/F143*100</f>
        <v/>
      </c>
      <c r="L143" s="3">
        <f>RAW_INPUT!F143</f>
        <v/>
      </c>
      <c r="M143" s="3">
        <f>K143-L143</f>
        <v/>
      </c>
      <c r="N143" s="3">
        <f>IF(J143&gt;0, 1, 0)</f>
        <v/>
      </c>
      <c r="O143" s="3">
        <f>IF(J143&lt;0, 1, 0)</f>
        <v/>
      </c>
      <c r="P143" s="3">
        <f>SUM($J$3:J143)</f>
        <v/>
      </c>
      <c r="Q143" s="3">
        <f>P143/METRICS!$C$14*100</f>
        <v/>
      </c>
      <c r="R143" s="3">
        <f>METRICS!$C$14+P143</f>
        <v/>
      </c>
      <c r="S143" s="3">
        <f>MAX($R$3:R143)</f>
        <v/>
      </c>
      <c r="T143" s="3">
        <f>R143-S143</f>
        <v/>
      </c>
      <c r="U143" s="3">
        <f>(R143-S143)/S143*100</f>
        <v/>
      </c>
      <c r="V143" s="3">
        <f>IF(K143&lt;0, (K143/100)^2, 0)</f>
        <v/>
      </c>
    </row>
    <row r="144">
      <c r="A144" s="3">
        <f>TEXT(142, """T""0000")</f>
        <v/>
      </c>
      <c r="B144" s="3">
        <f>RAW_INPUT!A144</f>
        <v/>
      </c>
      <c r="C144" s="3">
        <f>RAW_INPUT!B144</f>
        <v/>
      </c>
      <c r="D144" s="3">
        <f>RAW_INPUT!D144</f>
        <v/>
      </c>
      <c r="E144" s="3">
        <f>D144-C144</f>
        <v/>
      </c>
      <c r="F144" s="3">
        <f>RAW_INPUT!C144</f>
        <v/>
      </c>
      <c r="G144" s="3">
        <f>RAW_INPUT!E144</f>
        <v/>
      </c>
      <c r="H144" s="3">
        <f>I144/F144</f>
        <v/>
      </c>
      <c r="I144" s="3">
        <f>METRICS!$C$14 * 0.02</f>
        <v/>
      </c>
      <c r="J144" s="3">
        <f>(G144-F144)*H144</f>
        <v/>
      </c>
      <c r="K144" s="3">
        <f>(G144-F144)/F144*100</f>
        <v/>
      </c>
      <c r="L144" s="3">
        <f>RAW_INPUT!F144</f>
        <v/>
      </c>
      <c r="M144" s="3">
        <f>K144-L144</f>
        <v/>
      </c>
      <c r="N144" s="3">
        <f>IF(J144&gt;0, 1, 0)</f>
        <v/>
      </c>
      <c r="O144" s="3">
        <f>IF(J144&lt;0, 1, 0)</f>
        <v/>
      </c>
      <c r="P144" s="3">
        <f>SUM($J$3:J144)</f>
        <v/>
      </c>
      <c r="Q144" s="3">
        <f>P144/METRICS!$C$14*100</f>
        <v/>
      </c>
      <c r="R144" s="3">
        <f>METRICS!$C$14+P144</f>
        <v/>
      </c>
      <c r="S144" s="3">
        <f>MAX($R$3:R144)</f>
        <v/>
      </c>
      <c r="T144" s="3">
        <f>R144-S144</f>
        <v/>
      </c>
      <c r="U144" s="3">
        <f>(R144-S144)/S144*100</f>
        <v/>
      </c>
      <c r="V144" s="3">
        <f>IF(K144&lt;0, (K144/100)^2, 0)</f>
        <v/>
      </c>
    </row>
    <row r="145">
      <c r="A145" s="3">
        <f>TEXT(143, """T""0000")</f>
        <v/>
      </c>
      <c r="B145" s="3">
        <f>RAW_INPUT!A145</f>
        <v/>
      </c>
      <c r="C145" s="3">
        <f>RAW_INPUT!B145</f>
        <v/>
      </c>
      <c r="D145" s="3">
        <f>RAW_INPUT!D145</f>
        <v/>
      </c>
      <c r="E145" s="3">
        <f>D145-C145</f>
        <v/>
      </c>
      <c r="F145" s="3">
        <f>RAW_INPUT!C145</f>
        <v/>
      </c>
      <c r="G145" s="3">
        <f>RAW_INPUT!E145</f>
        <v/>
      </c>
      <c r="H145" s="3">
        <f>I145/F145</f>
        <v/>
      </c>
      <c r="I145" s="3">
        <f>METRICS!$C$14 * 0.02</f>
        <v/>
      </c>
      <c r="J145" s="3">
        <f>(G145-F145)*H145</f>
        <v/>
      </c>
      <c r="K145" s="3">
        <f>(G145-F145)/F145*100</f>
        <v/>
      </c>
      <c r="L145" s="3">
        <f>RAW_INPUT!F145</f>
        <v/>
      </c>
      <c r="M145" s="3">
        <f>K145-L145</f>
        <v/>
      </c>
      <c r="N145" s="3">
        <f>IF(J145&gt;0, 1, 0)</f>
        <v/>
      </c>
      <c r="O145" s="3">
        <f>IF(J145&lt;0, 1, 0)</f>
        <v/>
      </c>
      <c r="P145" s="3">
        <f>SUM($J$3:J145)</f>
        <v/>
      </c>
      <c r="Q145" s="3">
        <f>P145/METRICS!$C$14*100</f>
        <v/>
      </c>
      <c r="R145" s="3">
        <f>METRICS!$C$14+P145</f>
        <v/>
      </c>
      <c r="S145" s="3">
        <f>MAX($R$3:R145)</f>
        <v/>
      </c>
      <c r="T145" s="3">
        <f>R145-S145</f>
        <v/>
      </c>
      <c r="U145" s="3">
        <f>(R145-S145)/S145*100</f>
        <v/>
      </c>
      <c r="V145" s="3">
        <f>IF(K145&lt;0, (K145/100)^2, 0)</f>
        <v/>
      </c>
    </row>
    <row r="146">
      <c r="A146" s="3">
        <f>TEXT(144, """T""0000")</f>
        <v/>
      </c>
      <c r="B146" s="3">
        <f>RAW_INPUT!A146</f>
        <v/>
      </c>
      <c r="C146" s="3">
        <f>RAW_INPUT!B146</f>
        <v/>
      </c>
      <c r="D146" s="3">
        <f>RAW_INPUT!D146</f>
        <v/>
      </c>
      <c r="E146" s="3">
        <f>D146-C146</f>
        <v/>
      </c>
      <c r="F146" s="3">
        <f>RAW_INPUT!C146</f>
        <v/>
      </c>
      <c r="G146" s="3">
        <f>RAW_INPUT!E146</f>
        <v/>
      </c>
      <c r="H146" s="3">
        <f>I146/F146</f>
        <v/>
      </c>
      <c r="I146" s="3">
        <f>METRICS!$C$14 * 0.02</f>
        <v/>
      </c>
      <c r="J146" s="3">
        <f>(G146-F146)*H146</f>
        <v/>
      </c>
      <c r="K146" s="3">
        <f>(G146-F146)/F146*100</f>
        <v/>
      </c>
      <c r="L146" s="3">
        <f>RAW_INPUT!F146</f>
        <v/>
      </c>
      <c r="M146" s="3">
        <f>K146-L146</f>
        <v/>
      </c>
      <c r="N146" s="3">
        <f>IF(J146&gt;0, 1, 0)</f>
        <v/>
      </c>
      <c r="O146" s="3">
        <f>IF(J146&lt;0, 1, 0)</f>
        <v/>
      </c>
      <c r="P146" s="3">
        <f>SUM($J$3:J146)</f>
        <v/>
      </c>
      <c r="Q146" s="3">
        <f>P146/METRICS!$C$14*100</f>
        <v/>
      </c>
      <c r="R146" s="3">
        <f>METRICS!$C$14+P146</f>
        <v/>
      </c>
      <c r="S146" s="3">
        <f>MAX($R$3:R146)</f>
        <v/>
      </c>
      <c r="T146" s="3">
        <f>R146-S146</f>
        <v/>
      </c>
      <c r="U146" s="3">
        <f>(R146-S146)/S146*100</f>
        <v/>
      </c>
      <c r="V146" s="3">
        <f>IF(K146&lt;0, (K146/100)^2, 0)</f>
        <v/>
      </c>
    </row>
    <row r="147">
      <c r="A147" s="3">
        <f>TEXT(145, """T""0000")</f>
        <v/>
      </c>
      <c r="B147" s="3">
        <f>RAW_INPUT!A147</f>
        <v/>
      </c>
      <c r="C147" s="3">
        <f>RAW_INPUT!B147</f>
        <v/>
      </c>
      <c r="D147" s="3">
        <f>RAW_INPUT!D147</f>
        <v/>
      </c>
      <c r="E147" s="3">
        <f>D147-C147</f>
        <v/>
      </c>
      <c r="F147" s="3">
        <f>RAW_INPUT!C147</f>
        <v/>
      </c>
      <c r="G147" s="3">
        <f>RAW_INPUT!E147</f>
        <v/>
      </c>
      <c r="H147" s="3">
        <f>I147/F147</f>
        <v/>
      </c>
      <c r="I147" s="3">
        <f>METRICS!$C$14 * 0.02</f>
        <v/>
      </c>
      <c r="J147" s="3">
        <f>(G147-F147)*H147</f>
        <v/>
      </c>
      <c r="K147" s="3">
        <f>(G147-F147)/F147*100</f>
        <v/>
      </c>
      <c r="L147" s="3">
        <f>RAW_INPUT!F147</f>
        <v/>
      </c>
      <c r="M147" s="3">
        <f>K147-L147</f>
        <v/>
      </c>
      <c r="N147" s="3">
        <f>IF(J147&gt;0, 1, 0)</f>
        <v/>
      </c>
      <c r="O147" s="3">
        <f>IF(J147&lt;0, 1, 0)</f>
        <v/>
      </c>
      <c r="P147" s="3">
        <f>SUM($J$3:J147)</f>
        <v/>
      </c>
      <c r="Q147" s="3">
        <f>P147/METRICS!$C$14*100</f>
        <v/>
      </c>
      <c r="R147" s="3">
        <f>METRICS!$C$14+P147</f>
        <v/>
      </c>
      <c r="S147" s="3">
        <f>MAX($R$3:R147)</f>
        <v/>
      </c>
      <c r="T147" s="3">
        <f>R147-S147</f>
        <v/>
      </c>
      <c r="U147" s="3">
        <f>(R147-S147)/S147*100</f>
        <v/>
      </c>
      <c r="V147" s="3">
        <f>IF(K147&lt;0, (K147/100)^2, 0)</f>
        <v/>
      </c>
    </row>
    <row r="148">
      <c r="A148" s="3">
        <f>TEXT(146, """T""0000")</f>
        <v/>
      </c>
      <c r="B148" s="3">
        <f>RAW_INPUT!A148</f>
        <v/>
      </c>
      <c r="C148" s="3">
        <f>RAW_INPUT!B148</f>
        <v/>
      </c>
      <c r="D148" s="3">
        <f>RAW_INPUT!D148</f>
        <v/>
      </c>
      <c r="E148" s="3">
        <f>D148-C148</f>
        <v/>
      </c>
      <c r="F148" s="3">
        <f>RAW_INPUT!C148</f>
        <v/>
      </c>
      <c r="G148" s="3">
        <f>RAW_INPUT!E148</f>
        <v/>
      </c>
      <c r="H148" s="3">
        <f>I148/F148</f>
        <v/>
      </c>
      <c r="I148" s="3">
        <f>METRICS!$C$14 * 0.02</f>
        <v/>
      </c>
      <c r="J148" s="3">
        <f>(G148-F148)*H148</f>
        <v/>
      </c>
      <c r="K148" s="3">
        <f>(G148-F148)/F148*100</f>
        <v/>
      </c>
      <c r="L148" s="3">
        <f>RAW_INPUT!F148</f>
        <v/>
      </c>
      <c r="M148" s="3">
        <f>K148-L148</f>
        <v/>
      </c>
      <c r="N148" s="3">
        <f>IF(J148&gt;0, 1, 0)</f>
        <v/>
      </c>
      <c r="O148" s="3">
        <f>IF(J148&lt;0, 1, 0)</f>
        <v/>
      </c>
      <c r="P148" s="3">
        <f>SUM($J$3:J148)</f>
        <v/>
      </c>
      <c r="Q148" s="3">
        <f>P148/METRICS!$C$14*100</f>
        <v/>
      </c>
      <c r="R148" s="3">
        <f>METRICS!$C$14+P148</f>
        <v/>
      </c>
      <c r="S148" s="3">
        <f>MAX($R$3:R148)</f>
        <v/>
      </c>
      <c r="T148" s="3">
        <f>R148-S148</f>
        <v/>
      </c>
      <c r="U148" s="3">
        <f>(R148-S148)/S148*100</f>
        <v/>
      </c>
      <c r="V148" s="3">
        <f>IF(K148&lt;0, (K148/100)^2, 0)</f>
        <v/>
      </c>
    </row>
    <row r="149">
      <c r="A149" s="3">
        <f>TEXT(147, """T""0000")</f>
        <v/>
      </c>
      <c r="B149" s="3">
        <f>RAW_INPUT!A149</f>
        <v/>
      </c>
      <c r="C149" s="3">
        <f>RAW_INPUT!B149</f>
        <v/>
      </c>
      <c r="D149" s="3">
        <f>RAW_INPUT!D149</f>
        <v/>
      </c>
      <c r="E149" s="3">
        <f>D149-C149</f>
        <v/>
      </c>
      <c r="F149" s="3">
        <f>RAW_INPUT!C149</f>
        <v/>
      </c>
      <c r="G149" s="3">
        <f>RAW_INPUT!E149</f>
        <v/>
      </c>
      <c r="H149" s="3">
        <f>I149/F149</f>
        <v/>
      </c>
      <c r="I149" s="3">
        <f>METRICS!$C$14 * 0.02</f>
        <v/>
      </c>
      <c r="J149" s="3">
        <f>(G149-F149)*H149</f>
        <v/>
      </c>
      <c r="K149" s="3">
        <f>(G149-F149)/F149*100</f>
        <v/>
      </c>
      <c r="L149" s="3">
        <f>RAW_INPUT!F149</f>
        <v/>
      </c>
      <c r="M149" s="3">
        <f>K149-L149</f>
        <v/>
      </c>
      <c r="N149" s="3">
        <f>IF(J149&gt;0, 1, 0)</f>
        <v/>
      </c>
      <c r="O149" s="3">
        <f>IF(J149&lt;0, 1, 0)</f>
        <v/>
      </c>
      <c r="P149" s="3">
        <f>SUM($J$3:J149)</f>
        <v/>
      </c>
      <c r="Q149" s="3">
        <f>P149/METRICS!$C$14*100</f>
        <v/>
      </c>
      <c r="R149" s="3">
        <f>METRICS!$C$14+P149</f>
        <v/>
      </c>
      <c r="S149" s="3">
        <f>MAX($R$3:R149)</f>
        <v/>
      </c>
      <c r="T149" s="3">
        <f>R149-S149</f>
        <v/>
      </c>
      <c r="U149" s="3">
        <f>(R149-S149)/S149*100</f>
        <v/>
      </c>
      <c r="V149" s="3">
        <f>IF(K149&lt;0, (K149/100)^2, 0)</f>
        <v/>
      </c>
    </row>
    <row r="150">
      <c r="A150" s="3">
        <f>TEXT(148, """T""0000")</f>
        <v/>
      </c>
      <c r="B150" s="3">
        <f>RAW_INPUT!A150</f>
        <v/>
      </c>
      <c r="C150" s="3">
        <f>RAW_INPUT!B150</f>
        <v/>
      </c>
      <c r="D150" s="3">
        <f>RAW_INPUT!D150</f>
        <v/>
      </c>
      <c r="E150" s="3">
        <f>D150-C150</f>
        <v/>
      </c>
      <c r="F150" s="3">
        <f>RAW_INPUT!C150</f>
        <v/>
      </c>
      <c r="G150" s="3">
        <f>RAW_INPUT!E150</f>
        <v/>
      </c>
      <c r="H150" s="3">
        <f>I150/F150</f>
        <v/>
      </c>
      <c r="I150" s="3">
        <f>METRICS!$C$14 * 0.02</f>
        <v/>
      </c>
      <c r="J150" s="3">
        <f>(G150-F150)*H150</f>
        <v/>
      </c>
      <c r="K150" s="3">
        <f>(G150-F150)/F150*100</f>
        <v/>
      </c>
      <c r="L150" s="3">
        <f>RAW_INPUT!F150</f>
        <v/>
      </c>
      <c r="M150" s="3">
        <f>K150-L150</f>
        <v/>
      </c>
      <c r="N150" s="3">
        <f>IF(J150&gt;0, 1, 0)</f>
        <v/>
      </c>
      <c r="O150" s="3">
        <f>IF(J150&lt;0, 1, 0)</f>
        <v/>
      </c>
      <c r="P150" s="3">
        <f>SUM($J$3:J150)</f>
        <v/>
      </c>
      <c r="Q150" s="3">
        <f>P150/METRICS!$C$14*100</f>
        <v/>
      </c>
      <c r="R150" s="3">
        <f>METRICS!$C$14+P150</f>
        <v/>
      </c>
      <c r="S150" s="3">
        <f>MAX($R$3:R150)</f>
        <v/>
      </c>
      <c r="T150" s="3">
        <f>R150-S150</f>
        <v/>
      </c>
      <c r="U150" s="3">
        <f>(R150-S150)/S150*100</f>
        <v/>
      </c>
      <c r="V150" s="3">
        <f>IF(K150&lt;0, (K150/100)^2, 0)</f>
        <v/>
      </c>
    </row>
    <row r="151">
      <c r="A151" s="3">
        <f>TEXT(149, """T""0000")</f>
        <v/>
      </c>
      <c r="B151" s="3">
        <f>RAW_INPUT!A151</f>
        <v/>
      </c>
      <c r="C151" s="3">
        <f>RAW_INPUT!B151</f>
        <v/>
      </c>
      <c r="D151" s="3">
        <f>RAW_INPUT!D151</f>
        <v/>
      </c>
      <c r="E151" s="3">
        <f>D151-C151</f>
        <v/>
      </c>
      <c r="F151" s="3">
        <f>RAW_INPUT!C151</f>
        <v/>
      </c>
      <c r="G151" s="3">
        <f>RAW_INPUT!E151</f>
        <v/>
      </c>
      <c r="H151" s="3">
        <f>I151/F151</f>
        <v/>
      </c>
      <c r="I151" s="3">
        <f>METRICS!$C$14 * 0.02</f>
        <v/>
      </c>
      <c r="J151" s="3">
        <f>(G151-F151)*H151</f>
        <v/>
      </c>
      <c r="K151" s="3">
        <f>(G151-F151)/F151*100</f>
        <v/>
      </c>
      <c r="L151" s="3">
        <f>RAW_INPUT!F151</f>
        <v/>
      </c>
      <c r="M151" s="3">
        <f>K151-L151</f>
        <v/>
      </c>
      <c r="N151" s="3">
        <f>IF(J151&gt;0, 1, 0)</f>
        <v/>
      </c>
      <c r="O151" s="3">
        <f>IF(J151&lt;0, 1, 0)</f>
        <v/>
      </c>
      <c r="P151" s="3">
        <f>SUM($J$3:J151)</f>
        <v/>
      </c>
      <c r="Q151" s="3">
        <f>P151/METRICS!$C$14*100</f>
        <v/>
      </c>
      <c r="R151" s="3">
        <f>METRICS!$C$14+P151</f>
        <v/>
      </c>
      <c r="S151" s="3">
        <f>MAX($R$3:R151)</f>
        <v/>
      </c>
      <c r="T151" s="3">
        <f>R151-S151</f>
        <v/>
      </c>
      <c r="U151" s="3">
        <f>(R151-S151)/S151*100</f>
        <v/>
      </c>
      <c r="V151" s="3">
        <f>IF(K151&lt;0, (K151/100)^2, 0)</f>
        <v/>
      </c>
    </row>
    <row r="152">
      <c r="A152" s="3">
        <f>TEXT(150, """T""0000")</f>
        <v/>
      </c>
      <c r="B152" s="3">
        <f>RAW_INPUT!A152</f>
        <v/>
      </c>
      <c r="C152" s="3">
        <f>RAW_INPUT!B152</f>
        <v/>
      </c>
      <c r="D152" s="3">
        <f>RAW_INPUT!D152</f>
        <v/>
      </c>
      <c r="E152" s="3">
        <f>D152-C152</f>
        <v/>
      </c>
      <c r="F152" s="3">
        <f>RAW_INPUT!C152</f>
        <v/>
      </c>
      <c r="G152" s="3">
        <f>RAW_INPUT!E152</f>
        <v/>
      </c>
      <c r="H152" s="3">
        <f>I152/F152</f>
        <v/>
      </c>
      <c r="I152" s="3">
        <f>METRICS!$C$14 * 0.02</f>
        <v/>
      </c>
      <c r="J152" s="3">
        <f>(G152-F152)*H152</f>
        <v/>
      </c>
      <c r="K152" s="3">
        <f>(G152-F152)/F152*100</f>
        <v/>
      </c>
      <c r="L152" s="3">
        <f>RAW_INPUT!F152</f>
        <v/>
      </c>
      <c r="M152" s="3">
        <f>K152-L152</f>
        <v/>
      </c>
      <c r="N152" s="3">
        <f>IF(J152&gt;0, 1, 0)</f>
        <v/>
      </c>
      <c r="O152" s="3">
        <f>IF(J152&lt;0, 1, 0)</f>
        <v/>
      </c>
      <c r="P152" s="3">
        <f>SUM($J$3:J152)</f>
        <v/>
      </c>
      <c r="Q152" s="3">
        <f>P152/METRICS!$C$14*100</f>
        <v/>
      </c>
      <c r="R152" s="3">
        <f>METRICS!$C$14+P152</f>
        <v/>
      </c>
      <c r="S152" s="3">
        <f>MAX($R$3:R152)</f>
        <v/>
      </c>
      <c r="T152" s="3">
        <f>R152-S152</f>
        <v/>
      </c>
      <c r="U152" s="3">
        <f>(R152-S152)/S152*100</f>
        <v/>
      </c>
      <c r="V152" s="3">
        <f>IF(K152&lt;0, (K152/100)^2, 0)</f>
        <v/>
      </c>
    </row>
    <row r="153">
      <c r="A153" s="3">
        <f>TEXT(151, """T""0000")</f>
        <v/>
      </c>
      <c r="B153" s="3">
        <f>RAW_INPUT!A153</f>
        <v/>
      </c>
      <c r="C153" s="3">
        <f>RAW_INPUT!B153</f>
        <v/>
      </c>
      <c r="D153" s="3">
        <f>RAW_INPUT!D153</f>
        <v/>
      </c>
      <c r="E153" s="3">
        <f>D153-C153</f>
        <v/>
      </c>
      <c r="F153" s="3">
        <f>RAW_INPUT!C153</f>
        <v/>
      </c>
      <c r="G153" s="3">
        <f>RAW_INPUT!E153</f>
        <v/>
      </c>
      <c r="H153" s="3">
        <f>I153/F153</f>
        <v/>
      </c>
      <c r="I153" s="3">
        <f>METRICS!$C$14 * 0.02</f>
        <v/>
      </c>
      <c r="J153" s="3">
        <f>(G153-F153)*H153</f>
        <v/>
      </c>
      <c r="K153" s="3">
        <f>(G153-F153)/F153*100</f>
        <v/>
      </c>
      <c r="L153" s="3">
        <f>RAW_INPUT!F153</f>
        <v/>
      </c>
      <c r="M153" s="3">
        <f>K153-L153</f>
        <v/>
      </c>
      <c r="N153" s="3">
        <f>IF(J153&gt;0, 1, 0)</f>
        <v/>
      </c>
      <c r="O153" s="3">
        <f>IF(J153&lt;0, 1, 0)</f>
        <v/>
      </c>
      <c r="P153" s="3">
        <f>SUM($J$3:J153)</f>
        <v/>
      </c>
      <c r="Q153" s="3">
        <f>P153/METRICS!$C$14*100</f>
        <v/>
      </c>
      <c r="R153" s="3">
        <f>METRICS!$C$14+P153</f>
        <v/>
      </c>
      <c r="S153" s="3">
        <f>MAX($R$3:R153)</f>
        <v/>
      </c>
      <c r="T153" s="3">
        <f>R153-S153</f>
        <v/>
      </c>
      <c r="U153" s="3">
        <f>(R153-S153)/S153*100</f>
        <v/>
      </c>
      <c r="V153" s="3">
        <f>IF(K153&lt;0, (K153/100)^2, 0)</f>
        <v/>
      </c>
    </row>
    <row r="154">
      <c r="A154" s="3">
        <f>TEXT(152, """T""0000")</f>
        <v/>
      </c>
      <c r="B154" s="3">
        <f>RAW_INPUT!A154</f>
        <v/>
      </c>
      <c r="C154" s="3">
        <f>RAW_INPUT!B154</f>
        <v/>
      </c>
      <c r="D154" s="3">
        <f>RAW_INPUT!D154</f>
        <v/>
      </c>
      <c r="E154" s="3">
        <f>D154-C154</f>
        <v/>
      </c>
      <c r="F154" s="3">
        <f>RAW_INPUT!C154</f>
        <v/>
      </c>
      <c r="G154" s="3">
        <f>RAW_INPUT!E154</f>
        <v/>
      </c>
      <c r="H154" s="3">
        <f>I154/F154</f>
        <v/>
      </c>
      <c r="I154" s="3">
        <f>METRICS!$C$14 * 0.02</f>
        <v/>
      </c>
      <c r="J154" s="3">
        <f>(G154-F154)*H154</f>
        <v/>
      </c>
      <c r="K154" s="3">
        <f>(G154-F154)/F154*100</f>
        <v/>
      </c>
      <c r="L154" s="3">
        <f>RAW_INPUT!F154</f>
        <v/>
      </c>
      <c r="M154" s="3">
        <f>K154-L154</f>
        <v/>
      </c>
      <c r="N154" s="3">
        <f>IF(J154&gt;0, 1, 0)</f>
        <v/>
      </c>
      <c r="O154" s="3">
        <f>IF(J154&lt;0, 1, 0)</f>
        <v/>
      </c>
      <c r="P154" s="3">
        <f>SUM($J$3:J154)</f>
        <v/>
      </c>
      <c r="Q154" s="3">
        <f>P154/METRICS!$C$14*100</f>
        <v/>
      </c>
      <c r="R154" s="3">
        <f>METRICS!$C$14+P154</f>
        <v/>
      </c>
      <c r="S154" s="3">
        <f>MAX($R$3:R154)</f>
        <v/>
      </c>
      <c r="T154" s="3">
        <f>R154-S154</f>
        <v/>
      </c>
      <c r="U154" s="3">
        <f>(R154-S154)/S154*100</f>
        <v/>
      </c>
      <c r="V154" s="3">
        <f>IF(K154&lt;0, (K154/100)^2, 0)</f>
        <v/>
      </c>
    </row>
    <row r="155">
      <c r="A155" s="3">
        <f>TEXT(153, """T""0000")</f>
        <v/>
      </c>
      <c r="B155" s="3">
        <f>RAW_INPUT!A155</f>
        <v/>
      </c>
      <c r="C155" s="3">
        <f>RAW_INPUT!B155</f>
        <v/>
      </c>
      <c r="D155" s="3">
        <f>RAW_INPUT!D155</f>
        <v/>
      </c>
      <c r="E155" s="3">
        <f>D155-C155</f>
        <v/>
      </c>
      <c r="F155" s="3">
        <f>RAW_INPUT!C155</f>
        <v/>
      </c>
      <c r="G155" s="3">
        <f>RAW_INPUT!E155</f>
        <v/>
      </c>
      <c r="H155" s="3">
        <f>I155/F155</f>
        <v/>
      </c>
      <c r="I155" s="3">
        <f>METRICS!$C$14 * 0.02</f>
        <v/>
      </c>
      <c r="J155" s="3">
        <f>(G155-F155)*H155</f>
        <v/>
      </c>
      <c r="K155" s="3">
        <f>(G155-F155)/F155*100</f>
        <v/>
      </c>
      <c r="L155" s="3">
        <f>RAW_INPUT!F155</f>
        <v/>
      </c>
      <c r="M155" s="3">
        <f>K155-L155</f>
        <v/>
      </c>
      <c r="N155" s="3">
        <f>IF(J155&gt;0, 1, 0)</f>
        <v/>
      </c>
      <c r="O155" s="3">
        <f>IF(J155&lt;0, 1, 0)</f>
        <v/>
      </c>
      <c r="P155" s="3">
        <f>SUM($J$3:J155)</f>
        <v/>
      </c>
      <c r="Q155" s="3">
        <f>P155/METRICS!$C$14*100</f>
        <v/>
      </c>
      <c r="R155" s="3">
        <f>METRICS!$C$14+P155</f>
        <v/>
      </c>
      <c r="S155" s="3">
        <f>MAX($R$3:R155)</f>
        <v/>
      </c>
      <c r="T155" s="3">
        <f>R155-S155</f>
        <v/>
      </c>
      <c r="U155" s="3">
        <f>(R155-S155)/S155*100</f>
        <v/>
      </c>
      <c r="V155" s="3">
        <f>IF(K155&lt;0, (K155/100)^2, 0)</f>
        <v/>
      </c>
    </row>
    <row r="156">
      <c r="A156" s="3">
        <f>TEXT(154, """T""0000")</f>
        <v/>
      </c>
      <c r="B156" s="3">
        <f>RAW_INPUT!A156</f>
        <v/>
      </c>
      <c r="C156" s="3">
        <f>RAW_INPUT!B156</f>
        <v/>
      </c>
      <c r="D156" s="3">
        <f>RAW_INPUT!D156</f>
        <v/>
      </c>
      <c r="E156" s="3">
        <f>D156-C156</f>
        <v/>
      </c>
      <c r="F156" s="3">
        <f>RAW_INPUT!C156</f>
        <v/>
      </c>
      <c r="G156" s="3">
        <f>RAW_INPUT!E156</f>
        <v/>
      </c>
      <c r="H156" s="3">
        <f>I156/F156</f>
        <v/>
      </c>
      <c r="I156" s="3">
        <f>METRICS!$C$14 * 0.02</f>
        <v/>
      </c>
      <c r="J156" s="3">
        <f>(G156-F156)*H156</f>
        <v/>
      </c>
      <c r="K156" s="3">
        <f>(G156-F156)/F156*100</f>
        <v/>
      </c>
      <c r="L156" s="3">
        <f>RAW_INPUT!F156</f>
        <v/>
      </c>
      <c r="M156" s="3">
        <f>K156-L156</f>
        <v/>
      </c>
      <c r="N156" s="3">
        <f>IF(J156&gt;0, 1, 0)</f>
        <v/>
      </c>
      <c r="O156" s="3">
        <f>IF(J156&lt;0, 1, 0)</f>
        <v/>
      </c>
      <c r="P156" s="3">
        <f>SUM($J$3:J156)</f>
        <v/>
      </c>
      <c r="Q156" s="3">
        <f>P156/METRICS!$C$14*100</f>
        <v/>
      </c>
      <c r="R156" s="3">
        <f>METRICS!$C$14+P156</f>
        <v/>
      </c>
      <c r="S156" s="3">
        <f>MAX($R$3:R156)</f>
        <v/>
      </c>
      <c r="T156" s="3">
        <f>R156-S156</f>
        <v/>
      </c>
      <c r="U156" s="3">
        <f>(R156-S156)/S156*100</f>
        <v/>
      </c>
      <c r="V156" s="3">
        <f>IF(K156&lt;0, (K156/100)^2, 0)</f>
        <v/>
      </c>
    </row>
    <row r="157">
      <c r="A157" s="3">
        <f>TEXT(155, """T""0000")</f>
        <v/>
      </c>
      <c r="B157" s="3">
        <f>RAW_INPUT!A157</f>
        <v/>
      </c>
      <c r="C157" s="3">
        <f>RAW_INPUT!B157</f>
        <v/>
      </c>
      <c r="D157" s="3">
        <f>RAW_INPUT!D157</f>
        <v/>
      </c>
      <c r="E157" s="3">
        <f>D157-C157</f>
        <v/>
      </c>
      <c r="F157" s="3">
        <f>RAW_INPUT!C157</f>
        <v/>
      </c>
      <c r="G157" s="3">
        <f>RAW_INPUT!E157</f>
        <v/>
      </c>
      <c r="H157" s="3">
        <f>I157/F157</f>
        <v/>
      </c>
      <c r="I157" s="3">
        <f>METRICS!$C$14 * 0.02</f>
        <v/>
      </c>
      <c r="J157" s="3">
        <f>(G157-F157)*H157</f>
        <v/>
      </c>
      <c r="K157" s="3">
        <f>(G157-F157)/F157*100</f>
        <v/>
      </c>
      <c r="L157" s="3">
        <f>RAW_INPUT!F157</f>
        <v/>
      </c>
      <c r="M157" s="3">
        <f>K157-L157</f>
        <v/>
      </c>
      <c r="N157" s="3">
        <f>IF(J157&gt;0, 1, 0)</f>
        <v/>
      </c>
      <c r="O157" s="3">
        <f>IF(J157&lt;0, 1, 0)</f>
        <v/>
      </c>
      <c r="P157" s="3">
        <f>SUM($J$3:J157)</f>
        <v/>
      </c>
      <c r="Q157" s="3">
        <f>P157/METRICS!$C$14*100</f>
        <v/>
      </c>
      <c r="R157" s="3">
        <f>METRICS!$C$14+P157</f>
        <v/>
      </c>
      <c r="S157" s="3">
        <f>MAX($R$3:R157)</f>
        <v/>
      </c>
      <c r="T157" s="3">
        <f>R157-S157</f>
        <v/>
      </c>
      <c r="U157" s="3">
        <f>(R157-S157)/S157*100</f>
        <v/>
      </c>
      <c r="V157" s="3">
        <f>IF(K157&lt;0, (K157/100)^2, 0)</f>
        <v/>
      </c>
    </row>
    <row r="158">
      <c r="A158" s="3">
        <f>TEXT(156, """T""0000")</f>
        <v/>
      </c>
      <c r="B158" s="3">
        <f>RAW_INPUT!A158</f>
        <v/>
      </c>
      <c r="C158" s="3">
        <f>RAW_INPUT!B158</f>
        <v/>
      </c>
      <c r="D158" s="3">
        <f>RAW_INPUT!D158</f>
        <v/>
      </c>
      <c r="E158" s="3">
        <f>D158-C158</f>
        <v/>
      </c>
      <c r="F158" s="3">
        <f>RAW_INPUT!C158</f>
        <v/>
      </c>
      <c r="G158" s="3">
        <f>RAW_INPUT!E158</f>
        <v/>
      </c>
      <c r="H158" s="3">
        <f>I158/F158</f>
        <v/>
      </c>
      <c r="I158" s="3">
        <f>METRICS!$C$14 * 0.02</f>
        <v/>
      </c>
      <c r="J158" s="3">
        <f>(G158-F158)*H158</f>
        <v/>
      </c>
      <c r="K158" s="3">
        <f>(G158-F158)/F158*100</f>
        <v/>
      </c>
      <c r="L158" s="3">
        <f>RAW_INPUT!F158</f>
        <v/>
      </c>
      <c r="M158" s="3">
        <f>K158-L158</f>
        <v/>
      </c>
      <c r="N158" s="3">
        <f>IF(J158&gt;0, 1, 0)</f>
        <v/>
      </c>
      <c r="O158" s="3">
        <f>IF(J158&lt;0, 1, 0)</f>
        <v/>
      </c>
      <c r="P158" s="3">
        <f>SUM($J$3:J158)</f>
        <v/>
      </c>
      <c r="Q158" s="3">
        <f>P158/METRICS!$C$14*100</f>
        <v/>
      </c>
      <c r="R158" s="3">
        <f>METRICS!$C$14+P158</f>
        <v/>
      </c>
      <c r="S158" s="3">
        <f>MAX($R$3:R158)</f>
        <v/>
      </c>
      <c r="T158" s="3">
        <f>R158-S158</f>
        <v/>
      </c>
      <c r="U158" s="3">
        <f>(R158-S158)/S158*100</f>
        <v/>
      </c>
      <c r="V158" s="3">
        <f>IF(K158&lt;0, (K158/100)^2, 0)</f>
        <v/>
      </c>
    </row>
    <row r="159">
      <c r="A159" s="3">
        <f>TEXT(157, """T""0000")</f>
        <v/>
      </c>
      <c r="B159" s="3">
        <f>RAW_INPUT!A159</f>
        <v/>
      </c>
      <c r="C159" s="3">
        <f>RAW_INPUT!B159</f>
        <v/>
      </c>
      <c r="D159" s="3">
        <f>RAW_INPUT!D159</f>
        <v/>
      </c>
      <c r="E159" s="3">
        <f>D159-C159</f>
        <v/>
      </c>
      <c r="F159" s="3">
        <f>RAW_INPUT!C159</f>
        <v/>
      </c>
      <c r="G159" s="3">
        <f>RAW_INPUT!E159</f>
        <v/>
      </c>
      <c r="H159" s="3">
        <f>I159/F159</f>
        <v/>
      </c>
      <c r="I159" s="3">
        <f>METRICS!$C$14 * 0.02</f>
        <v/>
      </c>
      <c r="J159" s="3">
        <f>(G159-F159)*H159</f>
        <v/>
      </c>
      <c r="K159" s="3">
        <f>(G159-F159)/F159*100</f>
        <v/>
      </c>
      <c r="L159" s="3">
        <f>RAW_INPUT!F159</f>
        <v/>
      </c>
      <c r="M159" s="3">
        <f>K159-L159</f>
        <v/>
      </c>
      <c r="N159" s="3">
        <f>IF(J159&gt;0, 1, 0)</f>
        <v/>
      </c>
      <c r="O159" s="3">
        <f>IF(J159&lt;0, 1, 0)</f>
        <v/>
      </c>
      <c r="P159" s="3">
        <f>SUM($J$3:J159)</f>
        <v/>
      </c>
      <c r="Q159" s="3">
        <f>P159/METRICS!$C$14*100</f>
        <v/>
      </c>
      <c r="R159" s="3">
        <f>METRICS!$C$14+P159</f>
        <v/>
      </c>
      <c r="S159" s="3">
        <f>MAX($R$3:R159)</f>
        <v/>
      </c>
      <c r="T159" s="3">
        <f>R159-S159</f>
        <v/>
      </c>
      <c r="U159" s="3">
        <f>(R159-S159)/S159*100</f>
        <v/>
      </c>
      <c r="V159" s="3">
        <f>IF(K159&lt;0, (K159/100)^2, 0)</f>
        <v/>
      </c>
    </row>
    <row r="160">
      <c r="A160" s="3">
        <f>TEXT(158, """T""0000")</f>
        <v/>
      </c>
      <c r="B160" s="3">
        <f>RAW_INPUT!A160</f>
        <v/>
      </c>
      <c r="C160" s="3">
        <f>RAW_INPUT!B160</f>
        <v/>
      </c>
      <c r="D160" s="3">
        <f>RAW_INPUT!D160</f>
        <v/>
      </c>
      <c r="E160" s="3">
        <f>D160-C160</f>
        <v/>
      </c>
      <c r="F160" s="3">
        <f>RAW_INPUT!C160</f>
        <v/>
      </c>
      <c r="G160" s="3">
        <f>RAW_INPUT!E160</f>
        <v/>
      </c>
      <c r="H160" s="3">
        <f>I160/F160</f>
        <v/>
      </c>
      <c r="I160" s="3">
        <f>METRICS!$C$14 * 0.02</f>
        <v/>
      </c>
      <c r="J160" s="3">
        <f>(G160-F160)*H160</f>
        <v/>
      </c>
      <c r="K160" s="3">
        <f>(G160-F160)/F160*100</f>
        <v/>
      </c>
      <c r="L160" s="3">
        <f>RAW_INPUT!F160</f>
        <v/>
      </c>
      <c r="M160" s="3">
        <f>K160-L160</f>
        <v/>
      </c>
      <c r="N160" s="3">
        <f>IF(J160&gt;0, 1, 0)</f>
        <v/>
      </c>
      <c r="O160" s="3">
        <f>IF(J160&lt;0, 1, 0)</f>
        <v/>
      </c>
      <c r="P160" s="3">
        <f>SUM($J$3:J160)</f>
        <v/>
      </c>
      <c r="Q160" s="3">
        <f>P160/METRICS!$C$14*100</f>
        <v/>
      </c>
      <c r="R160" s="3">
        <f>METRICS!$C$14+P160</f>
        <v/>
      </c>
      <c r="S160" s="3">
        <f>MAX($R$3:R160)</f>
        <v/>
      </c>
      <c r="T160" s="3">
        <f>R160-S160</f>
        <v/>
      </c>
      <c r="U160" s="3">
        <f>(R160-S160)/S160*100</f>
        <v/>
      </c>
      <c r="V160" s="3">
        <f>IF(K160&lt;0, (K160/100)^2, 0)</f>
        <v/>
      </c>
    </row>
    <row r="161">
      <c r="A161" s="3">
        <f>TEXT(159, """T""0000")</f>
        <v/>
      </c>
      <c r="B161" s="3">
        <f>RAW_INPUT!A161</f>
        <v/>
      </c>
      <c r="C161" s="3">
        <f>RAW_INPUT!B161</f>
        <v/>
      </c>
      <c r="D161" s="3">
        <f>RAW_INPUT!D161</f>
        <v/>
      </c>
      <c r="E161" s="3">
        <f>D161-C161</f>
        <v/>
      </c>
      <c r="F161" s="3">
        <f>RAW_INPUT!C161</f>
        <v/>
      </c>
      <c r="G161" s="3">
        <f>RAW_INPUT!E161</f>
        <v/>
      </c>
      <c r="H161" s="3">
        <f>I161/F161</f>
        <v/>
      </c>
      <c r="I161" s="3">
        <f>METRICS!$C$14 * 0.02</f>
        <v/>
      </c>
      <c r="J161" s="3">
        <f>(G161-F161)*H161</f>
        <v/>
      </c>
      <c r="K161" s="3">
        <f>(G161-F161)/F161*100</f>
        <v/>
      </c>
      <c r="L161" s="3">
        <f>RAW_INPUT!F161</f>
        <v/>
      </c>
      <c r="M161" s="3">
        <f>K161-L161</f>
        <v/>
      </c>
      <c r="N161" s="3">
        <f>IF(J161&gt;0, 1, 0)</f>
        <v/>
      </c>
      <c r="O161" s="3">
        <f>IF(J161&lt;0, 1, 0)</f>
        <v/>
      </c>
      <c r="P161" s="3">
        <f>SUM($J$3:J161)</f>
        <v/>
      </c>
      <c r="Q161" s="3">
        <f>P161/METRICS!$C$14*100</f>
        <v/>
      </c>
      <c r="R161" s="3">
        <f>METRICS!$C$14+P161</f>
        <v/>
      </c>
      <c r="S161" s="3">
        <f>MAX($R$3:R161)</f>
        <v/>
      </c>
      <c r="T161" s="3">
        <f>R161-S161</f>
        <v/>
      </c>
      <c r="U161" s="3">
        <f>(R161-S161)/S161*100</f>
        <v/>
      </c>
      <c r="V161" s="3">
        <f>IF(K161&lt;0, (K161/100)^2, 0)</f>
        <v/>
      </c>
    </row>
    <row r="162">
      <c r="A162" s="3">
        <f>TEXT(160, """T""0000")</f>
        <v/>
      </c>
      <c r="B162" s="3">
        <f>RAW_INPUT!A162</f>
        <v/>
      </c>
      <c r="C162" s="3">
        <f>RAW_INPUT!B162</f>
        <v/>
      </c>
      <c r="D162" s="3">
        <f>RAW_INPUT!D162</f>
        <v/>
      </c>
      <c r="E162" s="3">
        <f>D162-C162</f>
        <v/>
      </c>
      <c r="F162" s="3">
        <f>RAW_INPUT!C162</f>
        <v/>
      </c>
      <c r="G162" s="3">
        <f>RAW_INPUT!E162</f>
        <v/>
      </c>
      <c r="H162" s="3">
        <f>I162/F162</f>
        <v/>
      </c>
      <c r="I162" s="3">
        <f>METRICS!$C$14 * 0.02</f>
        <v/>
      </c>
      <c r="J162" s="3">
        <f>(G162-F162)*H162</f>
        <v/>
      </c>
      <c r="K162" s="3">
        <f>(G162-F162)/F162*100</f>
        <v/>
      </c>
      <c r="L162" s="3">
        <f>RAW_INPUT!F162</f>
        <v/>
      </c>
      <c r="M162" s="3">
        <f>K162-L162</f>
        <v/>
      </c>
      <c r="N162" s="3">
        <f>IF(J162&gt;0, 1, 0)</f>
        <v/>
      </c>
      <c r="O162" s="3">
        <f>IF(J162&lt;0, 1, 0)</f>
        <v/>
      </c>
      <c r="P162" s="3">
        <f>SUM($J$3:J162)</f>
        <v/>
      </c>
      <c r="Q162" s="3">
        <f>P162/METRICS!$C$14*100</f>
        <v/>
      </c>
      <c r="R162" s="3">
        <f>METRICS!$C$14+P162</f>
        <v/>
      </c>
      <c r="S162" s="3">
        <f>MAX($R$3:R162)</f>
        <v/>
      </c>
      <c r="T162" s="3">
        <f>R162-S162</f>
        <v/>
      </c>
      <c r="U162" s="3">
        <f>(R162-S162)/S162*100</f>
        <v/>
      </c>
      <c r="V162" s="3">
        <f>IF(K162&lt;0, (K162/100)^2, 0)</f>
        <v/>
      </c>
    </row>
    <row r="163">
      <c r="A163" s="3">
        <f>TEXT(161, """T""0000")</f>
        <v/>
      </c>
      <c r="B163" s="3">
        <f>RAW_INPUT!A163</f>
        <v/>
      </c>
      <c r="C163" s="3">
        <f>RAW_INPUT!B163</f>
        <v/>
      </c>
      <c r="D163" s="3">
        <f>RAW_INPUT!D163</f>
        <v/>
      </c>
      <c r="E163" s="3">
        <f>D163-C163</f>
        <v/>
      </c>
      <c r="F163" s="3">
        <f>RAW_INPUT!C163</f>
        <v/>
      </c>
      <c r="G163" s="3">
        <f>RAW_INPUT!E163</f>
        <v/>
      </c>
      <c r="H163" s="3">
        <f>I163/F163</f>
        <v/>
      </c>
      <c r="I163" s="3">
        <f>METRICS!$C$14 * 0.02</f>
        <v/>
      </c>
      <c r="J163" s="3">
        <f>(G163-F163)*H163</f>
        <v/>
      </c>
      <c r="K163" s="3">
        <f>(G163-F163)/F163*100</f>
        <v/>
      </c>
      <c r="L163" s="3">
        <f>RAW_INPUT!F163</f>
        <v/>
      </c>
      <c r="M163" s="3">
        <f>K163-L163</f>
        <v/>
      </c>
      <c r="N163" s="3">
        <f>IF(J163&gt;0, 1, 0)</f>
        <v/>
      </c>
      <c r="O163" s="3">
        <f>IF(J163&lt;0, 1, 0)</f>
        <v/>
      </c>
      <c r="P163" s="3">
        <f>SUM($J$3:J163)</f>
        <v/>
      </c>
      <c r="Q163" s="3">
        <f>P163/METRICS!$C$14*100</f>
        <v/>
      </c>
      <c r="R163" s="3">
        <f>METRICS!$C$14+P163</f>
        <v/>
      </c>
      <c r="S163" s="3">
        <f>MAX($R$3:R163)</f>
        <v/>
      </c>
      <c r="T163" s="3">
        <f>R163-S163</f>
        <v/>
      </c>
      <c r="U163" s="3">
        <f>(R163-S163)/S163*100</f>
        <v/>
      </c>
      <c r="V163" s="3">
        <f>IF(K163&lt;0, (K163/100)^2, 0)</f>
        <v/>
      </c>
    </row>
    <row r="164">
      <c r="A164" s="3">
        <f>TEXT(162, """T""0000")</f>
        <v/>
      </c>
      <c r="B164" s="3">
        <f>RAW_INPUT!A164</f>
        <v/>
      </c>
      <c r="C164" s="3">
        <f>RAW_INPUT!B164</f>
        <v/>
      </c>
      <c r="D164" s="3">
        <f>RAW_INPUT!D164</f>
        <v/>
      </c>
      <c r="E164" s="3">
        <f>D164-C164</f>
        <v/>
      </c>
      <c r="F164" s="3">
        <f>RAW_INPUT!C164</f>
        <v/>
      </c>
      <c r="G164" s="3">
        <f>RAW_INPUT!E164</f>
        <v/>
      </c>
      <c r="H164" s="3">
        <f>I164/F164</f>
        <v/>
      </c>
      <c r="I164" s="3">
        <f>METRICS!$C$14 * 0.02</f>
        <v/>
      </c>
      <c r="J164" s="3">
        <f>(G164-F164)*H164</f>
        <v/>
      </c>
      <c r="K164" s="3">
        <f>(G164-F164)/F164*100</f>
        <v/>
      </c>
      <c r="L164" s="3">
        <f>RAW_INPUT!F164</f>
        <v/>
      </c>
      <c r="M164" s="3">
        <f>K164-L164</f>
        <v/>
      </c>
      <c r="N164" s="3">
        <f>IF(J164&gt;0, 1, 0)</f>
        <v/>
      </c>
      <c r="O164" s="3">
        <f>IF(J164&lt;0, 1, 0)</f>
        <v/>
      </c>
      <c r="P164" s="3">
        <f>SUM($J$3:J164)</f>
        <v/>
      </c>
      <c r="Q164" s="3">
        <f>P164/METRICS!$C$14*100</f>
        <v/>
      </c>
      <c r="R164" s="3">
        <f>METRICS!$C$14+P164</f>
        <v/>
      </c>
      <c r="S164" s="3">
        <f>MAX($R$3:R164)</f>
        <v/>
      </c>
      <c r="T164" s="3">
        <f>R164-S164</f>
        <v/>
      </c>
      <c r="U164" s="3">
        <f>(R164-S164)/S164*100</f>
        <v/>
      </c>
      <c r="V164" s="3">
        <f>IF(K164&lt;0, (K164/100)^2, 0)</f>
        <v/>
      </c>
    </row>
    <row r="165">
      <c r="A165" s="3">
        <f>TEXT(163, """T""0000")</f>
        <v/>
      </c>
      <c r="B165" s="3">
        <f>RAW_INPUT!A165</f>
        <v/>
      </c>
      <c r="C165" s="3">
        <f>RAW_INPUT!B165</f>
        <v/>
      </c>
      <c r="D165" s="3">
        <f>RAW_INPUT!D165</f>
        <v/>
      </c>
      <c r="E165" s="3">
        <f>D165-C165</f>
        <v/>
      </c>
      <c r="F165" s="3">
        <f>RAW_INPUT!C165</f>
        <v/>
      </c>
      <c r="G165" s="3">
        <f>RAW_INPUT!E165</f>
        <v/>
      </c>
      <c r="H165" s="3">
        <f>I165/F165</f>
        <v/>
      </c>
      <c r="I165" s="3">
        <f>METRICS!$C$14 * 0.02</f>
        <v/>
      </c>
      <c r="J165" s="3">
        <f>(G165-F165)*H165</f>
        <v/>
      </c>
      <c r="K165" s="3">
        <f>(G165-F165)/F165*100</f>
        <v/>
      </c>
      <c r="L165" s="3">
        <f>RAW_INPUT!F165</f>
        <v/>
      </c>
      <c r="M165" s="3">
        <f>K165-L165</f>
        <v/>
      </c>
      <c r="N165" s="3">
        <f>IF(J165&gt;0, 1, 0)</f>
        <v/>
      </c>
      <c r="O165" s="3">
        <f>IF(J165&lt;0, 1, 0)</f>
        <v/>
      </c>
      <c r="P165" s="3">
        <f>SUM($J$3:J165)</f>
        <v/>
      </c>
      <c r="Q165" s="3">
        <f>P165/METRICS!$C$14*100</f>
        <v/>
      </c>
      <c r="R165" s="3">
        <f>METRICS!$C$14+P165</f>
        <v/>
      </c>
      <c r="S165" s="3">
        <f>MAX($R$3:R165)</f>
        <v/>
      </c>
      <c r="T165" s="3">
        <f>R165-S165</f>
        <v/>
      </c>
      <c r="U165" s="3">
        <f>(R165-S165)/S165*100</f>
        <v/>
      </c>
      <c r="V165" s="3">
        <f>IF(K165&lt;0, (K165/100)^2, 0)</f>
        <v/>
      </c>
    </row>
    <row r="166">
      <c r="A166" s="3">
        <f>TEXT(164, """T""0000")</f>
        <v/>
      </c>
      <c r="B166" s="3">
        <f>RAW_INPUT!A166</f>
        <v/>
      </c>
      <c r="C166" s="3">
        <f>RAW_INPUT!B166</f>
        <v/>
      </c>
      <c r="D166" s="3">
        <f>RAW_INPUT!D166</f>
        <v/>
      </c>
      <c r="E166" s="3">
        <f>D166-C166</f>
        <v/>
      </c>
      <c r="F166" s="3">
        <f>RAW_INPUT!C166</f>
        <v/>
      </c>
      <c r="G166" s="3">
        <f>RAW_INPUT!E166</f>
        <v/>
      </c>
      <c r="H166" s="3">
        <f>I166/F166</f>
        <v/>
      </c>
      <c r="I166" s="3">
        <f>METRICS!$C$14 * 0.02</f>
        <v/>
      </c>
      <c r="J166" s="3">
        <f>(G166-F166)*H166</f>
        <v/>
      </c>
      <c r="K166" s="3">
        <f>(G166-F166)/F166*100</f>
        <v/>
      </c>
      <c r="L166" s="3">
        <f>RAW_INPUT!F166</f>
        <v/>
      </c>
      <c r="M166" s="3">
        <f>K166-L166</f>
        <v/>
      </c>
      <c r="N166" s="3">
        <f>IF(J166&gt;0, 1, 0)</f>
        <v/>
      </c>
      <c r="O166" s="3">
        <f>IF(J166&lt;0, 1, 0)</f>
        <v/>
      </c>
      <c r="P166" s="3">
        <f>SUM($J$3:J166)</f>
        <v/>
      </c>
      <c r="Q166" s="3">
        <f>P166/METRICS!$C$14*100</f>
        <v/>
      </c>
      <c r="R166" s="3">
        <f>METRICS!$C$14+P166</f>
        <v/>
      </c>
      <c r="S166" s="3">
        <f>MAX($R$3:R166)</f>
        <v/>
      </c>
      <c r="T166" s="3">
        <f>R166-S166</f>
        <v/>
      </c>
      <c r="U166" s="3">
        <f>(R166-S166)/S166*100</f>
        <v/>
      </c>
      <c r="V166" s="3">
        <f>IF(K166&lt;0, (K166/100)^2, 0)</f>
        <v/>
      </c>
    </row>
    <row r="167">
      <c r="A167" s="3">
        <f>TEXT(165, """T""0000")</f>
        <v/>
      </c>
      <c r="B167" s="3">
        <f>RAW_INPUT!A167</f>
        <v/>
      </c>
      <c r="C167" s="3">
        <f>RAW_INPUT!B167</f>
        <v/>
      </c>
      <c r="D167" s="3">
        <f>RAW_INPUT!D167</f>
        <v/>
      </c>
      <c r="E167" s="3">
        <f>D167-C167</f>
        <v/>
      </c>
      <c r="F167" s="3">
        <f>RAW_INPUT!C167</f>
        <v/>
      </c>
      <c r="G167" s="3">
        <f>RAW_INPUT!E167</f>
        <v/>
      </c>
      <c r="H167" s="3">
        <f>I167/F167</f>
        <v/>
      </c>
      <c r="I167" s="3">
        <f>METRICS!$C$14 * 0.02</f>
        <v/>
      </c>
      <c r="J167" s="3">
        <f>(G167-F167)*H167</f>
        <v/>
      </c>
      <c r="K167" s="3">
        <f>(G167-F167)/F167*100</f>
        <v/>
      </c>
      <c r="L167" s="3">
        <f>RAW_INPUT!F167</f>
        <v/>
      </c>
      <c r="M167" s="3">
        <f>K167-L167</f>
        <v/>
      </c>
      <c r="N167" s="3">
        <f>IF(J167&gt;0, 1, 0)</f>
        <v/>
      </c>
      <c r="O167" s="3">
        <f>IF(J167&lt;0, 1, 0)</f>
        <v/>
      </c>
      <c r="P167" s="3">
        <f>SUM($J$3:J167)</f>
        <v/>
      </c>
      <c r="Q167" s="3">
        <f>P167/METRICS!$C$14*100</f>
        <v/>
      </c>
      <c r="R167" s="3">
        <f>METRICS!$C$14+P167</f>
        <v/>
      </c>
      <c r="S167" s="3">
        <f>MAX($R$3:R167)</f>
        <v/>
      </c>
      <c r="T167" s="3">
        <f>R167-S167</f>
        <v/>
      </c>
      <c r="U167" s="3">
        <f>(R167-S167)/S167*100</f>
        <v/>
      </c>
      <c r="V167" s="3">
        <f>IF(K167&lt;0, (K167/100)^2, 0)</f>
        <v/>
      </c>
    </row>
    <row r="168">
      <c r="A168" s="3">
        <f>TEXT(166, """T""0000")</f>
        <v/>
      </c>
      <c r="B168" s="3">
        <f>RAW_INPUT!A168</f>
        <v/>
      </c>
      <c r="C168" s="3">
        <f>RAW_INPUT!B168</f>
        <v/>
      </c>
      <c r="D168" s="3">
        <f>RAW_INPUT!D168</f>
        <v/>
      </c>
      <c r="E168" s="3">
        <f>D168-C168</f>
        <v/>
      </c>
      <c r="F168" s="3">
        <f>RAW_INPUT!C168</f>
        <v/>
      </c>
      <c r="G168" s="3">
        <f>RAW_INPUT!E168</f>
        <v/>
      </c>
      <c r="H168" s="3">
        <f>I168/F168</f>
        <v/>
      </c>
      <c r="I168" s="3">
        <f>METRICS!$C$14 * 0.02</f>
        <v/>
      </c>
      <c r="J168" s="3">
        <f>(G168-F168)*H168</f>
        <v/>
      </c>
      <c r="K168" s="3">
        <f>(G168-F168)/F168*100</f>
        <v/>
      </c>
      <c r="L168" s="3">
        <f>RAW_INPUT!F168</f>
        <v/>
      </c>
      <c r="M168" s="3">
        <f>K168-L168</f>
        <v/>
      </c>
      <c r="N168" s="3">
        <f>IF(J168&gt;0, 1, 0)</f>
        <v/>
      </c>
      <c r="O168" s="3">
        <f>IF(J168&lt;0, 1, 0)</f>
        <v/>
      </c>
      <c r="P168" s="3">
        <f>SUM($J$3:J168)</f>
        <v/>
      </c>
      <c r="Q168" s="3">
        <f>P168/METRICS!$C$14*100</f>
        <v/>
      </c>
      <c r="R168" s="3">
        <f>METRICS!$C$14+P168</f>
        <v/>
      </c>
      <c r="S168" s="3">
        <f>MAX($R$3:R168)</f>
        <v/>
      </c>
      <c r="T168" s="3">
        <f>R168-S168</f>
        <v/>
      </c>
      <c r="U168" s="3">
        <f>(R168-S168)/S168*100</f>
        <v/>
      </c>
      <c r="V168" s="3">
        <f>IF(K168&lt;0, (K168/100)^2, 0)</f>
        <v/>
      </c>
    </row>
    <row r="169">
      <c r="A169" s="3">
        <f>TEXT(167, """T""0000")</f>
        <v/>
      </c>
      <c r="B169" s="3">
        <f>RAW_INPUT!A169</f>
        <v/>
      </c>
      <c r="C169" s="3">
        <f>RAW_INPUT!B169</f>
        <v/>
      </c>
      <c r="D169" s="3">
        <f>RAW_INPUT!D169</f>
        <v/>
      </c>
      <c r="E169" s="3">
        <f>D169-C169</f>
        <v/>
      </c>
      <c r="F169" s="3">
        <f>RAW_INPUT!C169</f>
        <v/>
      </c>
      <c r="G169" s="3">
        <f>RAW_INPUT!E169</f>
        <v/>
      </c>
      <c r="H169" s="3">
        <f>I169/F169</f>
        <v/>
      </c>
      <c r="I169" s="3">
        <f>METRICS!$C$14 * 0.02</f>
        <v/>
      </c>
      <c r="J169" s="3">
        <f>(G169-F169)*H169</f>
        <v/>
      </c>
      <c r="K169" s="3">
        <f>(G169-F169)/F169*100</f>
        <v/>
      </c>
      <c r="L169" s="3">
        <f>RAW_INPUT!F169</f>
        <v/>
      </c>
      <c r="M169" s="3">
        <f>K169-L169</f>
        <v/>
      </c>
      <c r="N169" s="3">
        <f>IF(J169&gt;0, 1, 0)</f>
        <v/>
      </c>
      <c r="O169" s="3">
        <f>IF(J169&lt;0, 1, 0)</f>
        <v/>
      </c>
      <c r="P169" s="3">
        <f>SUM($J$3:J169)</f>
        <v/>
      </c>
      <c r="Q169" s="3">
        <f>P169/METRICS!$C$14*100</f>
        <v/>
      </c>
      <c r="R169" s="3">
        <f>METRICS!$C$14+P169</f>
        <v/>
      </c>
      <c r="S169" s="3">
        <f>MAX($R$3:R169)</f>
        <v/>
      </c>
      <c r="T169" s="3">
        <f>R169-S169</f>
        <v/>
      </c>
      <c r="U169" s="3">
        <f>(R169-S169)/S169*100</f>
        <v/>
      </c>
      <c r="V169" s="3">
        <f>IF(K169&lt;0, (K169/100)^2, 0)</f>
        <v/>
      </c>
    </row>
    <row r="170">
      <c r="A170" s="3">
        <f>TEXT(168, """T""0000")</f>
        <v/>
      </c>
      <c r="B170" s="3">
        <f>RAW_INPUT!A170</f>
        <v/>
      </c>
      <c r="C170" s="3">
        <f>RAW_INPUT!B170</f>
        <v/>
      </c>
      <c r="D170" s="3">
        <f>RAW_INPUT!D170</f>
        <v/>
      </c>
      <c r="E170" s="3">
        <f>D170-C170</f>
        <v/>
      </c>
      <c r="F170" s="3">
        <f>RAW_INPUT!C170</f>
        <v/>
      </c>
      <c r="G170" s="3">
        <f>RAW_INPUT!E170</f>
        <v/>
      </c>
      <c r="H170" s="3">
        <f>I170/F170</f>
        <v/>
      </c>
      <c r="I170" s="3">
        <f>METRICS!$C$14 * 0.02</f>
        <v/>
      </c>
      <c r="J170" s="3">
        <f>(G170-F170)*H170</f>
        <v/>
      </c>
      <c r="K170" s="3">
        <f>(G170-F170)/F170*100</f>
        <v/>
      </c>
      <c r="L170" s="3">
        <f>RAW_INPUT!F170</f>
        <v/>
      </c>
      <c r="M170" s="3">
        <f>K170-L170</f>
        <v/>
      </c>
      <c r="N170" s="3">
        <f>IF(J170&gt;0, 1, 0)</f>
        <v/>
      </c>
      <c r="O170" s="3">
        <f>IF(J170&lt;0, 1, 0)</f>
        <v/>
      </c>
      <c r="P170" s="3">
        <f>SUM($J$3:J170)</f>
        <v/>
      </c>
      <c r="Q170" s="3">
        <f>P170/METRICS!$C$14*100</f>
        <v/>
      </c>
      <c r="R170" s="3">
        <f>METRICS!$C$14+P170</f>
        <v/>
      </c>
      <c r="S170" s="3">
        <f>MAX($R$3:R170)</f>
        <v/>
      </c>
      <c r="T170" s="3">
        <f>R170-S170</f>
        <v/>
      </c>
      <c r="U170" s="3">
        <f>(R170-S170)/S170*100</f>
        <v/>
      </c>
      <c r="V170" s="3">
        <f>IF(K170&lt;0, (K170/100)^2, 0)</f>
        <v/>
      </c>
    </row>
    <row r="171">
      <c r="A171" s="3">
        <f>TEXT(169, """T""0000")</f>
        <v/>
      </c>
      <c r="B171" s="3">
        <f>RAW_INPUT!A171</f>
        <v/>
      </c>
      <c r="C171" s="3">
        <f>RAW_INPUT!B171</f>
        <v/>
      </c>
      <c r="D171" s="3">
        <f>RAW_INPUT!D171</f>
        <v/>
      </c>
      <c r="E171" s="3">
        <f>D171-C171</f>
        <v/>
      </c>
      <c r="F171" s="3">
        <f>RAW_INPUT!C171</f>
        <v/>
      </c>
      <c r="G171" s="3">
        <f>RAW_INPUT!E171</f>
        <v/>
      </c>
      <c r="H171" s="3">
        <f>I171/F171</f>
        <v/>
      </c>
      <c r="I171" s="3">
        <f>METRICS!$C$14 * 0.02</f>
        <v/>
      </c>
      <c r="J171" s="3">
        <f>(G171-F171)*H171</f>
        <v/>
      </c>
      <c r="K171" s="3">
        <f>(G171-F171)/F171*100</f>
        <v/>
      </c>
      <c r="L171" s="3">
        <f>RAW_INPUT!F171</f>
        <v/>
      </c>
      <c r="M171" s="3">
        <f>K171-L171</f>
        <v/>
      </c>
      <c r="N171" s="3">
        <f>IF(J171&gt;0, 1, 0)</f>
        <v/>
      </c>
      <c r="O171" s="3">
        <f>IF(J171&lt;0, 1, 0)</f>
        <v/>
      </c>
      <c r="P171" s="3">
        <f>SUM($J$3:J171)</f>
        <v/>
      </c>
      <c r="Q171" s="3">
        <f>P171/METRICS!$C$14*100</f>
        <v/>
      </c>
      <c r="R171" s="3">
        <f>METRICS!$C$14+P171</f>
        <v/>
      </c>
      <c r="S171" s="3">
        <f>MAX($R$3:R171)</f>
        <v/>
      </c>
      <c r="T171" s="3">
        <f>R171-S171</f>
        <v/>
      </c>
      <c r="U171" s="3">
        <f>(R171-S171)/S171*100</f>
        <v/>
      </c>
      <c r="V171" s="3">
        <f>IF(K171&lt;0, (K171/100)^2, 0)</f>
        <v/>
      </c>
    </row>
    <row r="172">
      <c r="A172" s="3">
        <f>TEXT(170, """T""0000")</f>
        <v/>
      </c>
      <c r="B172" s="3">
        <f>RAW_INPUT!A172</f>
        <v/>
      </c>
      <c r="C172" s="3">
        <f>RAW_INPUT!B172</f>
        <v/>
      </c>
      <c r="D172" s="3">
        <f>RAW_INPUT!D172</f>
        <v/>
      </c>
      <c r="E172" s="3">
        <f>D172-C172</f>
        <v/>
      </c>
      <c r="F172" s="3">
        <f>RAW_INPUT!C172</f>
        <v/>
      </c>
      <c r="G172" s="3">
        <f>RAW_INPUT!E172</f>
        <v/>
      </c>
      <c r="H172" s="3">
        <f>I172/F172</f>
        <v/>
      </c>
      <c r="I172" s="3">
        <f>METRICS!$C$14 * 0.02</f>
        <v/>
      </c>
      <c r="J172" s="3">
        <f>(G172-F172)*H172</f>
        <v/>
      </c>
      <c r="K172" s="3">
        <f>(G172-F172)/F172*100</f>
        <v/>
      </c>
      <c r="L172" s="3">
        <f>RAW_INPUT!F172</f>
        <v/>
      </c>
      <c r="M172" s="3">
        <f>K172-L172</f>
        <v/>
      </c>
      <c r="N172" s="3">
        <f>IF(J172&gt;0, 1, 0)</f>
        <v/>
      </c>
      <c r="O172" s="3">
        <f>IF(J172&lt;0, 1, 0)</f>
        <v/>
      </c>
      <c r="P172" s="3">
        <f>SUM($J$3:J172)</f>
        <v/>
      </c>
      <c r="Q172" s="3">
        <f>P172/METRICS!$C$14*100</f>
        <v/>
      </c>
      <c r="R172" s="3">
        <f>METRICS!$C$14+P172</f>
        <v/>
      </c>
      <c r="S172" s="3">
        <f>MAX($R$3:R172)</f>
        <v/>
      </c>
      <c r="T172" s="3">
        <f>R172-S172</f>
        <v/>
      </c>
      <c r="U172" s="3">
        <f>(R172-S172)/S172*100</f>
        <v/>
      </c>
      <c r="V172" s="3">
        <f>IF(K172&lt;0, (K172/100)^2, 0)</f>
        <v/>
      </c>
    </row>
    <row r="173">
      <c r="A173" s="3">
        <f>TEXT(171, """T""0000")</f>
        <v/>
      </c>
      <c r="B173" s="3">
        <f>RAW_INPUT!A173</f>
        <v/>
      </c>
      <c r="C173" s="3">
        <f>RAW_INPUT!B173</f>
        <v/>
      </c>
      <c r="D173" s="3">
        <f>RAW_INPUT!D173</f>
        <v/>
      </c>
      <c r="E173" s="3">
        <f>D173-C173</f>
        <v/>
      </c>
      <c r="F173" s="3">
        <f>RAW_INPUT!C173</f>
        <v/>
      </c>
      <c r="G173" s="3">
        <f>RAW_INPUT!E173</f>
        <v/>
      </c>
      <c r="H173" s="3">
        <f>I173/F173</f>
        <v/>
      </c>
      <c r="I173" s="3">
        <f>METRICS!$C$14 * 0.02</f>
        <v/>
      </c>
      <c r="J173" s="3">
        <f>(G173-F173)*H173</f>
        <v/>
      </c>
      <c r="K173" s="3">
        <f>(G173-F173)/F173*100</f>
        <v/>
      </c>
      <c r="L173" s="3">
        <f>RAW_INPUT!F173</f>
        <v/>
      </c>
      <c r="M173" s="3">
        <f>K173-L173</f>
        <v/>
      </c>
      <c r="N173" s="3">
        <f>IF(J173&gt;0, 1, 0)</f>
        <v/>
      </c>
      <c r="O173" s="3">
        <f>IF(J173&lt;0, 1, 0)</f>
        <v/>
      </c>
      <c r="P173" s="3">
        <f>SUM($J$3:J173)</f>
        <v/>
      </c>
      <c r="Q173" s="3">
        <f>P173/METRICS!$C$14*100</f>
        <v/>
      </c>
      <c r="R173" s="3">
        <f>METRICS!$C$14+P173</f>
        <v/>
      </c>
      <c r="S173" s="3">
        <f>MAX($R$3:R173)</f>
        <v/>
      </c>
      <c r="T173" s="3">
        <f>R173-S173</f>
        <v/>
      </c>
      <c r="U173" s="3">
        <f>(R173-S173)/S173*100</f>
        <v/>
      </c>
      <c r="V173" s="3">
        <f>IF(K173&lt;0, (K173/100)^2, 0)</f>
        <v/>
      </c>
    </row>
    <row r="174">
      <c r="A174" s="3">
        <f>TEXT(172, """T""0000")</f>
        <v/>
      </c>
      <c r="B174" s="3">
        <f>RAW_INPUT!A174</f>
        <v/>
      </c>
      <c r="C174" s="3">
        <f>RAW_INPUT!B174</f>
        <v/>
      </c>
      <c r="D174" s="3">
        <f>RAW_INPUT!D174</f>
        <v/>
      </c>
      <c r="E174" s="3">
        <f>D174-C174</f>
        <v/>
      </c>
      <c r="F174" s="3">
        <f>RAW_INPUT!C174</f>
        <v/>
      </c>
      <c r="G174" s="3">
        <f>RAW_INPUT!E174</f>
        <v/>
      </c>
      <c r="H174" s="3">
        <f>I174/F174</f>
        <v/>
      </c>
      <c r="I174" s="3">
        <f>METRICS!$C$14 * 0.02</f>
        <v/>
      </c>
      <c r="J174" s="3">
        <f>(G174-F174)*H174</f>
        <v/>
      </c>
      <c r="K174" s="3">
        <f>(G174-F174)/F174*100</f>
        <v/>
      </c>
      <c r="L174" s="3">
        <f>RAW_INPUT!F174</f>
        <v/>
      </c>
      <c r="M174" s="3">
        <f>K174-L174</f>
        <v/>
      </c>
      <c r="N174" s="3">
        <f>IF(J174&gt;0, 1, 0)</f>
        <v/>
      </c>
      <c r="O174" s="3">
        <f>IF(J174&lt;0, 1, 0)</f>
        <v/>
      </c>
      <c r="P174" s="3">
        <f>SUM($J$3:J174)</f>
        <v/>
      </c>
      <c r="Q174" s="3">
        <f>P174/METRICS!$C$14*100</f>
        <v/>
      </c>
      <c r="R174" s="3">
        <f>METRICS!$C$14+P174</f>
        <v/>
      </c>
      <c r="S174" s="3">
        <f>MAX($R$3:R174)</f>
        <v/>
      </c>
      <c r="T174" s="3">
        <f>R174-S174</f>
        <v/>
      </c>
      <c r="U174" s="3">
        <f>(R174-S174)/S174*100</f>
        <v/>
      </c>
      <c r="V174" s="3">
        <f>IF(K174&lt;0, (K174/100)^2, 0)</f>
        <v/>
      </c>
    </row>
    <row r="175">
      <c r="A175" s="3">
        <f>TEXT(173, """T""0000")</f>
        <v/>
      </c>
      <c r="B175" s="3">
        <f>RAW_INPUT!A175</f>
        <v/>
      </c>
      <c r="C175" s="3">
        <f>RAW_INPUT!B175</f>
        <v/>
      </c>
      <c r="D175" s="3">
        <f>RAW_INPUT!D175</f>
        <v/>
      </c>
      <c r="E175" s="3">
        <f>D175-C175</f>
        <v/>
      </c>
      <c r="F175" s="3">
        <f>RAW_INPUT!C175</f>
        <v/>
      </c>
      <c r="G175" s="3">
        <f>RAW_INPUT!E175</f>
        <v/>
      </c>
      <c r="H175" s="3">
        <f>I175/F175</f>
        <v/>
      </c>
      <c r="I175" s="3">
        <f>METRICS!$C$14 * 0.02</f>
        <v/>
      </c>
      <c r="J175" s="3">
        <f>(G175-F175)*H175</f>
        <v/>
      </c>
      <c r="K175" s="3">
        <f>(G175-F175)/F175*100</f>
        <v/>
      </c>
      <c r="L175" s="3">
        <f>RAW_INPUT!F175</f>
        <v/>
      </c>
      <c r="M175" s="3">
        <f>K175-L175</f>
        <v/>
      </c>
      <c r="N175" s="3">
        <f>IF(J175&gt;0, 1, 0)</f>
        <v/>
      </c>
      <c r="O175" s="3">
        <f>IF(J175&lt;0, 1, 0)</f>
        <v/>
      </c>
      <c r="P175" s="3">
        <f>SUM($J$3:J175)</f>
        <v/>
      </c>
      <c r="Q175" s="3">
        <f>P175/METRICS!$C$14*100</f>
        <v/>
      </c>
      <c r="R175" s="3">
        <f>METRICS!$C$14+P175</f>
        <v/>
      </c>
      <c r="S175" s="3">
        <f>MAX($R$3:R175)</f>
        <v/>
      </c>
      <c r="T175" s="3">
        <f>R175-S175</f>
        <v/>
      </c>
      <c r="U175" s="3">
        <f>(R175-S175)/S175*100</f>
        <v/>
      </c>
      <c r="V175" s="3">
        <f>IF(K175&lt;0, (K175/100)^2, 0)</f>
        <v/>
      </c>
    </row>
    <row r="176">
      <c r="A176" s="3">
        <f>TEXT(174, """T""0000")</f>
        <v/>
      </c>
      <c r="B176" s="3">
        <f>RAW_INPUT!A176</f>
        <v/>
      </c>
      <c r="C176" s="3">
        <f>RAW_INPUT!B176</f>
        <v/>
      </c>
      <c r="D176" s="3">
        <f>RAW_INPUT!D176</f>
        <v/>
      </c>
      <c r="E176" s="3">
        <f>D176-C176</f>
        <v/>
      </c>
      <c r="F176" s="3">
        <f>RAW_INPUT!C176</f>
        <v/>
      </c>
      <c r="G176" s="3">
        <f>RAW_INPUT!E176</f>
        <v/>
      </c>
      <c r="H176" s="3">
        <f>I176/F176</f>
        <v/>
      </c>
      <c r="I176" s="3">
        <f>METRICS!$C$14 * 0.02</f>
        <v/>
      </c>
      <c r="J176" s="3">
        <f>(G176-F176)*H176</f>
        <v/>
      </c>
      <c r="K176" s="3">
        <f>(G176-F176)/F176*100</f>
        <v/>
      </c>
      <c r="L176" s="3">
        <f>RAW_INPUT!F176</f>
        <v/>
      </c>
      <c r="M176" s="3">
        <f>K176-L176</f>
        <v/>
      </c>
      <c r="N176" s="3">
        <f>IF(J176&gt;0, 1, 0)</f>
        <v/>
      </c>
      <c r="O176" s="3">
        <f>IF(J176&lt;0, 1, 0)</f>
        <v/>
      </c>
      <c r="P176" s="3">
        <f>SUM($J$3:J176)</f>
        <v/>
      </c>
      <c r="Q176" s="3">
        <f>P176/METRICS!$C$14*100</f>
        <v/>
      </c>
      <c r="R176" s="3">
        <f>METRICS!$C$14+P176</f>
        <v/>
      </c>
      <c r="S176" s="3">
        <f>MAX($R$3:R176)</f>
        <v/>
      </c>
      <c r="T176" s="3">
        <f>R176-S176</f>
        <v/>
      </c>
      <c r="U176" s="3">
        <f>(R176-S176)/S176*100</f>
        <v/>
      </c>
      <c r="V176" s="3">
        <f>IF(K176&lt;0, (K176/100)^2, 0)</f>
        <v/>
      </c>
    </row>
    <row r="177">
      <c r="A177" s="3">
        <f>TEXT(175, """T""0000")</f>
        <v/>
      </c>
      <c r="B177" s="3">
        <f>RAW_INPUT!A177</f>
        <v/>
      </c>
      <c r="C177" s="3">
        <f>RAW_INPUT!B177</f>
        <v/>
      </c>
      <c r="D177" s="3">
        <f>RAW_INPUT!D177</f>
        <v/>
      </c>
      <c r="E177" s="3">
        <f>D177-C177</f>
        <v/>
      </c>
      <c r="F177" s="3">
        <f>RAW_INPUT!C177</f>
        <v/>
      </c>
      <c r="G177" s="3">
        <f>RAW_INPUT!E177</f>
        <v/>
      </c>
      <c r="H177" s="3">
        <f>I177/F177</f>
        <v/>
      </c>
      <c r="I177" s="3">
        <f>METRICS!$C$14 * 0.02</f>
        <v/>
      </c>
      <c r="J177" s="3">
        <f>(G177-F177)*H177</f>
        <v/>
      </c>
      <c r="K177" s="3">
        <f>(G177-F177)/F177*100</f>
        <v/>
      </c>
      <c r="L177" s="3">
        <f>RAW_INPUT!F177</f>
        <v/>
      </c>
      <c r="M177" s="3">
        <f>K177-L177</f>
        <v/>
      </c>
      <c r="N177" s="3">
        <f>IF(J177&gt;0, 1, 0)</f>
        <v/>
      </c>
      <c r="O177" s="3">
        <f>IF(J177&lt;0, 1, 0)</f>
        <v/>
      </c>
      <c r="P177" s="3">
        <f>SUM($J$3:J177)</f>
        <v/>
      </c>
      <c r="Q177" s="3">
        <f>P177/METRICS!$C$14*100</f>
        <v/>
      </c>
      <c r="R177" s="3">
        <f>METRICS!$C$14+P177</f>
        <v/>
      </c>
      <c r="S177" s="3">
        <f>MAX($R$3:R177)</f>
        <v/>
      </c>
      <c r="T177" s="3">
        <f>R177-S177</f>
        <v/>
      </c>
      <c r="U177" s="3">
        <f>(R177-S177)/S177*100</f>
        <v/>
      </c>
      <c r="V177" s="3">
        <f>IF(K177&lt;0, (K177/100)^2, 0)</f>
        <v/>
      </c>
    </row>
    <row r="178">
      <c r="A178" s="3">
        <f>TEXT(176, """T""0000")</f>
        <v/>
      </c>
      <c r="B178" s="3">
        <f>RAW_INPUT!A178</f>
        <v/>
      </c>
      <c r="C178" s="3">
        <f>RAW_INPUT!B178</f>
        <v/>
      </c>
      <c r="D178" s="3">
        <f>RAW_INPUT!D178</f>
        <v/>
      </c>
      <c r="E178" s="3">
        <f>D178-C178</f>
        <v/>
      </c>
      <c r="F178" s="3">
        <f>RAW_INPUT!C178</f>
        <v/>
      </c>
      <c r="G178" s="3">
        <f>RAW_INPUT!E178</f>
        <v/>
      </c>
      <c r="H178" s="3">
        <f>I178/F178</f>
        <v/>
      </c>
      <c r="I178" s="3">
        <f>METRICS!$C$14 * 0.02</f>
        <v/>
      </c>
      <c r="J178" s="3">
        <f>(G178-F178)*H178</f>
        <v/>
      </c>
      <c r="K178" s="3">
        <f>(G178-F178)/F178*100</f>
        <v/>
      </c>
      <c r="L178" s="3">
        <f>RAW_INPUT!F178</f>
        <v/>
      </c>
      <c r="M178" s="3">
        <f>K178-L178</f>
        <v/>
      </c>
      <c r="N178" s="3">
        <f>IF(J178&gt;0, 1, 0)</f>
        <v/>
      </c>
      <c r="O178" s="3">
        <f>IF(J178&lt;0, 1, 0)</f>
        <v/>
      </c>
      <c r="P178" s="3">
        <f>SUM($J$3:J178)</f>
        <v/>
      </c>
      <c r="Q178" s="3">
        <f>P178/METRICS!$C$14*100</f>
        <v/>
      </c>
      <c r="R178" s="3">
        <f>METRICS!$C$14+P178</f>
        <v/>
      </c>
      <c r="S178" s="3">
        <f>MAX($R$3:R178)</f>
        <v/>
      </c>
      <c r="T178" s="3">
        <f>R178-S178</f>
        <v/>
      </c>
      <c r="U178" s="3">
        <f>(R178-S178)/S178*100</f>
        <v/>
      </c>
      <c r="V178" s="3">
        <f>IF(K178&lt;0, (K178/100)^2, 0)</f>
        <v/>
      </c>
    </row>
    <row r="179">
      <c r="A179" s="3">
        <f>TEXT(177, """T""0000")</f>
        <v/>
      </c>
      <c r="B179" s="3">
        <f>RAW_INPUT!A179</f>
        <v/>
      </c>
      <c r="C179" s="3">
        <f>RAW_INPUT!B179</f>
        <v/>
      </c>
      <c r="D179" s="3">
        <f>RAW_INPUT!D179</f>
        <v/>
      </c>
      <c r="E179" s="3">
        <f>D179-C179</f>
        <v/>
      </c>
      <c r="F179" s="3">
        <f>RAW_INPUT!C179</f>
        <v/>
      </c>
      <c r="G179" s="3">
        <f>RAW_INPUT!E179</f>
        <v/>
      </c>
      <c r="H179" s="3">
        <f>I179/F179</f>
        <v/>
      </c>
      <c r="I179" s="3">
        <f>METRICS!$C$14 * 0.02</f>
        <v/>
      </c>
      <c r="J179" s="3">
        <f>(G179-F179)*H179</f>
        <v/>
      </c>
      <c r="K179" s="3">
        <f>(G179-F179)/F179*100</f>
        <v/>
      </c>
      <c r="L179" s="3">
        <f>RAW_INPUT!F179</f>
        <v/>
      </c>
      <c r="M179" s="3">
        <f>K179-L179</f>
        <v/>
      </c>
      <c r="N179" s="3">
        <f>IF(J179&gt;0, 1, 0)</f>
        <v/>
      </c>
      <c r="O179" s="3">
        <f>IF(J179&lt;0, 1, 0)</f>
        <v/>
      </c>
      <c r="P179" s="3">
        <f>SUM($J$3:J179)</f>
        <v/>
      </c>
      <c r="Q179" s="3">
        <f>P179/METRICS!$C$14*100</f>
        <v/>
      </c>
      <c r="R179" s="3">
        <f>METRICS!$C$14+P179</f>
        <v/>
      </c>
      <c r="S179" s="3">
        <f>MAX($R$3:R179)</f>
        <v/>
      </c>
      <c r="T179" s="3">
        <f>R179-S179</f>
        <v/>
      </c>
      <c r="U179" s="3">
        <f>(R179-S179)/S179*100</f>
        <v/>
      </c>
      <c r="V179" s="3">
        <f>IF(K179&lt;0, (K179/100)^2, 0)</f>
        <v/>
      </c>
    </row>
    <row r="180">
      <c r="A180" s="3">
        <f>TEXT(178, """T""0000")</f>
        <v/>
      </c>
      <c r="B180" s="3">
        <f>RAW_INPUT!A180</f>
        <v/>
      </c>
      <c r="C180" s="3">
        <f>RAW_INPUT!B180</f>
        <v/>
      </c>
      <c r="D180" s="3">
        <f>RAW_INPUT!D180</f>
        <v/>
      </c>
      <c r="E180" s="3">
        <f>D180-C180</f>
        <v/>
      </c>
      <c r="F180" s="3">
        <f>RAW_INPUT!C180</f>
        <v/>
      </c>
      <c r="G180" s="3">
        <f>RAW_INPUT!E180</f>
        <v/>
      </c>
      <c r="H180" s="3">
        <f>I180/F180</f>
        <v/>
      </c>
      <c r="I180" s="3">
        <f>METRICS!$C$14 * 0.02</f>
        <v/>
      </c>
      <c r="J180" s="3">
        <f>(G180-F180)*H180</f>
        <v/>
      </c>
      <c r="K180" s="3">
        <f>(G180-F180)/F180*100</f>
        <v/>
      </c>
      <c r="L180" s="3">
        <f>RAW_INPUT!F180</f>
        <v/>
      </c>
      <c r="M180" s="3">
        <f>K180-L180</f>
        <v/>
      </c>
      <c r="N180" s="3">
        <f>IF(J180&gt;0, 1, 0)</f>
        <v/>
      </c>
      <c r="O180" s="3">
        <f>IF(J180&lt;0, 1, 0)</f>
        <v/>
      </c>
      <c r="P180" s="3">
        <f>SUM($J$3:J180)</f>
        <v/>
      </c>
      <c r="Q180" s="3">
        <f>P180/METRICS!$C$14*100</f>
        <v/>
      </c>
      <c r="R180" s="3">
        <f>METRICS!$C$14+P180</f>
        <v/>
      </c>
      <c r="S180" s="3">
        <f>MAX($R$3:R180)</f>
        <v/>
      </c>
      <c r="T180" s="3">
        <f>R180-S180</f>
        <v/>
      </c>
      <c r="U180" s="3">
        <f>(R180-S180)/S180*100</f>
        <v/>
      </c>
      <c r="V180" s="3">
        <f>IF(K180&lt;0, (K180/100)^2, 0)</f>
        <v/>
      </c>
    </row>
    <row r="181">
      <c r="A181" s="3">
        <f>TEXT(179, """T""0000")</f>
        <v/>
      </c>
      <c r="B181" s="3">
        <f>RAW_INPUT!A181</f>
        <v/>
      </c>
      <c r="C181" s="3">
        <f>RAW_INPUT!B181</f>
        <v/>
      </c>
      <c r="D181" s="3">
        <f>RAW_INPUT!D181</f>
        <v/>
      </c>
      <c r="E181" s="3">
        <f>D181-C181</f>
        <v/>
      </c>
      <c r="F181" s="3">
        <f>RAW_INPUT!C181</f>
        <v/>
      </c>
      <c r="G181" s="3">
        <f>RAW_INPUT!E181</f>
        <v/>
      </c>
      <c r="H181" s="3">
        <f>I181/F181</f>
        <v/>
      </c>
      <c r="I181" s="3">
        <f>METRICS!$C$14 * 0.02</f>
        <v/>
      </c>
      <c r="J181" s="3">
        <f>(G181-F181)*H181</f>
        <v/>
      </c>
      <c r="K181" s="3">
        <f>(G181-F181)/F181*100</f>
        <v/>
      </c>
      <c r="L181" s="3">
        <f>RAW_INPUT!F181</f>
        <v/>
      </c>
      <c r="M181" s="3">
        <f>K181-L181</f>
        <v/>
      </c>
      <c r="N181" s="3">
        <f>IF(J181&gt;0, 1, 0)</f>
        <v/>
      </c>
      <c r="O181" s="3">
        <f>IF(J181&lt;0, 1, 0)</f>
        <v/>
      </c>
      <c r="P181" s="3">
        <f>SUM($J$3:J181)</f>
        <v/>
      </c>
      <c r="Q181" s="3">
        <f>P181/METRICS!$C$14*100</f>
        <v/>
      </c>
      <c r="R181" s="3">
        <f>METRICS!$C$14+P181</f>
        <v/>
      </c>
      <c r="S181" s="3">
        <f>MAX($R$3:R181)</f>
        <v/>
      </c>
      <c r="T181" s="3">
        <f>R181-S181</f>
        <v/>
      </c>
      <c r="U181" s="3">
        <f>(R181-S181)/S181*100</f>
        <v/>
      </c>
      <c r="V181" s="3">
        <f>IF(K181&lt;0, (K181/100)^2, 0)</f>
        <v/>
      </c>
    </row>
    <row r="182">
      <c r="A182" s="3">
        <f>TEXT(180, """T""0000")</f>
        <v/>
      </c>
      <c r="B182" s="3">
        <f>RAW_INPUT!A182</f>
        <v/>
      </c>
      <c r="C182" s="3">
        <f>RAW_INPUT!B182</f>
        <v/>
      </c>
      <c r="D182" s="3">
        <f>RAW_INPUT!D182</f>
        <v/>
      </c>
      <c r="E182" s="3">
        <f>D182-C182</f>
        <v/>
      </c>
      <c r="F182" s="3">
        <f>RAW_INPUT!C182</f>
        <v/>
      </c>
      <c r="G182" s="3">
        <f>RAW_INPUT!E182</f>
        <v/>
      </c>
      <c r="H182" s="3">
        <f>I182/F182</f>
        <v/>
      </c>
      <c r="I182" s="3">
        <f>METRICS!$C$14 * 0.02</f>
        <v/>
      </c>
      <c r="J182" s="3">
        <f>(G182-F182)*H182</f>
        <v/>
      </c>
      <c r="K182" s="3">
        <f>(G182-F182)/F182*100</f>
        <v/>
      </c>
      <c r="L182" s="3">
        <f>RAW_INPUT!F182</f>
        <v/>
      </c>
      <c r="M182" s="3">
        <f>K182-L182</f>
        <v/>
      </c>
      <c r="N182" s="3">
        <f>IF(J182&gt;0, 1, 0)</f>
        <v/>
      </c>
      <c r="O182" s="3">
        <f>IF(J182&lt;0, 1, 0)</f>
        <v/>
      </c>
      <c r="P182" s="3">
        <f>SUM($J$3:J182)</f>
        <v/>
      </c>
      <c r="Q182" s="3">
        <f>P182/METRICS!$C$14*100</f>
        <v/>
      </c>
      <c r="R182" s="3">
        <f>METRICS!$C$14+P182</f>
        <v/>
      </c>
      <c r="S182" s="3">
        <f>MAX($R$3:R182)</f>
        <v/>
      </c>
      <c r="T182" s="3">
        <f>R182-S182</f>
        <v/>
      </c>
      <c r="U182" s="3">
        <f>(R182-S182)/S182*100</f>
        <v/>
      </c>
      <c r="V182" s="3">
        <f>IF(K182&lt;0, (K182/100)^2, 0)</f>
        <v/>
      </c>
    </row>
    <row r="183">
      <c r="A183" s="3">
        <f>TEXT(181, """T""0000")</f>
        <v/>
      </c>
      <c r="B183" s="3">
        <f>RAW_INPUT!A183</f>
        <v/>
      </c>
      <c r="C183" s="3">
        <f>RAW_INPUT!B183</f>
        <v/>
      </c>
      <c r="D183" s="3">
        <f>RAW_INPUT!D183</f>
        <v/>
      </c>
      <c r="E183" s="3">
        <f>D183-C183</f>
        <v/>
      </c>
      <c r="F183" s="3">
        <f>RAW_INPUT!C183</f>
        <v/>
      </c>
      <c r="G183" s="3">
        <f>RAW_INPUT!E183</f>
        <v/>
      </c>
      <c r="H183" s="3">
        <f>I183/F183</f>
        <v/>
      </c>
      <c r="I183" s="3">
        <f>METRICS!$C$14 * 0.02</f>
        <v/>
      </c>
      <c r="J183" s="3">
        <f>(G183-F183)*H183</f>
        <v/>
      </c>
      <c r="K183" s="3">
        <f>(G183-F183)/F183*100</f>
        <v/>
      </c>
      <c r="L183" s="3">
        <f>RAW_INPUT!F183</f>
        <v/>
      </c>
      <c r="M183" s="3">
        <f>K183-L183</f>
        <v/>
      </c>
      <c r="N183" s="3">
        <f>IF(J183&gt;0, 1, 0)</f>
        <v/>
      </c>
      <c r="O183" s="3">
        <f>IF(J183&lt;0, 1, 0)</f>
        <v/>
      </c>
      <c r="P183" s="3">
        <f>SUM($J$3:J183)</f>
        <v/>
      </c>
      <c r="Q183" s="3">
        <f>P183/METRICS!$C$14*100</f>
        <v/>
      </c>
      <c r="R183" s="3">
        <f>METRICS!$C$14+P183</f>
        <v/>
      </c>
      <c r="S183" s="3">
        <f>MAX($R$3:R183)</f>
        <v/>
      </c>
      <c r="T183" s="3">
        <f>R183-S183</f>
        <v/>
      </c>
      <c r="U183" s="3">
        <f>(R183-S183)/S183*100</f>
        <v/>
      </c>
      <c r="V183" s="3">
        <f>IF(K183&lt;0, (K183/100)^2, 0)</f>
        <v/>
      </c>
    </row>
    <row r="184">
      <c r="A184" s="3">
        <f>TEXT(182, """T""0000")</f>
        <v/>
      </c>
      <c r="B184" s="3">
        <f>RAW_INPUT!A184</f>
        <v/>
      </c>
      <c r="C184" s="3">
        <f>RAW_INPUT!B184</f>
        <v/>
      </c>
      <c r="D184" s="3">
        <f>RAW_INPUT!D184</f>
        <v/>
      </c>
      <c r="E184" s="3">
        <f>D184-C184</f>
        <v/>
      </c>
      <c r="F184" s="3">
        <f>RAW_INPUT!C184</f>
        <v/>
      </c>
      <c r="G184" s="3">
        <f>RAW_INPUT!E184</f>
        <v/>
      </c>
      <c r="H184" s="3">
        <f>I184/F184</f>
        <v/>
      </c>
      <c r="I184" s="3">
        <f>METRICS!$C$14 * 0.02</f>
        <v/>
      </c>
      <c r="J184" s="3">
        <f>(G184-F184)*H184</f>
        <v/>
      </c>
      <c r="K184" s="3">
        <f>(G184-F184)/F184*100</f>
        <v/>
      </c>
      <c r="L184" s="3">
        <f>RAW_INPUT!F184</f>
        <v/>
      </c>
      <c r="M184" s="3">
        <f>K184-L184</f>
        <v/>
      </c>
      <c r="N184" s="3">
        <f>IF(J184&gt;0, 1, 0)</f>
        <v/>
      </c>
      <c r="O184" s="3">
        <f>IF(J184&lt;0, 1, 0)</f>
        <v/>
      </c>
      <c r="P184" s="3">
        <f>SUM($J$3:J184)</f>
        <v/>
      </c>
      <c r="Q184" s="3">
        <f>P184/METRICS!$C$14*100</f>
        <v/>
      </c>
      <c r="R184" s="3">
        <f>METRICS!$C$14+P184</f>
        <v/>
      </c>
      <c r="S184" s="3">
        <f>MAX($R$3:R184)</f>
        <v/>
      </c>
      <c r="T184" s="3">
        <f>R184-S184</f>
        <v/>
      </c>
      <c r="U184" s="3">
        <f>(R184-S184)/S184*100</f>
        <v/>
      </c>
      <c r="V184" s="3">
        <f>IF(K184&lt;0, (K184/100)^2, 0)</f>
        <v/>
      </c>
    </row>
    <row r="185">
      <c r="A185" s="3">
        <f>TEXT(183, """T""0000")</f>
        <v/>
      </c>
      <c r="B185" s="3">
        <f>RAW_INPUT!A185</f>
        <v/>
      </c>
      <c r="C185" s="3">
        <f>RAW_INPUT!B185</f>
        <v/>
      </c>
      <c r="D185" s="3">
        <f>RAW_INPUT!D185</f>
        <v/>
      </c>
      <c r="E185" s="3">
        <f>D185-C185</f>
        <v/>
      </c>
      <c r="F185" s="3">
        <f>RAW_INPUT!C185</f>
        <v/>
      </c>
      <c r="G185" s="3">
        <f>RAW_INPUT!E185</f>
        <v/>
      </c>
      <c r="H185" s="3">
        <f>I185/F185</f>
        <v/>
      </c>
      <c r="I185" s="3">
        <f>METRICS!$C$14 * 0.02</f>
        <v/>
      </c>
      <c r="J185" s="3">
        <f>(G185-F185)*H185</f>
        <v/>
      </c>
      <c r="K185" s="3">
        <f>(G185-F185)/F185*100</f>
        <v/>
      </c>
      <c r="L185" s="3">
        <f>RAW_INPUT!F185</f>
        <v/>
      </c>
      <c r="M185" s="3">
        <f>K185-L185</f>
        <v/>
      </c>
      <c r="N185" s="3">
        <f>IF(J185&gt;0, 1, 0)</f>
        <v/>
      </c>
      <c r="O185" s="3">
        <f>IF(J185&lt;0, 1, 0)</f>
        <v/>
      </c>
      <c r="P185" s="3">
        <f>SUM($J$3:J185)</f>
        <v/>
      </c>
      <c r="Q185" s="3">
        <f>P185/METRICS!$C$14*100</f>
        <v/>
      </c>
      <c r="R185" s="3">
        <f>METRICS!$C$14+P185</f>
        <v/>
      </c>
      <c r="S185" s="3">
        <f>MAX($R$3:R185)</f>
        <v/>
      </c>
      <c r="T185" s="3">
        <f>R185-S185</f>
        <v/>
      </c>
      <c r="U185" s="3">
        <f>(R185-S185)/S185*100</f>
        <v/>
      </c>
      <c r="V185" s="3">
        <f>IF(K185&lt;0, (K185/100)^2, 0)</f>
        <v/>
      </c>
    </row>
    <row r="186">
      <c r="A186" s="3">
        <f>TEXT(184, """T""0000")</f>
        <v/>
      </c>
      <c r="B186" s="3">
        <f>RAW_INPUT!A186</f>
        <v/>
      </c>
      <c r="C186" s="3">
        <f>RAW_INPUT!B186</f>
        <v/>
      </c>
      <c r="D186" s="3">
        <f>RAW_INPUT!D186</f>
        <v/>
      </c>
      <c r="E186" s="3">
        <f>D186-C186</f>
        <v/>
      </c>
      <c r="F186" s="3">
        <f>RAW_INPUT!C186</f>
        <v/>
      </c>
      <c r="G186" s="3">
        <f>RAW_INPUT!E186</f>
        <v/>
      </c>
      <c r="H186" s="3">
        <f>I186/F186</f>
        <v/>
      </c>
      <c r="I186" s="3">
        <f>METRICS!$C$14 * 0.02</f>
        <v/>
      </c>
      <c r="J186" s="3">
        <f>(G186-F186)*H186</f>
        <v/>
      </c>
      <c r="K186" s="3">
        <f>(G186-F186)/F186*100</f>
        <v/>
      </c>
      <c r="L186" s="3">
        <f>RAW_INPUT!F186</f>
        <v/>
      </c>
      <c r="M186" s="3">
        <f>K186-L186</f>
        <v/>
      </c>
      <c r="N186" s="3">
        <f>IF(J186&gt;0, 1, 0)</f>
        <v/>
      </c>
      <c r="O186" s="3">
        <f>IF(J186&lt;0, 1, 0)</f>
        <v/>
      </c>
      <c r="P186" s="3">
        <f>SUM($J$3:J186)</f>
        <v/>
      </c>
      <c r="Q186" s="3">
        <f>P186/METRICS!$C$14*100</f>
        <v/>
      </c>
      <c r="R186" s="3">
        <f>METRICS!$C$14+P186</f>
        <v/>
      </c>
      <c r="S186" s="3">
        <f>MAX($R$3:R186)</f>
        <v/>
      </c>
      <c r="T186" s="3">
        <f>R186-S186</f>
        <v/>
      </c>
      <c r="U186" s="3">
        <f>(R186-S186)/S186*100</f>
        <v/>
      </c>
      <c r="V186" s="3">
        <f>IF(K186&lt;0, (K186/100)^2, 0)</f>
        <v/>
      </c>
    </row>
    <row r="187">
      <c r="A187" s="3">
        <f>TEXT(185, """T""0000")</f>
        <v/>
      </c>
      <c r="B187" s="3">
        <f>RAW_INPUT!A187</f>
        <v/>
      </c>
      <c r="C187" s="3">
        <f>RAW_INPUT!B187</f>
        <v/>
      </c>
      <c r="D187" s="3">
        <f>RAW_INPUT!D187</f>
        <v/>
      </c>
      <c r="E187" s="3">
        <f>D187-C187</f>
        <v/>
      </c>
      <c r="F187" s="3">
        <f>RAW_INPUT!C187</f>
        <v/>
      </c>
      <c r="G187" s="3">
        <f>RAW_INPUT!E187</f>
        <v/>
      </c>
      <c r="H187" s="3">
        <f>I187/F187</f>
        <v/>
      </c>
      <c r="I187" s="3">
        <f>METRICS!$C$14 * 0.02</f>
        <v/>
      </c>
      <c r="J187" s="3">
        <f>(G187-F187)*H187</f>
        <v/>
      </c>
      <c r="K187" s="3">
        <f>(G187-F187)/F187*100</f>
        <v/>
      </c>
      <c r="L187" s="3">
        <f>RAW_INPUT!F187</f>
        <v/>
      </c>
      <c r="M187" s="3">
        <f>K187-L187</f>
        <v/>
      </c>
      <c r="N187" s="3">
        <f>IF(J187&gt;0, 1, 0)</f>
        <v/>
      </c>
      <c r="O187" s="3">
        <f>IF(J187&lt;0, 1, 0)</f>
        <v/>
      </c>
      <c r="P187" s="3">
        <f>SUM($J$3:J187)</f>
        <v/>
      </c>
      <c r="Q187" s="3">
        <f>P187/METRICS!$C$14*100</f>
        <v/>
      </c>
      <c r="R187" s="3">
        <f>METRICS!$C$14+P187</f>
        <v/>
      </c>
      <c r="S187" s="3">
        <f>MAX($R$3:R187)</f>
        <v/>
      </c>
      <c r="T187" s="3">
        <f>R187-S187</f>
        <v/>
      </c>
      <c r="U187" s="3">
        <f>(R187-S187)/S187*100</f>
        <v/>
      </c>
      <c r="V187" s="3">
        <f>IF(K187&lt;0, (K187/100)^2, 0)</f>
        <v/>
      </c>
    </row>
    <row r="188">
      <c r="A188" s="3">
        <f>TEXT(186, """T""0000")</f>
        <v/>
      </c>
      <c r="B188" s="3">
        <f>RAW_INPUT!A188</f>
        <v/>
      </c>
      <c r="C188" s="3">
        <f>RAW_INPUT!B188</f>
        <v/>
      </c>
      <c r="D188" s="3">
        <f>RAW_INPUT!D188</f>
        <v/>
      </c>
      <c r="E188" s="3">
        <f>D188-C188</f>
        <v/>
      </c>
      <c r="F188" s="3">
        <f>RAW_INPUT!C188</f>
        <v/>
      </c>
      <c r="G188" s="3">
        <f>RAW_INPUT!E188</f>
        <v/>
      </c>
      <c r="H188" s="3">
        <f>I188/F188</f>
        <v/>
      </c>
      <c r="I188" s="3">
        <f>METRICS!$C$14 * 0.02</f>
        <v/>
      </c>
      <c r="J188" s="3">
        <f>(G188-F188)*H188</f>
        <v/>
      </c>
      <c r="K188" s="3">
        <f>(G188-F188)/F188*100</f>
        <v/>
      </c>
      <c r="L188" s="3">
        <f>RAW_INPUT!F188</f>
        <v/>
      </c>
      <c r="M188" s="3">
        <f>K188-L188</f>
        <v/>
      </c>
      <c r="N188" s="3">
        <f>IF(J188&gt;0, 1, 0)</f>
        <v/>
      </c>
      <c r="O188" s="3">
        <f>IF(J188&lt;0, 1, 0)</f>
        <v/>
      </c>
      <c r="P188" s="3">
        <f>SUM($J$3:J188)</f>
        <v/>
      </c>
      <c r="Q188" s="3">
        <f>P188/METRICS!$C$14*100</f>
        <v/>
      </c>
      <c r="R188" s="3">
        <f>METRICS!$C$14+P188</f>
        <v/>
      </c>
      <c r="S188" s="3">
        <f>MAX($R$3:R188)</f>
        <v/>
      </c>
      <c r="T188" s="3">
        <f>R188-S188</f>
        <v/>
      </c>
      <c r="U188" s="3">
        <f>(R188-S188)/S188*100</f>
        <v/>
      </c>
      <c r="V188" s="3">
        <f>IF(K188&lt;0, (K188/100)^2, 0)</f>
        <v/>
      </c>
    </row>
    <row r="189">
      <c r="A189" s="3">
        <f>TEXT(187, """T""0000")</f>
        <v/>
      </c>
      <c r="B189" s="3">
        <f>RAW_INPUT!A189</f>
        <v/>
      </c>
      <c r="C189" s="3">
        <f>RAW_INPUT!B189</f>
        <v/>
      </c>
      <c r="D189" s="3">
        <f>RAW_INPUT!D189</f>
        <v/>
      </c>
      <c r="E189" s="3">
        <f>D189-C189</f>
        <v/>
      </c>
      <c r="F189" s="3">
        <f>RAW_INPUT!C189</f>
        <v/>
      </c>
      <c r="G189" s="3">
        <f>RAW_INPUT!E189</f>
        <v/>
      </c>
      <c r="H189" s="3">
        <f>I189/F189</f>
        <v/>
      </c>
      <c r="I189" s="3">
        <f>METRICS!$C$14 * 0.02</f>
        <v/>
      </c>
      <c r="J189" s="3">
        <f>(G189-F189)*H189</f>
        <v/>
      </c>
      <c r="K189" s="3">
        <f>(G189-F189)/F189*100</f>
        <v/>
      </c>
      <c r="L189" s="3">
        <f>RAW_INPUT!F189</f>
        <v/>
      </c>
      <c r="M189" s="3">
        <f>K189-L189</f>
        <v/>
      </c>
      <c r="N189" s="3">
        <f>IF(J189&gt;0, 1, 0)</f>
        <v/>
      </c>
      <c r="O189" s="3">
        <f>IF(J189&lt;0, 1, 0)</f>
        <v/>
      </c>
      <c r="P189" s="3">
        <f>SUM($J$3:J189)</f>
        <v/>
      </c>
      <c r="Q189" s="3">
        <f>P189/METRICS!$C$14*100</f>
        <v/>
      </c>
      <c r="R189" s="3">
        <f>METRICS!$C$14+P189</f>
        <v/>
      </c>
      <c r="S189" s="3">
        <f>MAX($R$3:R189)</f>
        <v/>
      </c>
      <c r="T189" s="3">
        <f>R189-S189</f>
        <v/>
      </c>
      <c r="U189" s="3">
        <f>(R189-S189)/S189*100</f>
        <v/>
      </c>
      <c r="V189" s="3">
        <f>IF(K189&lt;0, (K189/100)^2, 0)</f>
        <v/>
      </c>
    </row>
    <row r="190">
      <c r="A190" s="3">
        <f>TEXT(188, """T""0000")</f>
        <v/>
      </c>
      <c r="B190" s="3">
        <f>RAW_INPUT!A190</f>
        <v/>
      </c>
      <c r="C190" s="3">
        <f>RAW_INPUT!B190</f>
        <v/>
      </c>
      <c r="D190" s="3">
        <f>RAW_INPUT!D190</f>
        <v/>
      </c>
      <c r="E190" s="3">
        <f>D190-C190</f>
        <v/>
      </c>
      <c r="F190" s="3">
        <f>RAW_INPUT!C190</f>
        <v/>
      </c>
      <c r="G190" s="3">
        <f>RAW_INPUT!E190</f>
        <v/>
      </c>
      <c r="H190" s="3">
        <f>I190/F190</f>
        <v/>
      </c>
      <c r="I190" s="3">
        <f>METRICS!$C$14 * 0.02</f>
        <v/>
      </c>
      <c r="J190" s="3">
        <f>(G190-F190)*H190</f>
        <v/>
      </c>
      <c r="K190" s="3">
        <f>(G190-F190)/F190*100</f>
        <v/>
      </c>
      <c r="L190" s="3">
        <f>RAW_INPUT!F190</f>
        <v/>
      </c>
      <c r="M190" s="3">
        <f>K190-L190</f>
        <v/>
      </c>
      <c r="N190" s="3">
        <f>IF(J190&gt;0, 1, 0)</f>
        <v/>
      </c>
      <c r="O190" s="3">
        <f>IF(J190&lt;0, 1, 0)</f>
        <v/>
      </c>
      <c r="P190" s="3">
        <f>SUM($J$3:J190)</f>
        <v/>
      </c>
      <c r="Q190" s="3">
        <f>P190/METRICS!$C$14*100</f>
        <v/>
      </c>
      <c r="R190" s="3">
        <f>METRICS!$C$14+P190</f>
        <v/>
      </c>
      <c r="S190" s="3">
        <f>MAX($R$3:R190)</f>
        <v/>
      </c>
      <c r="T190" s="3">
        <f>R190-S190</f>
        <v/>
      </c>
      <c r="U190" s="3">
        <f>(R190-S190)/S190*100</f>
        <v/>
      </c>
      <c r="V190" s="3">
        <f>IF(K190&lt;0, (K190/100)^2, 0)</f>
        <v/>
      </c>
    </row>
    <row r="191">
      <c r="A191" s="3">
        <f>TEXT(189, """T""0000")</f>
        <v/>
      </c>
      <c r="B191" s="3">
        <f>RAW_INPUT!A191</f>
        <v/>
      </c>
      <c r="C191" s="3">
        <f>RAW_INPUT!B191</f>
        <v/>
      </c>
      <c r="D191" s="3">
        <f>RAW_INPUT!D191</f>
        <v/>
      </c>
      <c r="E191" s="3">
        <f>D191-C191</f>
        <v/>
      </c>
      <c r="F191" s="3">
        <f>RAW_INPUT!C191</f>
        <v/>
      </c>
      <c r="G191" s="3">
        <f>RAW_INPUT!E191</f>
        <v/>
      </c>
      <c r="H191" s="3">
        <f>I191/F191</f>
        <v/>
      </c>
      <c r="I191" s="3">
        <f>METRICS!$C$14 * 0.02</f>
        <v/>
      </c>
      <c r="J191" s="3">
        <f>(G191-F191)*H191</f>
        <v/>
      </c>
      <c r="K191" s="3">
        <f>(G191-F191)/F191*100</f>
        <v/>
      </c>
      <c r="L191" s="3">
        <f>RAW_INPUT!F191</f>
        <v/>
      </c>
      <c r="M191" s="3">
        <f>K191-L191</f>
        <v/>
      </c>
      <c r="N191" s="3">
        <f>IF(J191&gt;0, 1, 0)</f>
        <v/>
      </c>
      <c r="O191" s="3">
        <f>IF(J191&lt;0, 1, 0)</f>
        <v/>
      </c>
      <c r="P191" s="3">
        <f>SUM($J$3:J191)</f>
        <v/>
      </c>
      <c r="Q191" s="3">
        <f>P191/METRICS!$C$14*100</f>
        <v/>
      </c>
      <c r="R191" s="3">
        <f>METRICS!$C$14+P191</f>
        <v/>
      </c>
      <c r="S191" s="3">
        <f>MAX($R$3:R191)</f>
        <v/>
      </c>
      <c r="T191" s="3">
        <f>R191-S191</f>
        <v/>
      </c>
      <c r="U191" s="3">
        <f>(R191-S191)/S191*100</f>
        <v/>
      </c>
      <c r="V191" s="3">
        <f>IF(K191&lt;0, (K191/100)^2, 0)</f>
        <v/>
      </c>
    </row>
    <row r="192">
      <c r="A192" s="3">
        <f>TEXT(190, """T""0000")</f>
        <v/>
      </c>
      <c r="B192" s="3">
        <f>RAW_INPUT!A192</f>
        <v/>
      </c>
      <c r="C192" s="3">
        <f>RAW_INPUT!B192</f>
        <v/>
      </c>
      <c r="D192" s="3">
        <f>RAW_INPUT!D192</f>
        <v/>
      </c>
      <c r="E192" s="3">
        <f>D192-C192</f>
        <v/>
      </c>
      <c r="F192" s="3">
        <f>RAW_INPUT!C192</f>
        <v/>
      </c>
      <c r="G192" s="3">
        <f>RAW_INPUT!E192</f>
        <v/>
      </c>
      <c r="H192" s="3">
        <f>I192/F192</f>
        <v/>
      </c>
      <c r="I192" s="3">
        <f>METRICS!$C$14 * 0.02</f>
        <v/>
      </c>
      <c r="J192" s="3">
        <f>(G192-F192)*H192</f>
        <v/>
      </c>
      <c r="K192" s="3">
        <f>(G192-F192)/F192*100</f>
        <v/>
      </c>
      <c r="L192" s="3">
        <f>RAW_INPUT!F192</f>
        <v/>
      </c>
      <c r="M192" s="3">
        <f>K192-L192</f>
        <v/>
      </c>
      <c r="N192" s="3">
        <f>IF(J192&gt;0, 1, 0)</f>
        <v/>
      </c>
      <c r="O192" s="3">
        <f>IF(J192&lt;0, 1, 0)</f>
        <v/>
      </c>
      <c r="P192" s="3">
        <f>SUM($J$3:J192)</f>
        <v/>
      </c>
      <c r="Q192" s="3">
        <f>P192/METRICS!$C$14*100</f>
        <v/>
      </c>
      <c r="R192" s="3">
        <f>METRICS!$C$14+P192</f>
        <v/>
      </c>
      <c r="S192" s="3">
        <f>MAX($R$3:R192)</f>
        <v/>
      </c>
      <c r="T192" s="3">
        <f>R192-S192</f>
        <v/>
      </c>
      <c r="U192" s="3">
        <f>(R192-S192)/S192*100</f>
        <v/>
      </c>
      <c r="V192" s="3">
        <f>IF(K192&lt;0, (K192/100)^2, 0)</f>
        <v/>
      </c>
    </row>
    <row r="193">
      <c r="A193" s="3">
        <f>TEXT(191, """T""0000")</f>
        <v/>
      </c>
      <c r="B193" s="3">
        <f>RAW_INPUT!A193</f>
        <v/>
      </c>
      <c r="C193" s="3">
        <f>RAW_INPUT!B193</f>
        <v/>
      </c>
      <c r="D193" s="3">
        <f>RAW_INPUT!D193</f>
        <v/>
      </c>
      <c r="E193" s="3">
        <f>D193-C193</f>
        <v/>
      </c>
      <c r="F193" s="3">
        <f>RAW_INPUT!C193</f>
        <v/>
      </c>
      <c r="G193" s="3">
        <f>RAW_INPUT!E193</f>
        <v/>
      </c>
      <c r="H193" s="3">
        <f>I193/F193</f>
        <v/>
      </c>
      <c r="I193" s="3">
        <f>METRICS!$C$14 * 0.02</f>
        <v/>
      </c>
      <c r="J193" s="3">
        <f>(G193-F193)*H193</f>
        <v/>
      </c>
      <c r="K193" s="3">
        <f>(G193-F193)/F193*100</f>
        <v/>
      </c>
      <c r="L193" s="3">
        <f>RAW_INPUT!F193</f>
        <v/>
      </c>
      <c r="M193" s="3">
        <f>K193-L193</f>
        <v/>
      </c>
      <c r="N193" s="3">
        <f>IF(J193&gt;0, 1, 0)</f>
        <v/>
      </c>
      <c r="O193" s="3">
        <f>IF(J193&lt;0, 1, 0)</f>
        <v/>
      </c>
      <c r="P193" s="3">
        <f>SUM($J$3:J193)</f>
        <v/>
      </c>
      <c r="Q193" s="3">
        <f>P193/METRICS!$C$14*100</f>
        <v/>
      </c>
      <c r="R193" s="3">
        <f>METRICS!$C$14+P193</f>
        <v/>
      </c>
      <c r="S193" s="3">
        <f>MAX($R$3:R193)</f>
        <v/>
      </c>
      <c r="T193" s="3">
        <f>R193-S193</f>
        <v/>
      </c>
      <c r="U193" s="3">
        <f>(R193-S193)/S193*100</f>
        <v/>
      </c>
      <c r="V193" s="3">
        <f>IF(K193&lt;0, (K193/100)^2, 0)</f>
        <v/>
      </c>
    </row>
    <row r="194">
      <c r="A194" s="3">
        <f>TEXT(192, """T""0000")</f>
        <v/>
      </c>
      <c r="B194" s="3">
        <f>RAW_INPUT!A194</f>
        <v/>
      </c>
      <c r="C194" s="3">
        <f>RAW_INPUT!B194</f>
        <v/>
      </c>
      <c r="D194" s="3">
        <f>RAW_INPUT!D194</f>
        <v/>
      </c>
      <c r="E194" s="3">
        <f>D194-C194</f>
        <v/>
      </c>
      <c r="F194" s="3">
        <f>RAW_INPUT!C194</f>
        <v/>
      </c>
      <c r="G194" s="3">
        <f>RAW_INPUT!E194</f>
        <v/>
      </c>
      <c r="H194" s="3">
        <f>I194/F194</f>
        <v/>
      </c>
      <c r="I194" s="3">
        <f>METRICS!$C$14 * 0.02</f>
        <v/>
      </c>
      <c r="J194" s="3">
        <f>(G194-F194)*H194</f>
        <v/>
      </c>
      <c r="K194" s="3">
        <f>(G194-F194)/F194*100</f>
        <v/>
      </c>
      <c r="L194" s="3">
        <f>RAW_INPUT!F194</f>
        <v/>
      </c>
      <c r="M194" s="3">
        <f>K194-L194</f>
        <v/>
      </c>
      <c r="N194" s="3">
        <f>IF(J194&gt;0, 1, 0)</f>
        <v/>
      </c>
      <c r="O194" s="3">
        <f>IF(J194&lt;0, 1, 0)</f>
        <v/>
      </c>
      <c r="P194" s="3">
        <f>SUM($J$3:J194)</f>
        <v/>
      </c>
      <c r="Q194" s="3">
        <f>P194/METRICS!$C$14*100</f>
        <v/>
      </c>
      <c r="R194" s="3">
        <f>METRICS!$C$14+P194</f>
        <v/>
      </c>
      <c r="S194" s="3">
        <f>MAX($R$3:R194)</f>
        <v/>
      </c>
      <c r="T194" s="3">
        <f>R194-S194</f>
        <v/>
      </c>
      <c r="U194" s="3">
        <f>(R194-S194)/S194*100</f>
        <v/>
      </c>
      <c r="V194" s="3">
        <f>IF(K194&lt;0, (K194/100)^2, 0)</f>
        <v/>
      </c>
    </row>
    <row r="195">
      <c r="A195" s="3">
        <f>TEXT(193, """T""0000")</f>
        <v/>
      </c>
      <c r="B195" s="3">
        <f>RAW_INPUT!A195</f>
        <v/>
      </c>
      <c r="C195" s="3">
        <f>RAW_INPUT!B195</f>
        <v/>
      </c>
      <c r="D195" s="3">
        <f>RAW_INPUT!D195</f>
        <v/>
      </c>
      <c r="E195" s="3">
        <f>D195-C195</f>
        <v/>
      </c>
      <c r="F195" s="3">
        <f>RAW_INPUT!C195</f>
        <v/>
      </c>
      <c r="G195" s="3">
        <f>RAW_INPUT!E195</f>
        <v/>
      </c>
      <c r="H195" s="3">
        <f>I195/F195</f>
        <v/>
      </c>
      <c r="I195" s="3">
        <f>METRICS!$C$14 * 0.02</f>
        <v/>
      </c>
      <c r="J195" s="3">
        <f>(G195-F195)*H195</f>
        <v/>
      </c>
      <c r="K195" s="3">
        <f>(G195-F195)/F195*100</f>
        <v/>
      </c>
      <c r="L195" s="3">
        <f>RAW_INPUT!F195</f>
        <v/>
      </c>
      <c r="M195" s="3">
        <f>K195-L195</f>
        <v/>
      </c>
      <c r="N195" s="3">
        <f>IF(J195&gt;0, 1, 0)</f>
        <v/>
      </c>
      <c r="O195" s="3">
        <f>IF(J195&lt;0, 1, 0)</f>
        <v/>
      </c>
      <c r="P195" s="3">
        <f>SUM($J$3:J195)</f>
        <v/>
      </c>
      <c r="Q195" s="3">
        <f>P195/METRICS!$C$14*100</f>
        <v/>
      </c>
      <c r="R195" s="3">
        <f>METRICS!$C$14+P195</f>
        <v/>
      </c>
      <c r="S195" s="3">
        <f>MAX($R$3:R195)</f>
        <v/>
      </c>
      <c r="T195" s="3">
        <f>R195-S195</f>
        <v/>
      </c>
      <c r="U195" s="3">
        <f>(R195-S195)/S195*100</f>
        <v/>
      </c>
      <c r="V195" s="3">
        <f>IF(K195&lt;0, (K195/100)^2, 0)</f>
        <v/>
      </c>
    </row>
    <row r="196">
      <c r="A196" s="3">
        <f>TEXT(194, """T""0000")</f>
        <v/>
      </c>
      <c r="B196" s="3">
        <f>RAW_INPUT!A196</f>
        <v/>
      </c>
      <c r="C196" s="3">
        <f>RAW_INPUT!B196</f>
        <v/>
      </c>
      <c r="D196" s="3">
        <f>RAW_INPUT!D196</f>
        <v/>
      </c>
      <c r="E196" s="3">
        <f>D196-C196</f>
        <v/>
      </c>
      <c r="F196" s="3">
        <f>RAW_INPUT!C196</f>
        <v/>
      </c>
      <c r="G196" s="3">
        <f>RAW_INPUT!E196</f>
        <v/>
      </c>
      <c r="H196" s="3">
        <f>I196/F196</f>
        <v/>
      </c>
      <c r="I196" s="3">
        <f>METRICS!$C$14 * 0.02</f>
        <v/>
      </c>
      <c r="J196" s="3">
        <f>(G196-F196)*H196</f>
        <v/>
      </c>
      <c r="K196" s="3">
        <f>(G196-F196)/F196*100</f>
        <v/>
      </c>
      <c r="L196" s="3">
        <f>RAW_INPUT!F196</f>
        <v/>
      </c>
      <c r="M196" s="3">
        <f>K196-L196</f>
        <v/>
      </c>
      <c r="N196" s="3">
        <f>IF(J196&gt;0, 1, 0)</f>
        <v/>
      </c>
      <c r="O196" s="3">
        <f>IF(J196&lt;0, 1, 0)</f>
        <v/>
      </c>
      <c r="P196" s="3">
        <f>SUM($J$3:J196)</f>
        <v/>
      </c>
      <c r="Q196" s="3">
        <f>P196/METRICS!$C$14*100</f>
        <v/>
      </c>
      <c r="R196" s="3">
        <f>METRICS!$C$14+P196</f>
        <v/>
      </c>
      <c r="S196" s="3">
        <f>MAX($R$3:R196)</f>
        <v/>
      </c>
      <c r="T196" s="3">
        <f>R196-S196</f>
        <v/>
      </c>
      <c r="U196" s="3">
        <f>(R196-S196)/S196*100</f>
        <v/>
      </c>
      <c r="V196" s="3">
        <f>IF(K196&lt;0, (K196/100)^2, 0)</f>
        <v/>
      </c>
    </row>
    <row r="197">
      <c r="A197" s="3">
        <f>TEXT(195, """T""0000")</f>
        <v/>
      </c>
      <c r="B197" s="3">
        <f>RAW_INPUT!A197</f>
        <v/>
      </c>
      <c r="C197" s="3">
        <f>RAW_INPUT!B197</f>
        <v/>
      </c>
      <c r="D197" s="3">
        <f>RAW_INPUT!D197</f>
        <v/>
      </c>
      <c r="E197" s="3">
        <f>D197-C197</f>
        <v/>
      </c>
      <c r="F197" s="3">
        <f>RAW_INPUT!C197</f>
        <v/>
      </c>
      <c r="G197" s="3">
        <f>RAW_INPUT!E197</f>
        <v/>
      </c>
      <c r="H197" s="3">
        <f>I197/F197</f>
        <v/>
      </c>
      <c r="I197" s="3">
        <f>METRICS!$C$14 * 0.02</f>
        <v/>
      </c>
      <c r="J197" s="3">
        <f>(G197-F197)*H197</f>
        <v/>
      </c>
      <c r="K197" s="3">
        <f>(G197-F197)/F197*100</f>
        <v/>
      </c>
      <c r="L197" s="3">
        <f>RAW_INPUT!F197</f>
        <v/>
      </c>
      <c r="M197" s="3">
        <f>K197-L197</f>
        <v/>
      </c>
      <c r="N197" s="3">
        <f>IF(J197&gt;0, 1, 0)</f>
        <v/>
      </c>
      <c r="O197" s="3">
        <f>IF(J197&lt;0, 1, 0)</f>
        <v/>
      </c>
      <c r="P197" s="3">
        <f>SUM($J$3:J197)</f>
        <v/>
      </c>
      <c r="Q197" s="3">
        <f>P197/METRICS!$C$14*100</f>
        <v/>
      </c>
      <c r="R197" s="3">
        <f>METRICS!$C$14+P197</f>
        <v/>
      </c>
      <c r="S197" s="3">
        <f>MAX($R$3:R197)</f>
        <v/>
      </c>
      <c r="T197" s="3">
        <f>R197-S197</f>
        <v/>
      </c>
      <c r="U197" s="3">
        <f>(R197-S197)/S197*100</f>
        <v/>
      </c>
      <c r="V197" s="3">
        <f>IF(K197&lt;0, (K197/100)^2, 0)</f>
        <v/>
      </c>
    </row>
    <row r="198">
      <c r="A198" s="3">
        <f>TEXT(196, """T""0000")</f>
        <v/>
      </c>
      <c r="B198" s="3">
        <f>RAW_INPUT!A198</f>
        <v/>
      </c>
      <c r="C198" s="3">
        <f>RAW_INPUT!B198</f>
        <v/>
      </c>
      <c r="D198" s="3">
        <f>RAW_INPUT!D198</f>
        <v/>
      </c>
      <c r="E198" s="3">
        <f>D198-C198</f>
        <v/>
      </c>
      <c r="F198" s="3">
        <f>RAW_INPUT!C198</f>
        <v/>
      </c>
      <c r="G198" s="3">
        <f>RAW_INPUT!E198</f>
        <v/>
      </c>
      <c r="H198" s="3">
        <f>I198/F198</f>
        <v/>
      </c>
      <c r="I198" s="3">
        <f>METRICS!$C$14 * 0.02</f>
        <v/>
      </c>
      <c r="J198" s="3">
        <f>(G198-F198)*H198</f>
        <v/>
      </c>
      <c r="K198" s="3">
        <f>(G198-F198)/F198*100</f>
        <v/>
      </c>
      <c r="L198" s="3">
        <f>RAW_INPUT!F198</f>
        <v/>
      </c>
      <c r="M198" s="3">
        <f>K198-L198</f>
        <v/>
      </c>
      <c r="N198" s="3">
        <f>IF(J198&gt;0, 1, 0)</f>
        <v/>
      </c>
      <c r="O198" s="3">
        <f>IF(J198&lt;0, 1, 0)</f>
        <v/>
      </c>
      <c r="P198" s="3">
        <f>SUM($J$3:J198)</f>
        <v/>
      </c>
      <c r="Q198" s="3">
        <f>P198/METRICS!$C$14*100</f>
        <v/>
      </c>
      <c r="R198" s="3">
        <f>METRICS!$C$14+P198</f>
        <v/>
      </c>
      <c r="S198" s="3">
        <f>MAX($R$3:R198)</f>
        <v/>
      </c>
      <c r="T198" s="3">
        <f>R198-S198</f>
        <v/>
      </c>
      <c r="U198" s="3">
        <f>(R198-S198)/S198*100</f>
        <v/>
      </c>
      <c r="V198" s="3">
        <f>IF(K198&lt;0, (K198/100)^2, 0)</f>
        <v/>
      </c>
    </row>
    <row r="199">
      <c r="A199" s="3">
        <f>TEXT(197, """T""0000")</f>
        <v/>
      </c>
      <c r="B199" s="3">
        <f>RAW_INPUT!A199</f>
        <v/>
      </c>
      <c r="C199" s="3">
        <f>RAW_INPUT!B199</f>
        <v/>
      </c>
      <c r="D199" s="3">
        <f>RAW_INPUT!D199</f>
        <v/>
      </c>
      <c r="E199" s="3">
        <f>D199-C199</f>
        <v/>
      </c>
      <c r="F199" s="3">
        <f>RAW_INPUT!C199</f>
        <v/>
      </c>
      <c r="G199" s="3">
        <f>RAW_INPUT!E199</f>
        <v/>
      </c>
      <c r="H199" s="3">
        <f>I199/F199</f>
        <v/>
      </c>
      <c r="I199" s="3">
        <f>METRICS!$C$14 * 0.02</f>
        <v/>
      </c>
      <c r="J199" s="3">
        <f>(G199-F199)*H199</f>
        <v/>
      </c>
      <c r="K199" s="3">
        <f>(G199-F199)/F199*100</f>
        <v/>
      </c>
      <c r="L199" s="3">
        <f>RAW_INPUT!F199</f>
        <v/>
      </c>
      <c r="M199" s="3">
        <f>K199-L199</f>
        <v/>
      </c>
      <c r="N199" s="3">
        <f>IF(J199&gt;0, 1, 0)</f>
        <v/>
      </c>
      <c r="O199" s="3">
        <f>IF(J199&lt;0, 1, 0)</f>
        <v/>
      </c>
      <c r="P199" s="3">
        <f>SUM($J$3:J199)</f>
        <v/>
      </c>
      <c r="Q199" s="3">
        <f>P199/METRICS!$C$14*100</f>
        <v/>
      </c>
      <c r="R199" s="3">
        <f>METRICS!$C$14+P199</f>
        <v/>
      </c>
      <c r="S199" s="3">
        <f>MAX($R$3:R199)</f>
        <v/>
      </c>
      <c r="T199" s="3">
        <f>R199-S199</f>
        <v/>
      </c>
      <c r="U199" s="3">
        <f>(R199-S199)/S199*100</f>
        <v/>
      </c>
      <c r="V199" s="3">
        <f>IF(K199&lt;0, (K199/100)^2, 0)</f>
        <v/>
      </c>
    </row>
    <row r="200">
      <c r="A200" s="3">
        <f>TEXT(198, """T""0000")</f>
        <v/>
      </c>
      <c r="B200" s="3">
        <f>RAW_INPUT!A200</f>
        <v/>
      </c>
      <c r="C200" s="3">
        <f>RAW_INPUT!B200</f>
        <v/>
      </c>
      <c r="D200" s="3">
        <f>RAW_INPUT!D200</f>
        <v/>
      </c>
      <c r="E200" s="3">
        <f>D200-C200</f>
        <v/>
      </c>
      <c r="F200" s="3">
        <f>RAW_INPUT!C200</f>
        <v/>
      </c>
      <c r="G200" s="3">
        <f>RAW_INPUT!E200</f>
        <v/>
      </c>
      <c r="H200" s="3">
        <f>I200/F200</f>
        <v/>
      </c>
      <c r="I200" s="3">
        <f>METRICS!$C$14 * 0.02</f>
        <v/>
      </c>
      <c r="J200" s="3">
        <f>(G200-F200)*H200</f>
        <v/>
      </c>
      <c r="K200" s="3">
        <f>(G200-F200)/F200*100</f>
        <v/>
      </c>
      <c r="L200" s="3">
        <f>RAW_INPUT!F200</f>
        <v/>
      </c>
      <c r="M200" s="3">
        <f>K200-L200</f>
        <v/>
      </c>
      <c r="N200" s="3">
        <f>IF(J200&gt;0, 1, 0)</f>
        <v/>
      </c>
      <c r="O200" s="3">
        <f>IF(J200&lt;0, 1, 0)</f>
        <v/>
      </c>
      <c r="P200" s="3">
        <f>SUM($J$3:J200)</f>
        <v/>
      </c>
      <c r="Q200" s="3">
        <f>P200/METRICS!$C$14*100</f>
        <v/>
      </c>
      <c r="R200" s="3">
        <f>METRICS!$C$14+P200</f>
        <v/>
      </c>
      <c r="S200" s="3">
        <f>MAX($R$3:R200)</f>
        <v/>
      </c>
      <c r="T200" s="3">
        <f>R200-S200</f>
        <v/>
      </c>
      <c r="U200" s="3">
        <f>(R200-S200)/S200*100</f>
        <v/>
      </c>
      <c r="V200" s="3">
        <f>IF(K200&lt;0, (K200/100)^2, 0)</f>
        <v/>
      </c>
    </row>
    <row r="201">
      <c r="A201" s="3">
        <f>TEXT(199, """T""0000")</f>
        <v/>
      </c>
      <c r="B201" s="3">
        <f>RAW_INPUT!A201</f>
        <v/>
      </c>
      <c r="C201" s="3">
        <f>RAW_INPUT!B201</f>
        <v/>
      </c>
      <c r="D201" s="3">
        <f>RAW_INPUT!D201</f>
        <v/>
      </c>
      <c r="E201" s="3">
        <f>D201-C201</f>
        <v/>
      </c>
      <c r="F201" s="3">
        <f>RAW_INPUT!C201</f>
        <v/>
      </c>
      <c r="G201" s="3">
        <f>RAW_INPUT!E201</f>
        <v/>
      </c>
      <c r="H201" s="3">
        <f>I201/F201</f>
        <v/>
      </c>
      <c r="I201" s="3">
        <f>METRICS!$C$14 * 0.02</f>
        <v/>
      </c>
      <c r="J201" s="3">
        <f>(G201-F201)*H201</f>
        <v/>
      </c>
      <c r="K201" s="3">
        <f>(G201-F201)/F201*100</f>
        <v/>
      </c>
      <c r="L201" s="3">
        <f>RAW_INPUT!F201</f>
        <v/>
      </c>
      <c r="M201" s="3">
        <f>K201-L201</f>
        <v/>
      </c>
      <c r="N201" s="3">
        <f>IF(J201&gt;0, 1, 0)</f>
        <v/>
      </c>
      <c r="O201" s="3">
        <f>IF(J201&lt;0, 1, 0)</f>
        <v/>
      </c>
      <c r="P201" s="3">
        <f>SUM($J$3:J201)</f>
        <v/>
      </c>
      <c r="Q201" s="3">
        <f>P201/METRICS!$C$14*100</f>
        <v/>
      </c>
      <c r="R201" s="3">
        <f>METRICS!$C$14+P201</f>
        <v/>
      </c>
      <c r="S201" s="3">
        <f>MAX($R$3:R201)</f>
        <v/>
      </c>
      <c r="T201" s="3">
        <f>R201-S201</f>
        <v/>
      </c>
      <c r="U201" s="3">
        <f>(R201-S201)/S201*100</f>
        <v/>
      </c>
      <c r="V201" s="3">
        <f>IF(K201&lt;0, (K201/100)^2, 0)</f>
        <v/>
      </c>
    </row>
    <row r="202">
      <c r="A202" s="3">
        <f>TEXT(200, """T""0000")</f>
        <v/>
      </c>
      <c r="B202" s="3">
        <f>RAW_INPUT!A202</f>
        <v/>
      </c>
      <c r="C202" s="3">
        <f>RAW_INPUT!B202</f>
        <v/>
      </c>
      <c r="D202" s="3">
        <f>RAW_INPUT!D202</f>
        <v/>
      </c>
      <c r="E202" s="3">
        <f>D202-C202</f>
        <v/>
      </c>
      <c r="F202" s="3">
        <f>RAW_INPUT!C202</f>
        <v/>
      </c>
      <c r="G202" s="3">
        <f>RAW_INPUT!E202</f>
        <v/>
      </c>
      <c r="H202" s="3">
        <f>I202/F202</f>
        <v/>
      </c>
      <c r="I202" s="3">
        <f>METRICS!$C$14 * 0.02</f>
        <v/>
      </c>
      <c r="J202" s="3">
        <f>(G202-F202)*H202</f>
        <v/>
      </c>
      <c r="K202" s="3">
        <f>(G202-F202)/F202*100</f>
        <v/>
      </c>
      <c r="L202" s="3">
        <f>RAW_INPUT!F202</f>
        <v/>
      </c>
      <c r="M202" s="3">
        <f>K202-L202</f>
        <v/>
      </c>
      <c r="N202" s="3">
        <f>IF(J202&gt;0, 1, 0)</f>
        <v/>
      </c>
      <c r="O202" s="3">
        <f>IF(J202&lt;0, 1, 0)</f>
        <v/>
      </c>
      <c r="P202" s="3">
        <f>SUM($J$3:J202)</f>
        <v/>
      </c>
      <c r="Q202" s="3">
        <f>P202/METRICS!$C$14*100</f>
        <v/>
      </c>
      <c r="R202" s="3">
        <f>METRICS!$C$14+P202</f>
        <v/>
      </c>
      <c r="S202" s="3">
        <f>MAX($R$3:R202)</f>
        <v/>
      </c>
      <c r="T202" s="3">
        <f>R202-S202</f>
        <v/>
      </c>
      <c r="U202" s="3">
        <f>(R202-S202)/S202*100</f>
        <v/>
      </c>
      <c r="V202" s="3">
        <f>IF(K202&lt;0, (K202/100)^2, 0)</f>
        <v/>
      </c>
    </row>
    <row r="203">
      <c r="A203" s="3">
        <f>TEXT(201, """T""0000")</f>
        <v/>
      </c>
      <c r="B203" s="3">
        <f>RAW_INPUT!A203</f>
        <v/>
      </c>
      <c r="C203" s="3">
        <f>RAW_INPUT!B203</f>
        <v/>
      </c>
      <c r="D203" s="3">
        <f>RAW_INPUT!D203</f>
        <v/>
      </c>
      <c r="E203" s="3">
        <f>D203-C203</f>
        <v/>
      </c>
      <c r="F203" s="3">
        <f>RAW_INPUT!C203</f>
        <v/>
      </c>
      <c r="G203" s="3">
        <f>RAW_INPUT!E203</f>
        <v/>
      </c>
      <c r="H203" s="3">
        <f>I203/F203</f>
        <v/>
      </c>
      <c r="I203" s="3">
        <f>METRICS!$C$14 * 0.02</f>
        <v/>
      </c>
      <c r="J203" s="3">
        <f>(G203-F203)*H203</f>
        <v/>
      </c>
      <c r="K203" s="3">
        <f>(G203-F203)/F203*100</f>
        <v/>
      </c>
      <c r="L203" s="3">
        <f>RAW_INPUT!F203</f>
        <v/>
      </c>
      <c r="M203" s="3">
        <f>K203-L203</f>
        <v/>
      </c>
      <c r="N203" s="3">
        <f>IF(J203&gt;0, 1, 0)</f>
        <v/>
      </c>
      <c r="O203" s="3">
        <f>IF(J203&lt;0, 1, 0)</f>
        <v/>
      </c>
      <c r="P203" s="3">
        <f>SUM($J$3:J203)</f>
        <v/>
      </c>
      <c r="Q203" s="3">
        <f>P203/METRICS!$C$14*100</f>
        <v/>
      </c>
      <c r="R203" s="3">
        <f>METRICS!$C$14+P203</f>
        <v/>
      </c>
      <c r="S203" s="3">
        <f>MAX($R$3:R203)</f>
        <v/>
      </c>
      <c r="T203" s="3">
        <f>R203-S203</f>
        <v/>
      </c>
      <c r="U203" s="3">
        <f>(R203-S203)/S203*100</f>
        <v/>
      </c>
      <c r="V203" s="3">
        <f>IF(K203&lt;0, (K203/100)^2, 0)</f>
        <v/>
      </c>
    </row>
    <row r="204">
      <c r="A204" s="3">
        <f>TEXT(202, """T""0000")</f>
        <v/>
      </c>
      <c r="B204" s="3">
        <f>RAW_INPUT!A204</f>
        <v/>
      </c>
      <c r="C204" s="3">
        <f>RAW_INPUT!B204</f>
        <v/>
      </c>
      <c r="D204" s="3">
        <f>RAW_INPUT!D204</f>
        <v/>
      </c>
      <c r="E204" s="3">
        <f>D204-C204</f>
        <v/>
      </c>
      <c r="F204" s="3">
        <f>RAW_INPUT!C204</f>
        <v/>
      </c>
      <c r="G204" s="3">
        <f>RAW_INPUT!E204</f>
        <v/>
      </c>
      <c r="H204" s="3">
        <f>I204/F204</f>
        <v/>
      </c>
      <c r="I204" s="3">
        <f>METRICS!$C$14 * 0.02</f>
        <v/>
      </c>
      <c r="J204" s="3">
        <f>(G204-F204)*H204</f>
        <v/>
      </c>
      <c r="K204" s="3">
        <f>(G204-F204)/F204*100</f>
        <v/>
      </c>
      <c r="L204" s="3">
        <f>RAW_INPUT!F204</f>
        <v/>
      </c>
      <c r="M204" s="3">
        <f>K204-L204</f>
        <v/>
      </c>
      <c r="N204" s="3">
        <f>IF(J204&gt;0, 1, 0)</f>
        <v/>
      </c>
      <c r="O204" s="3">
        <f>IF(J204&lt;0, 1, 0)</f>
        <v/>
      </c>
      <c r="P204" s="3">
        <f>SUM($J$3:J204)</f>
        <v/>
      </c>
      <c r="Q204" s="3">
        <f>P204/METRICS!$C$14*100</f>
        <v/>
      </c>
      <c r="R204" s="3">
        <f>METRICS!$C$14+P204</f>
        <v/>
      </c>
      <c r="S204" s="3">
        <f>MAX($R$3:R204)</f>
        <v/>
      </c>
      <c r="T204" s="3">
        <f>R204-S204</f>
        <v/>
      </c>
      <c r="U204" s="3">
        <f>(R204-S204)/S204*100</f>
        <v/>
      </c>
      <c r="V204" s="3">
        <f>IF(K204&lt;0, (K204/100)^2, 0)</f>
        <v/>
      </c>
    </row>
    <row r="205">
      <c r="A205" s="3">
        <f>TEXT(203, """T""0000")</f>
        <v/>
      </c>
      <c r="B205" s="3">
        <f>RAW_INPUT!A205</f>
        <v/>
      </c>
      <c r="C205" s="3">
        <f>RAW_INPUT!B205</f>
        <v/>
      </c>
      <c r="D205" s="3">
        <f>RAW_INPUT!D205</f>
        <v/>
      </c>
      <c r="E205" s="3">
        <f>D205-C205</f>
        <v/>
      </c>
      <c r="F205" s="3">
        <f>RAW_INPUT!C205</f>
        <v/>
      </c>
      <c r="G205" s="3">
        <f>RAW_INPUT!E205</f>
        <v/>
      </c>
      <c r="H205" s="3">
        <f>I205/F205</f>
        <v/>
      </c>
      <c r="I205" s="3">
        <f>METRICS!$C$14 * 0.02</f>
        <v/>
      </c>
      <c r="J205" s="3">
        <f>(G205-F205)*H205</f>
        <v/>
      </c>
      <c r="K205" s="3">
        <f>(G205-F205)/F205*100</f>
        <v/>
      </c>
      <c r="L205" s="3">
        <f>RAW_INPUT!F205</f>
        <v/>
      </c>
      <c r="M205" s="3">
        <f>K205-L205</f>
        <v/>
      </c>
      <c r="N205" s="3">
        <f>IF(J205&gt;0, 1, 0)</f>
        <v/>
      </c>
      <c r="O205" s="3">
        <f>IF(J205&lt;0, 1, 0)</f>
        <v/>
      </c>
      <c r="P205" s="3">
        <f>SUM($J$3:J205)</f>
        <v/>
      </c>
      <c r="Q205" s="3">
        <f>P205/METRICS!$C$14*100</f>
        <v/>
      </c>
      <c r="R205" s="3">
        <f>METRICS!$C$14+P205</f>
        <v/>
      </c>
      <c r="S205" s="3">
        <f>MAX($R$3:R205)</f>
        <v/>
      </c>
      <c r="T205" s="3">
        <f>R205-S205</f>
        <v/>
      </c>
      <c r="U205" s="3">
        <f>(R205-S205)/S205*100</f>
        <v/>
      </c>
      <c r="V205" s="3">
        <f>IF(K205&lt;0, (K205/100)^2, 0)</f>
        <v/>
      </c>
    </row>
    <row r="206">
      <c r="A206" s="3">
        <f>TEXT(204, """T""0000")</f>
        <v/>
      </c>
      <c r="B206" s="3">
        <f>RAW_INPUT!A206</f>
        <v/>
      </c>
      <c r="C206" s="3">
        <f>RAW_INPUT!B206</f>
        <v/>
      </c>
      <c r="D206" s="3">
        <f>RAW_INPUT!D206</f>
        <v/>
      </c>
      <c r="E206" s="3">
        <f>D206-C206</f>
        <v/>
      </c>
      <c r="F206" s="3">
        <f>RAW_INPUT!C206</f>
        <v/>
      </c>
      <c r="G206" s="3">
        <f>RAW_INPUT!E206</f>
        <v/>
      </c>
      <c r="H206" s="3">
        <f>I206/F206</f>
        <v/>
      </c>
      <c r="I206" s="3">
        <f>METRICS!$C$14 * 0.02</f>
        <v/>
      </c>
      <c r="J206" s="3">
        <f>(G206-F206)*H206</f>
        <v/>
      </c>
      <c r="K206" s="3">
        <f>(G206-F206)/F206*100</f>
        <v/>
      </c>
      <c r="L206" s="3">
        <f>RAW_INPUT!F206</f>
        <v/>
      </c>
      <c r="M206" s="3">
        <f>K206-L206</f>
        <v/>
      </c>
      <c r="N206" s="3">
        <f>IF(J206&gt;0, 1, 0)</f>
        <v/>
      </c>
      <c r="O206" s="3">
        <f>IF(J206&lt;0, 1, 0)</f>
        <v/>
      </c>
      <c r="P206" s="3">
        <f>SUM($J$3:J206)</f>
        <v/>
      </c>
      <c r="Q206" s="3">
        <f>P206/METRICS!$C$14*100</f>
        <v/>
      </c>
      <c r="R206" s="3">
        <f>METRICS!$C$14+P206</f>
        <v/>
      </c>
      <c r="S206" s="3">
        <f>MAX($R$3:R206)</f>
        <v/>
      </c>
      <c r="T206" s="3">
        <f>R206-S206</f>
        <v/>
      </c>
      <c r="U206" s="3">
        <f>(R206-S206)/S206*100</f>
        <v/>
      </c>
      <c r="V206" s="3">
        <f>IF(K206&lt;0, (K206/100)^2, 0)</f>
        <v/>
      </c>
    </row>
    <row r="207">
      <c r="A207" s="3">
        <f>TEXT(205, """T""0000")</f>
        <v/>
      </c>
      <c r="B207" s="3">
        <f>RAW_INPUT!A207</f>
        <v/>
      </c>
      <c r="C207" s="3">
        <f>RAW_INPUT!B207</f>
        <v/>
      </c>
      <c r="D207" s="3">
        <f>RAW_INPUT!D207</f>
        <v/>
      </c>
      <c r="E207" s="3">
        <f>D207-C207</f>
        <v/>
      </c>
      <c r="F207" s="3">
        <f>RAW_INPUT!C207</f>
        <v/>
      </c>
      <c r="G207" s="3">
        <f>RAW_INPUT!E207</f>
        <v/>
      </c>
      <c r="H207" s="3">
        <f>I207/F207</f>
        <v/>
      </c>
      <c r="I207" s="3">
        <f>METRICS!$C$14 * 0.02</f>
        <v/>
      </c>
      <c r="J207" s="3">
        <f>(G207-F207)*H207</f>
        <v/>
      </c>
      <c r="K207" s="3">
        <f>(G207-F207)/F207*100</f>
        <v/>
      </c>
      <c r="L207" s="3">
        <f>RAW_INPUT!F207</f>
        <v/>
      </c>
      <c r="M207" s="3">
        <f>K207-L207</f>
        <v/>
      </c>
      <c r="N207" s="3">
        <f>IF(J207&gt;0, 1, 0)</f>
        <v/>
      </c>
      <c r="O207" s="3">
        <f>IF(J207&lt;0, 1, 0)</f>
        <v/>
      </c>
      <c r="P207" s="3">
        <f>SUM($J$3:J207)</f>
        <v/>
      </c>
      <c r="Q207" s="3">
        <f>P207/METRICS!$C$14*100</f>
        <v/>
      </c>
      <c r="R207" s="3">
        <f>METRICS!$C$14+P207</f>
        <v/>
      </c>
      <c r="S207" s="3">
        <f>MAX($R$3:R207)</f>
        <v/>
      </c>
      <c r="T207" s="3">
        <f>R207-S207</f>
        <v/>
      </c>
      <c r="U207" s="3">
        <f>(R207-S207)/S207*100</f>
        <v/>
      </c>
      <c r="V207" s="3">
        <f>IF(K207&lt;0, (K207/100)^2, 0)</f>
        <v/>
      </c>
    </row>
    <row r="208">
      <c r="A208" s="3">
        <f>TEXT(206, """T""0000")</f>
        <v/>
      </c>
      <c r="B208" s="3">
        <f>RAW_INPUT!A208</f>
        <v/>
      </c>
      <c r="C208" s="3">
        <f>RAW_INPUT!B208</f>
        <v/>
      </c>
      <c r="D208" s="3">
        <f>RAW_INPUT!D208</f>
        <v/>
      </c>
      <c r="E208" s="3">
        <f>D208-C208</f>
        <v/>
      </c>
      <c r="F208" s="3">
        <f>RAW_INPUT!C208</f>
        <v/>
      </c>
      <c r="G208" s="3">
        <f>RAW_INPUT!E208</f>
        <v/>
      </c>
      <c r="H208" s="3">
        <f>I208/F208</f>
        <v/>
      </c>
      <c r="I208" s="3">
        <f>METRICS!$C$14 * 0.02</f>
        <v/>
      </c>
      <c r="J208" s="3">
        <f>(G208-F208)*H208</f>
        <v/>
      </c>
      <c r="K208" s="3">
        <f>(G208-F208)/F208*100</f>
        <v/>
      </c>
      <c r="L208" s="3">
        <f>RAW_INPUT!F208</f>
        <v/>
      </c>
      <c r="M208" s="3">
        <f>K208-L208</f>
        <v/>
      </c>
      <c r="N208" s="3">
        <f>IF(J208&gt;0, 1, 0)</f>
        <v/>
      </c>
      <c r="O208" s="3">
        <f>IF(J208&lt;0, 1, 0)</f>
        <v/>
      </c>
      <c r="P208" s="3">
        <f>SUM($J$3:J208)</f>
        <v/>
      </c>
      <c r="Q208" s="3">
        <f>P208/METRICS!$C$14*100</f>
        <v/>
      </c>
      <c r="R208" s="3">
        <f>METRICS!$C$14+P208</f>
        <v/>
      </c>
      <c r="S208" s="3">
        <f>MAX($R$3:R208)</f>
        <v/>
      </c>
      <c r="T208" s="3">
        <f>R208-S208</f>
        <v/>
      </c>
      <c r="U208" s="3">
        <f>(R208-S208)/S208*100</f>
        <v/>
      </c>
      <c r="V208" s="3">
        <f>IF(K208&lt;0, (K208/100)^2, 0)</f>
        <v/>
      </c>
    </row>
    <row r="209">
      <c r="A209" s="3">
        <f>TEXT(207, """T""0000")</f>
        <v/>
      </c>
      <c r="B209" s="3">
        <f>RAW_INPUT!A209</f>
        <v/>
      </c>
      <c r="C209" s="3">
        <f>RAW_INPUT!B209</f>
        <v/>
      </c>
      <c r="D209" s="3">
        <f>RAW_INPUT!D209</f>
        <v/>
      </c>
      <c r="E209" s="3">
        <f>D209-C209</f>
        <v/>
      </c>
      <c r="F209" s="3">
        <f>RAW_INPUT!C209</f>
        <v/>
      </c>
      <c r="G209" s="3">
        <f>RAW_INPUT!E209</f>
        <v/>
      </c>
      <c r="H209" s="3">
        <f>I209/F209</f>
        <v/>
      </c>
      <c r="I209" s="3">
        <f>METRICS!$C$14 * 0.02</f>
        <v/>
      </c>
      <c r="J209" s="3">
        <f>(G209-F209)*H209</f>
        <v/>
      </c>
      <c r="K209" s="3">
        <f>(G209-F209)/F209*100</f>
        <v/>
      </c>
      <c r="L209" s="3">
        <f>RAW_INPUT!F209</f>
        <v/>
      </c>
      <c r="M209" s="3">
        <f>K209-L209</f>
        <v/>
      </c>
      <c r="N209" s="3">
        <f>IF(J209&gt;0, 1, 0)</f>
        <v/>
      </c>
      <c r="O209" s="3">
        <f>IF(J209&lt;0, 1, 0)</f>
        <v/>
      </c>
      <c r="P209" s="3">
        <f>SUM($J$3:J209)</f>
        <v/>
      </c>
      <c r="Q209" s="3">
        <f>P209/METRICS!$C$14*100</f>
        <v/>
      </c>
      <c r="R209" s="3">
        <f>METRICS!$C$14+P209</f>
        <v/>
      </c>
      <c r="S209" s="3">
        <f>MAX($R$3:R209)</f>
        <v/>
      </c>
      <c r="T209" s="3">
        <f>R209-S209</f>
        <v/>
      </c>
      <c r="U209" s="3">
        <f>(R209-S209)/S209*100</f>
        <v/>
      </c>
      <c r="V209" s="3">
        <f>IF(K209&lt;0, (K209/100)^2, 0)</f>
        <v/>
      </c>
    </row>
    <row r="210">
      <c r="A210" s="3">
        <f>TEXT(208, """T""0000")</f>
        <v/>
      </c>
      <c r="B210" s="3">
        <f>RAW_INPUT!A210</f>
        <v/>
      </c>
      <c r="C210" s="3">
        <f>RAW_INPUT!B210</f>
        <v/>
      </c>
      <c r="D210" s="3">
        <f>RAW_INPUT!D210</f>
        <v/>
      </c>
      <c r="E210" s="3">
        <f>D210-C210</f>
        <v/>
      </c>
      <c r="F210" s="3">
        <f>RAW_INPUT!C210</f>
        <v/>
      </c>
      <c r="G210" s="3">
        <f>RAW_INPUT!E210</f>
        <v/>
      </c>
      <c r="H210" s="3">
        <f>I210/F210</f>
        <v/>
      </c>
      <c r="I210" s="3">
        <f>METRICS!$C$14 * 0.02</f>
        <v/>
      </c>
      <c r="J210" s="3">
        <f>(G210-F210)*H210</f>
        <v/>
      </c>
      <c r="K210" s="3">
        <f>(G210-F210)/F210*100</f>
        <v/>
      </c>
      <c r="L210" s="3">
        <f>RAW_INPUT!F210</f>
        <v/>
      </c>
      <c r="M210" s="3">
        <f>K210-L210</f>
        <v/>
      </c>
      <c r="N210" s="3">
        <f>IF(J210&gt;0, 1, 0)</f>
        <v/>
      </c>
      <c r="O210" s="3">
        <f>IF(J210&lt;0, 1, 0)</f>
        <v/>
      </c>
      <c r="P210" s="3">
        <f>SUM($J$3:J210)</f>
        <v/>
      </c>
      <c r="Q210" s="3">
        <f>P210/METRICS!$C$14*100</f>
        <v/>
      </c>
      <c r="R210" s="3">
        <f>METRICS!$C$14+P210</f>
        <v/>
      </c>
      <c r="S210" s="3">
        <f>MAX($R$3:R210)</f>
        <v/>
      </c>
      <c r="T210" s="3">
        <f>R210-S210</f>
        <v/>
      </c>
      <c r="U210" s="3">
        <f>(R210-S210)/S210*100</f>
        <v/>
      </c>
      <c r="V210" s="3">
        <f>IF(K210&lt;0, (K210/100)^2, 0)</f>
        <v/>
      </c>
    </row>
    <row r="211">
      <c r="A211" s="3">
        <f>TEXT(209, """T""0000")</f>
        <v/>
      </c>
      <c r="B211" s="3">
        <f>RAW_INPUT!A211</f>
        <v/>
      </c>
      <c r="C211" s="3">
        <f>RAW_INPUT!B211</f>
        <v/>
      </c>
      <c r="D211" s="3">
        <f>RAW_INPUT!D211</f>
        <v/>
      </c>
      <c r="E211" s="3">
        <f>D211-C211</f>
        <v/>
      </c>
      <c r="F211" s="3">
        <f>RAW_INPUT!C211</f>
        <v/>
      </c>
      <c r="G211" s="3">
        <f>RAW_INPUT!E211</f>
        <v/>
      </c>
      <c r="H211" s="3">
        <f>I211/F211</f>
        <v/>
      </c>
      <c r="I211" s="3">
        <f>METRICS!$C$14 * 0.02</f>
        <v/>
      </c>
      <c r="J211" s="3">
        <f>(G211-F211)*H211</f>
        <v/>
      </c>
      <c r="K211" s="3">
        <f>(G211-F211)/F211*100</f>
        <v/>
      </c>
      <c r="L211" s="3">
        <f>RAW_INPUT!F211</f>
        <v/>
      </c>
      <c r="M211" s="3">
        <f>K211-L211</f>
        <v/>
      </c>
      <c r="N211" s="3">
        <f>IF(J211&gt;0, 1, 0)</f>
        <v/>
      </c>
      <c r="O211" s="3">
        <f>IF(J211&lt;0, 1, 0)</f>
        <v/>
      </c>
      <c r="P211" s="3">
        <f>SUM($J$3:J211)</f>
        <v/>
      </c>
      <c r="Q211" s="3">
        <f>P211/METRICS!$C$14*100</f>
        <v/>
      </c>
      <c r="R211" s="3">
        <f>METRICS!$C$14+P211</f>
        <v/>
      </c>
      <c r="S211" s="3">
        <f>MAX($R$3:R211)</f>
        <v/>
      </c>
      <c r="T211" s="3">
        <f>R211-S211</f>
        <v/>
      </c>
      <c r="U211" s="3">
        <f>(R211-S211)/S211*100</f>
        <v/>
      </c>
      <c r="V211" s="3">
        <f>IF(K211&lt;0, (K211/100)^2, 0)</f>
        <v/>
      </c>
    </row>
    <row r="212">
      <c r="A212" s="3">
        <f>TEXT(210, """T""0000")</f>
        <v/>
      </c>
      <c r="B212" s="3">
        <f>RAW_INPUT!A212</f>
        <v/>
      </c>
      <c r="C212" s="3">
        <f>RAW_INPUT!B212</f>
        <v/>
      </c>
      <c r="D212" s="3">
        <f>RAW_INPUT!D212</f>
        <v/>
      </c>
      <c r="E212" s="3">
        <f>D212-C212</f>
        <v/>
      </c>
      <c r="F212" s="3">
        <f>RAW_INPUT!C212</f>
        <v/>
      </c>
      <c r="G212" s="3">
        <f>RAW_INPUT!E212</f>
        <v/>
      </c>
      <c r="H212" s="3">
        <f>I212/F212</f>
        <v/>
      </c>
      <c r="I212" s="3">
        <f>METRICS!$C$14 * 0.02</f>
        <v/>
      </c>
      <c r="J212" s="3">
        <f>(G212-F212)*H212</f>
        <v/>
      </c>
      <c r="K212" s="3">
        <f>(G212-F212)/F212*100</f>
        <v/>
      </c>
      <c r="L212" s="3">
        <f>RAW_INPUT!F212</f>
        <v/>
      </c>
      <c r="M212" s="3">
        <f>K212-L212</f>
        <v/>
      </c>
      <c r="N212" s="3">
        <f>IF(J212&gt;0, 1, 0)</f>
        <v/>
      </c>
      <c r="O212" s="3">
        <f>IF(J212&lt;0, 1, 0)</f>
        <v/>
      </c>
      <c r="P212" s="3">
        <f>SUM($J$3:J212)</f>
        <v/>
      </c>
      <c r="Q212" s="3">
        <f>P212/METRICS!$C$14*100</f>
        <v/>
      </c>
      <c r="R212" s="3">
        <f>METRICS!$C$14+P212</f>
        <v/>
      </c>
      <c r="S212" s="3">
        <f>MAX($R$3:R212)</f>
        <v/>
      </c>
      <c r="T212" s="3">
        <f>R212-S212</f>
        <v/>
      </c>
      <c r="U212" s="3">
        <f>(R212-S212)/S212*100</f>
        <v/>
      </c>
      <c r="V212" s="3">
        <f>IF(K212&lt;0, (K212/100)^2, 0)</f>
        <v/>
      </c>
    </row>
    <row r="213">
      <c r="A213" s="3">
        <f>TEXT(211, """T""0000")</f>
        <v/>
      </c>
      <c r="B213" s="3">
        <f>RAW_INPUT!A213</f>
        <v/>
      </c>
      <c r="C213" s="3">
        <f>RAW_INPUT!B213</f>
        <v/>
      </c>
      <c r="D213" s="3">
        <f>RAW_INPUT!D213</f>
        <v/>
      </c>
      <c r="E213" s="3">
        <f>D213-C213</f>
        <v/>
      </c>
      <c r="F213" s="3">
        <f>RAW_INPUT!C213</f>
        <v/>
      </c>
      <c r="G213" s="3">
        <f>RAW_INPUT!E213</f>
        <v/>
      </c>
      <c r="H213" s="3">
        <f>I213/F213</f>
        <v/>
      </c>
      <c r="I213" s="3">
        <f>METRICS!$C$14 * 0.02</f>
        <v/>
      </c>
      <c r="J213" s="3">
        <f>(G213-F213)*H213</f>
        <v/>
      </c>
      <c r="K213" s="3">
        <f>(G213-F213)/F213*100</f>
        <v/>
      </c>
      <c r="L213" s="3">
        <f>RAW_INPUT!F213</f>
        <v/>
      </c>
      <c r="M213" s="3">
        <f>K213-L213</f>
        <v/>
      </c>
      <c r="N213" s="3">
        <f>IF(J213&gt;0, 1, 0)</f>
        <v/>
      </c>
      <c r="O213" s="3">
        <f>IF(J213&lt;0, 1, 0)</f>
        <v/>
      </c>
      <c r="P213" s="3">
        <f>SUM($J$3:J213)</f>
        <v/>
      </c>
      <c r="Q213" s="3">
        <f>P213/METRICS!$C$14*100</f>
        <v/>
      </c>
      <c r="R213" s="3">
        <f>METRICS!$C$14+P213</f>
        <v/>
      </c>
      <c r="S213" s="3">
        <f>MAX($R$3:R213)</f>
        <v/>
      </c>
      <c r="T213" s="3">
        <f>R213-S213</f>
        <v/>
      </c>
      <c r="U213" s="3">
        <f>(R213-S213)/S213*100</f>
        <v/>
      </c>
      <c r="V213" s="3">
        <f>IF(K213&lt;0, (K213/100)^2, 0)</f>
        <v/>
      </c>
    </row>
    <row r="214">
      <c r="A214" s="3">
        <f>TEXT(212, """T""0000")</f>
        <v/>
      </c>
      <c r="B214" s="3">
        <f>RAW_INPUT!A214</f>
        <v/>
      </c>
      <c r="C214" s="3">
        <f>RAW_INPUT!B214</f>
        <v/>
      </c>
      <c r="D214" s="3">
        <f>RAW_INPUT!D214</f>
        <v/>
      </c>
      <c r="E214" s="3">
        <f>D214-C214</f>
        <v/>
      </c>
      <c r="F214" s="3">
        <f>RAW_INPUT!C214</f>
        <v/>
      </c>
      <c r="G214" s="3">
        <f>RAW_INPUT!E214</f>
        <v/>
      </c>
      <c r="H214" s="3">
        <f>I214/F214</f>
        <v/>
      </c>
      <c r="I214" s="3">
        <f>METRICS!$C$14 * 0.02</f>
        <v/>
      </c>
      <c r="J214" s="3">
        <f>(G214-F214)*H214</f>
        <v/>
      </c>
      <c r="K214" s="3">
        <f>(G214-F214)/F214*100</f>
        <v/>
      </c>
      <c r="L214" s="3">
        <f>RAW_INPUT!F214</f>
        <v/>
      </c>
      <c r="M214" s="3">
        <f>K214-L214</f>
        <v/>
      </c>
      <c r="N214" s="3">
        <f>IF(J214&gt;0, 1, 0)</f>
        <v/>
      </c>
      <c r="O214" s="3">
        <f>IF(J214&lt;0, 1, 0)</f>
        <v/>
      </c>
      <c r="P214" s="3">
        <f>SUM($J$3:J214)</f>
        <v/>
      </c>
      <c r="Q214" s="3">
        <f>P214/METRICS!$C$14*100</f>
        <v/>
      </c>
      <c r="R214" s="3">
        <f>METRICS!$C$14+P214</f>
        <v/>
      </c>
      <c r="S214" s="3">
        <f>MAX($R$3:R214)</f>
        <v/>
      </c>
      <c r="T214" s="3">
        <f>R214-S214</f>
        <v/>
      </c>
      <c r="U214" s="3">
        <f>(R214-S214)/S214*100</f>
        <v/>
      </c>
      <c r="V214" s="3">
        <f>IF(K214&lt;0, (K214/100)^2, 0)</f>
        <v/>
      </c>
    </row>
    <row r="215">
      <c r="A215" s="3">
        <f>TEXT(213, """T""0000")</f>
        <v/>
      </c>
      <c r="B215" s="3">
        <f>RAW_INPUT!A215</f>
        <v/>
      </c>
      <c r="C215" s="3">
        <f>RAW_INPUT!B215</f>
        <v/>
      </c>
      <c r="D215" s="3">
        <f>RAW_INPUT!D215</f>
        <v/>
      </c>
      <c r="E215" s="3">
        <f>D215-C215</f>
        <v/>
      </c>
      <c r="F215" s="3">
        <f>RAW_INPUT!C215</f>
        <v/>
      </c>
      <c r="G215" s="3">
        <f>RAW_INPUT!E215</f>
        <v/>
      </c>
      <c r="H215" s="3">
        <f>I215/F215</f>
        <v/>
      </c>
      <c r="I215" s="3">
        <f>METRICS!$C$14 * 0.02</f>
        <v/>
      </c>
      <c r="J215" s="3">
        <f>(G215-F215)*H215</f>
        <v/>
      </c>
      <c r="K215" s="3">
        <f>(G215-F215)/F215*100</f>
        <v/>
      </c>
      <c r="L215" s="3">
        <f>RAW_INPUT!F215</f>
        <v/>
      </c>
      <c r="M215" s="3">
        <f>K215-L215</f>
        <v/>
      </c>
      <c r="N215" s="3">
        <f>IF(J215&gt;0, 1, 0)</f>
        <v/>
      </c>
      <c r="O215" s="3">
        <f>IF(J215&lt;0, 1, 0)</f>
        <v/>
      </c>
      <c r="P215" s="3">
        <f>SUM($J$3:J215)</f>
        <v/>
      </c>
      <c r="Q215" s="3">
        <f>P215/METRICS!$C$14*100</f>
        <v/>
      </c>
      <c r="R215" s="3">
        <f>METRICS!$C$14+P215</f>
        <v/>
      </c>
      <c r="S215" s="3">
        <f>MAX($R$3:R215)</f>
        <v/>
      </c>
      <c r="T215" s="3">
        <f>R215-S215</f>
        <v/>
      </c>
      <c r="U215" s="3">
        <f>(R215-S215)/S215*100</f>
        <v/>
      </c>
      <c r="V215" s="3">
        <f>IF(K215&lt;0, (K215/100)^2, 0)</f>
        <v/>
      </c>
    </row>
    <row r="216">
      <c r="A216" s="3">
        <f>TEXT(214, """T""0000")</f>
        <v/>
      </c>
      <c r="B216" s="3">
        <f>RAW_INPUT!A216</f>
        <v/>
      </c>
      <c r="C216" s="3">
        <f>RAW_INPUT!B216</f>
        <v/>
      </c>
      <c r="D216" s="3">
        <f>RAW_INPUT!D216</f>
        <v/>
      </c>
      <c r="E216" s="3">
        <f>D216-C216</f>
        <v/>
      </c>
      <c r="F216" s="3">
        <f>RAW_INPUT!C216</f>
        <v/>
      </c>
      <c r="G216" s="3">
        <f>RAW_INPUT!E216</f>
        <v/>
      </c>
      <c r="H216" s="3">
        <f>I216/F216</f>
        <v/>
      </c>
      <c r="I216" s="3">
        <f>METRICS!$C$14 * 0.02</f>
        <v/>
      </c>
      <c r="J216" s="3">
        <f>(G216-F216)*H216</f>
        <v/>
      </c>
      <c r="K216" s="3">
        <f>(G216-F216)/F216*100</f>
        <v/>
      </c>
      <c r="L216" s="3">
        <f>RAW_INPUT!F216</f>
        <v/>
      </c>
      <c r="M216" s="3">
        <f>K216-L216</f>
        <v/>
      </c>
      <c r="N216" s="3">
        <f>IF(J216&gt;0, 1, 0)</f>
        <v/>
      </c>
      <c r="O216" s="3">
        <f>IF(J216&lt;0, 1, 0)</f>
        <v/>
      </c>
      <c r="P216" s="3">
        <f>SUM($J$3:J216)</f>
        <v/>
      </c>
      <c r="Q216" s="3">
        <f>P216/METRICS!$C$14*100</f>
        <v/>
      </c>
      <c r="R216" s="3">
        <f>METRICS!$C$14+P216</f>
        <v/>
      </c>
      <c r="S216" s="3">
        <f>MAX($R$3:R216)</f>
        <v/>
      </c>
      <c r="T216" s="3">
        <f>R216-S216</f>
        <v/>
      </c>
      <c r="U216" s="3">
        <f>(R216-S216)/S216*100</f>
        <v/>
      </c>
      <c r="V216" s="3">
        <f>IF(K216&lt;0, (K216/100)^2, 0)</f>
        <v/>
      </c>
    </row>
    <row r="217">
      <c r="A217" s="3">
        <f>TEXT(215, """T""0000")</f>
        <v/>
      </c>
      <c r="B217" s="3">
        <f>RAW_INPUT!A217</f>
        <v/>
      </c>
      <c r="C217" s="3">
        <f>RAW_INPUT!B217</f>
        <v/>
      </c>
      <c r="D217" s="3">
        <f>RAW_INPUT!D217</f>
        <v/>
      </c>
      <c r="E217" s="3">
        <f>D217-C217</f>
        <v/>
      </c>
      <c r="F217" s="3">
        <f>RAW_INPUT!C217</f>
        <v/>
      </c>
      <c r="G217" s="3">
        <f>RAW_INPUT!E217</f>
        <v/>
      </c>
      <c r="H217" s="3">
        <f>I217/F217</f>
        <v/>
      </c>
      <c r="I217" s="3">
        <f>METRICS!$C$14 * 0.02</f>
        <v/>
      </c>
      <c r="J217" s="3">
        <f>(G217-F217)*H217</f>
        <v/>
      </c>
      <c r="K217" s="3">
        <f>(G217-F217)/F217*100</f>
        <v/>
      </c>
      <c r="L217" s="3">
        <f>RAW_INPUT!F217</f>
        <v/>
      </c>
      <c r="M217" s="3">
        <f>K217-L217</f>
        <v/>
      </c>
      <c r="N217" s="3">
        <f>IF(J217&gt;0, 1, 0)</f>
        <v/>
      </c>
      <c r="O217" s="3">
        <f>IF(J217&lt;0, 1, 0)</f>
        <v/>
      </c>
      <c r="P217" s="3">
        <f>SUM($J$3:J217)</f>
        <v/>
      </c>
      <c r="Q217" s="3">
        <f>P217/METRICS!$C$14*100</f>
        <v/>
      </c>
      <c r="R217" s="3">
        <f>METRICS!$C$14+P217</f>
        <v/>
      </c>
      <c r="S217" s="3">
        <f>MAX($R$3:R217)</f>
        <v/>
      </c>
      <c r="T217" s="3">
        <f>R217-S217</f>
        <v/>
      </c>
      <c r="U217" s="3">
        <f>(R217-S217)/S217*100</f>
        <v/>
      </c>
      <c r="V217" s="3">
        <f>IF(K217&lt;0, (K217/100)^2, 0)</f>
        <v/>
      </c>
    </row>
    <row r="218">
      <c r="A218" s="3">
        <f>TEXT(216, """T""0000")</f>
        <v/>
      </c>
      <c r="B218" s="3">
        <f>RAW_INPUT!A218</f>
        <v/>
      </c>
      <c r="C218" s="3">
        <f>RAW_INPUT!B218</f>
        <v/>
      </c>
      <c r="D218" s="3">
        <f>RAW_INPUT!D218</f>
        <v/>
      </c>
      <c r="E218" s="3">
        <f>D218-C218</f>
        <v/>
      </c>
      <c r="F218" s="3">
        <f>RAW_INPUT!C218</f>
        <v/>
      </c>
      <c r="G218" s="3">
        <f>RAW_INPUT!E218</f>
        <v/>
      </c>
      <c r="H218" s="3">
        <f>I218/F218</f>
        <v/>
      </c>
      <c r="I218" s="3">
        <f>METRICS!$C$14 * 0.02</f>
        <v/>
      </c>
      <c r="J218" s="3">
        <f>(G218-F218)*H218</f>
        <v/>
      </c>
      <c r="K218" s="3">
        <f>(G218-F218)/F218*100</f>
        <v/>
      </c>
      <c r="L218" s="3">
        <f>RAW_INPUT!F218</f>
        <v/>
      </c>
      <c r="M218" s="3">
        <f>K218-L218</f>
        <v/>
      </c>
      <c r="N218" s="3">
        <f>IF(J218&gt;0, 1, 0)</f>
        <v/>
      </c>
      <c r="O218" s="3">
        <f>IF(J218&lt;0, 1, 0)</f>
        <v/>
      </c>
      <c r="P218" s="3">
        <f>SUM($J$3:J218)</f>
        <v/>
      </c>
      <c r="Q218" s="3">
        <f>P218/METRICS!$C$14*100</f>
        <v/>
      </c>
      <c r="R218" s="3">
        <f>METRICS!$C$14+P218</f>
        <v/>
      </c>
      <c r="S218" s="3">
        <f>MAX($R$3:R218)</f>
        <v/>
      </c>
      <c r="T218" s="3">
        <f>R218-S218</f>
        <v/>
      </c>
      <c r="U218" s="3">
        <f>(R218-S218)/S218*100</f>
        <v/>
      </c>
      <c r="V218" s="3">
        <f>IF(K218&lt;0, (K218/100)^2, 0)</f>
        <v/>
      </c>
    </row>
    <row r="219">
      <c r="A219" s="3">
        <f>TEXT(217, """T""0000")</f>
        <v/>
      </c>
      <c r="B219" s="3">
        <f>RAW_INPUT!A219</f>
        <v/>
      </c>
      <c r="C219" s="3">
        <f>RAW_INPUT!B219</f>
        <v/>
      </c>
      <c r="D219" s="3">
        <f>RAW_INPUT!D219</f>
        <v/>
      </c>
      <c r="E219" s="3">
        <f>D219-C219</f>
        <v/>
      </c>
      <c r="F219" s="3">
        <f>RAW_INPUT!C219</f>
        <v/>
      </c>
      <c r="G219" s="3">
        <f>RAW_INPUT!E219</f>
        <v/>
      </c>
      <c r="H219" s="3">
        <f>I219/F219</f>
        <v/>
      </c>
      <c r="I219" s="3">
        <f>METRICS!$C$14 * 0.02</f>
        <v/>
      </c>
      <c r="J219" s="3">
        <f>(G219-F219)*H219</f>
        <v/>
      </c>
      <c r="K219" s="3">
        <f>(G219-F219)/F219*100</f>
        <v/>
      </c>
      <c r="L219" s="3">
        <f>RAW_INPUT!F219</f>
        <v/>
      </c>
      <c r="M219" s="3">
        <f>K219-L219</f>
        <v/>
      </c>
      <c r="N219" s="3">
        <f>IF(J219&gt;0, 1, 0)</f>
        <v/>
      </c>
      <c r="O219" s="3">
        <f>IF(J219&lt;0, 1, 0)</f>
        <v/>
      </c>
      <c r="P219" s="3">
        <f>SUM($J$3:J219)</f>
        <v/>
      </c>
      <c r="Q219" s="3">
        <f>P219/METRICS!$C$14*100</f>
        <v/>
      </c>
      <c r="R219" s="3">
        <f>METRICS!$C$14+P219</f>
        <v/>
      </c>
      <c r="S219" s="3">
        <f>MAX($R$3:R219)</f>
        <v/>
      </c>
      <c r="T219" s="3">
        <f>R219-S219</f>
        <v/>
      </c>
      <c r="U219" s="3">
        <f>(R219-S219)/S219*100</f>
        <v/>
      </c>
      <c r="V219" s="3">
        <f>IF(K219&lt;0, (K219/100)^2, 0)</f>
        <v/>
      </c>
    </row>
    <row r="220">
      <c r="A220" s="3">
        <f>TEXT(218, """T""0000")</f>
        <v/>
      </c>
      <c r="B220" s="3">
        <f>RAW_INPUT!A220</f>
        <v/>
      </c>
      <c r="C220" s="3">
        <f>RAW_INPUT!B220</f>
        <v/>
      </c>
      <c r="D220" s="3">
        <f>RAW_INPUT!D220</f>
        <v/>
      </c>
      <c r="E220" s="3">
        <f>D220-C220</f>
        <v/>
      </c>
      <c r="F220" s="3">
        <f>RAW_INPUT!C220</f>
        <v/>
      </c>
      <c r="G220" s="3">
        <f>RAW_INPUT!E220</f>
        <v/>
      </c>
      <c r="H220" s="3">
        <f>I220/F220</f>
        <v/>
      </c>
      <c r="I220" s="3">
        <f>METRICS!$C$14 * 0.02</f>
        <v/>
      </c>
      <c r="J220" s="3">
        <f>(G220-F220)*H220</f>
        <v/>
      </c>
      <c r="K220" s="3">
        <f>(G220-F220)/F220*100</f>
        <v/>
      </c>
      <c r="L220" s="3">
        <f>RAW_INPUT!F220</f>
        <v/>
      </c>
      <c r="M220" s="3">
        <f>K220-L220</f>
        <v/>
      </c>
      <c r="N220" s="3">
        <f>IF(J220&gt;0, 1, 0)</f>
        <v/>
      </c>
      <c r="O220" s="3">
        <f>IF(J220&lt;0, 1, 0)</f>
        <v/>
      </c>
      <c r="P220" s="3">
        <f>SUM($J$3:J220)</f>
        <v/>
      </c>
      <c r="Q220" s="3">
        <f>P220/METRICS!$C$14*100</f>
        <v/>
      </c>
      <c r="R220" s="3">
        <f>METRICS!$C$14+P220</f>
        <v/>
      </c>
      <c r="S220" s="3">
        <f>MAX($R$3:R220)</f>
        <v/>
      </c>
      <c r="T220" s="3">
        <f>R220-S220</f>
        <v/>
      </c>
      <c r="U220" s="3">
        <f>(R220-S220)/S220*100</f>
        <v/>
      </c>
      <c r="V220" s="3">
        <f>IF(K220&lt;0, (K220/100)^2, 0)</f>
        <v/>
      </c>
    </row>
    <row r="221">
      <c r="A221" s="3">
        <f>TEXT(219, """T""0000")</f>
        <v/>
      </c>
      <c r="B221" s="3">
        <f>RAW_INPUT!A221</f>
        <v/>
      </c>
      <c r="C221" s="3">
        <f>RAW_INPUT!B221</f>
        <v/>
      </c>
      <c r="D221" s="3">
        <f>RAW_INPUT!D221</f>
        <v/>
      </c>
      <c r="E221" s="3">
        <f>D221-C221</f>
        <v/>
      </c>
      <c r="F221" s="3">
        <f>RAW_INPUT!C221</f>
        <v/>
      </c>
      <c r="G221" s="3">
        <f>RAW_INPUT!E221</f>
        <v/>
      </c>
      <c r="H221" s="3">
        <f>I221/F221</f>
        <v/>
      </c>
      <c r="I221" s="3">
        <f>METRICS!$C$14 * 0.02</f>
        <v/>
      </c>
      <c r="J221" s="3">
        <f>(G221-F221)*H221</f>
        <v/>
      </c>
      <c r="K221" s="3">
        <f>(G221-F221)/F221*100</f>
        <v/>
      </c>
      <c r="L221" s="3">
        <f>RAW_INPUT!F221</f>
        <v/>
      </c>
      <c r="M221" s="3">
        <f>K221-L221</f>
        <v/>
      </c>
      <c r="N221" s="3">
        <f>IF(J221&gt;0, 1, 0)</f>
        <v/>
      </c>
      <c r="O221" s="3">
        <f>IF(J221&lt;0, 1, 0)</f>
        <v/>
      </c>
      <c r="P221" s="3">
        <f>SUM($J$3:J221)</f>
        <v/>
      </c>
      <c r="Q221" s="3">
        <f>P221/METRICS!$C$14*100</f>
        <v/>
      </c>
      <c r="R221" s="3">
        <f>METRICS!$C$14+P221</f>
        <v/>
      </c>
      <c r="S221" s="3">
        <f>MAX($R$3:R221)</f>
        <v/>
      </c>
      <c r="T221" s="3">
        <f>R221-S221</f>
        <v/>
      </c>
      <c r="U221" s="3">
        <f>(R221-S221)/S221*100</f>
        <v/>
      </c>
      <c r="V221" s="3">
        <f>IF(K221&lt;0, (K221/100)^2, 0)</f>
        <v/>
      </c>
    </row>
    <row r="222">
      <c r="A222" s="3">
        <f>TEXT(220, """T""0000")</f>
        <v/>
      </c>
      <c r="B222" s="3">
        <f>RAW_INPUT!A222</f>
        <v/>
      </c>
      <c r="C222" s="3">
        <f>RAW_INPUT!B222</f>
        <v/>
      </c>
      <c r="D222" s="3">
        <f>RAW_INPUT!D222</f>
        <v/>
      </c>
      <c r="E222" s="3">
        <f>D222-C222</f>
        <v/>
      </c>
      <c r="F222" s="3">
        <f>RAW_INPUT!C222</f>
        <v/>
      </c>
      <c r="G222" s="3">
        <f>RAW_INPUT!E222</f>
        <v/>
      </c>
      <c r="H222" s="3">
        <f>I222/F222</f>
        <v/>
      </c>
      <c r="I222" s="3">
        <f>METRICS!$C$14 * 0.02</f>
        <v/>
      </c>
      <c r="J222" s="3">
        <f>(G222-F222)*H222</f>
        <v/>
      </c>
      <c r="K222" s="3">
        <f>(G222-F222)/F222*100</f>
        <v/>
      </c>
      <c r="L222" s="3">
        <f>RAW_INPUT!F222</f>
        <v/>
      </c>
      <c r="M222" s="3">
        <f>K222-L222</f>
        <v/>
      </c>
      <c r="N222" s="3">
        <f>IF(J222&gt;0, 1, 0)</f>
        <v/>
      </c>
      <c r="O222" s="3">
        <f>IF(J222&lt;0, 1, 0)</f>
        <v/>
      </c>
      <c r="P222" s="3">
        <f>SUM($J$3:J222)</f>
        <v/>
      </c>
      <c r="Q222" s="3">
        <f>P222/METRICS!$C$14*100</f>
        <v/>
      </c>
      <c r="R222" s="3">
        <f>METRICS!$C$14+P222</f>
        <v/>
      </c>
      <c r="S222" s="3">
        <f>MAX($R$3:R222)</f>
        <v/>
      </c>
      <c r="T222" s="3">
        <f>R222-S222</f>
        <v/>
      </c>
      <c r="U222" s="3">
        <f>(R222-S222)/S222*100</f>
        <v/>
      </c>
      <c r="V222" s="3">
        <f>IF(K222&lt;0, (K222/100)^2, 0)</f>
        <v/>
      </c>
    </row>
    <row r="223">
      <c r="A223" s="3">
        <f>TEXT(221, """T""0000")</f>
        <v/>
      </c>
      <c r="B223" s="3">
        <f>RAW_INPUT!A223</f>
        <v/>
      </c>
      <c r="C223" s="3">
        <f>RAW_INPUT!B223</f>
        <v/>
      </c>
      <c r="D223" s="3">
        <f>RAW_INPUT!D223</f>
        <v/>
      </c>
      <c r="E223" s="3">
        <f>D223-C223</f>
        <v/>
      </c>
      <c r="F223" s="3">
        <f>RAW_INPUT!C223</f>
        <v/>
      </c>
      <c r="G223" s="3">
        <f>RAW_INPUT!E223</f>
        <v/>
      </c>
      <c r="H223" s="3">
        <f>I223/F223</f>
        <v/>
      </c>
      <c r="I223" s="3">
        <f>METRICS!$C$14 * 0.02</f>
        <v/>
      </c>
      <c r="J223" s="3">
        <f>(G223-F223)*H223</f>
        <v/>
      </c>
      <c r="K223" s="3">
        <f>(G223-F223)/F223*100</f>
        <v/>
      </c>
      <c r="L223" s="3">
        <f>RAW_INPUT!F223</f>
        <v/>
      </c>
      <c r="M223" s="3">
        <f>K223-L223</f>
        <v/>
      </c>
      <c r="N223" s="3">
        <f>IF(J223&gt;0, 1, 0)</f>
        <v/>
      </c>
      <c r="O223" s="3">
        <f>IF(J223&lt;0, 1, 0)</f>
        <v/>
      </c>
      <c r="P223" s="3">
        <f>SUM($J$3:J223)</f>
        <v/>
      </c>
      <c r="Q223" s="3">
        <f>P223/METRICS!$C$14*100</f>
        <v/>
      </c>
      <c r="R223" s="3">
        <f>METRICS!$C$14+P223</f>
        <v/>
      </c>
      <c r="S223" s="3">
        <f>MAX($R$3:R223)</f>
        <v/>
      </c>
      <c r="T223" s="3">
        <f>R223-S223</f>
        <v/>
      </c>
      <c r="U223" s="3">
        <f>(R223-S223)/S223*100</f>
        <v/>
      </c>
      <c r="V223" s="3">
        <f>IF(K223&lt;0, (K223/100)^2, 0)</f>
        <v/>
      </c>
    </row>
    <row r="224">
      <c r="A224" s="3">
        <f>TEXT(222, """T""0000")</f>
        <v/>
      </c>
      <c r="B224" s="3">
        <f>RAW_INPUT!A224</f>
        <v/>
      </c>
      <c r="C224" s="3">
        <f>RAW_INPUT!B224</f>
        <v/>
      </c>
      <c r="D224" s="3">
        <f>RAW_INPUT!D224</f>
        <v/>
      </c>
      <c r="E224" s="3">
        <f>D224-C224</f>
        <v/>
      </c>
      <c r="F224" s="3">
        <f>RAW_INPUT!C224</f>
        <v/>
      </c>
      <c r="G224" s="3">
        <f>RAW_INPUT!E224</f>
        <v/>
      </c>
      <c r="H224" s="3">
        <f>I224/F224</f>
        <v/>
      </c>
      <c r="I224" s="3">
        <f>METRICS!$C$14 * 0.02</f>
        <v/>
      </c>
      <c r="J224" s="3">
        <f>(G224-F224)*H224</f>
        <v/>
      </c>
      <c r="K224" s="3">
        <f>(G224-F224)/F224*100</f>
        <v/>
      </c>
      <c r="L224" s="3">
        <f>RAW_INPUT!F224</f>
        <v/>
      </c>
      <c r="M224" s="3">
        <f>K224-L224</f>
        <v/>
      </c>
      <c r="N224" s="3">
        <f>IF(J224&gt;0, 1, 0)</f>
        <v/>
      </c>
      <c r="O224" s="3">
        <f>IF(J224&lt;0, 1, 0)</f>
        <v/>
      </c>
      <c r="P224" s="3">
        <f>SUM($J$3:J224)</f>
        <v/>
      </c>
      <c r="Q224" s="3">
        <f>P224/METRICS!$C$14*100</f>
        <v/>
      </c>
      <c r="R224" s="3">
        <f>METRICS!$C$14+P224</f>
        <v/>
      </c>
      <c r="S224" s="3">
        <f>MAX($R$3:R224)</f>
        <v/>
      </c>
      <c r="T224" s="3">
        <f>R224-S224</f>
        <v/>
      </c>
      <c r="U224" s="3">
        <f>(R224-S224)/S224*100</f>
        <v/>
      </c>
      <c r="V224" s="3">
        <f>IF(K224&lt;0, (K224/100)^2, 0)</f>
        <v/>
      </c>
    </row>
    <row r="225">
      <c r="A225" s="3">
        <f>TEXT(223, """T""0000")</f>
        <v/>
      </c>
      <c r="B225" s="3">
        <f>RAW_INPUT!A225</f>
        <v/>
      </c>
      <c r="C225" s="3">
        <f>RAW_INPUT!B225</f>
        <v/>
      </c>
      <c r="D225" s="3">
        <f>RAW_INPUT!D225</f>
        <v/>
      </c>
      <c r="E225" s="3">
        <f>D225-C225</f>
        <v/>
      </c>
      <c r="F225" s="3">
        <f>RAW_INPUT!C225</f>
        <v/>
      </c>
      <c r="G225" s="3">
        <f>RAW_INPUT!E225</f>
        <v/>
      </c>
      <c r="H225" s="3">
        <f>I225/F225</f>
        <v/>
      </c>
      <c r="I225" s="3">
        <f>METRICS!$C$14 * 0.02</f>
        <v/>
      </c>
      <c r="J225" s="3">
        <f>(G225-F225)*H225</f>
        <v/>
      </c>
      <c r="K225" s="3">
        <f>(G225-F225)/F225*100</f>
        <v/>
      </c>
      <c r="L225" s="3">
        <f>RAW_INPUT!F225</f>
        <v/>
      </c>
      <c r="M225" s="3">
        <f>K225-L225</f>
        <v/>
      </c>
      <c r="N225" s="3">
        <f>IF(J225&gt;0, 1, 0)</f>
        <v/>
      </c>
      <c r="O225" s="3">
        <f>IF(J225&lt;0, 1, 0)</f>
        <v/>
      </c>
      <c r="P225" s="3">
        <f>SUM($J$3:J225)</f>
        <v/>
      </c>
      <c r="Q225" s="3">
        <f>P225/METRICS!$C$14*100</f>
        <v/>
      </c>
      <c r="R225" s="3">
        <f>METRICS!$C$14+P225</f>
        <v/>
      </c>
      <c r="S225" s="3">
        <f>MAX($R$3:R225)</f>
        <v/>
      </c>
      <c r="T225" s="3">
        <f>R225-S225</f>
        <v/>
      </c>
      <c r="U225" s="3">
        <f>(R225-S225)/S225*100</f>
        <v/>
      </c>
      <c r="V225" s="3">
        <f>IF(K225&lt;0, (K225/100)^2, 0)</f>
        <v/>
      </c>
    </row>
    <row r="226">
      <c r="A226" s="3">
        <f>TEXT(224, """T""0000")</f>
        <v/>
      </c>
      <c r="B226" s="3">
        <f>RAW_INPUT!A226</f>
        <v/>
      </c>
      <c r="C226" s="3">
        <f>RAW_INPUT!B226</f>
        <v/>
      </c>
      <c r="D226" s="3">
        <f>RAW_INPUT!D226</f>
        <v/>
      </c>
      <c r="E226" s="3">
        <f>D226-C226</f>
        <v/>
      </c>
      <c r="F226" s="3">
        <f>RAW_INPUT!C226</f>
        <v/>
      </c>
      <c r="G226" s="3">
        <f>RAW_INPUT!E226</f>
        <v/>
      </c>
      <c r="H226" s="3">
        <f>I226/F226</f>
        <v/>
      </c>
      <c r="I226" s="3">
        <f>METRICS!$C$14 * 0.02</f>
        <v/>
      </c>
      <c r="J226" s="3">
        <f>(G226-F226)*H226</f>
        <v/>
      </c>
      <c r="K226" s="3">
        <f>(G226-F226)/F226*100</f>
        <v/>
      </c>
      <c r="L226" s="3">
        <f>RAW_INPUT!F226</f>
        <v/>
      </c>
      <c r="M226" s="3">
        <f>K226-L226</f>
        <v/>
      </c>
      <c r="N226" s="3">
        <f>IF(J226&gt;0, 1, 0)</f>
        <v/>
      </c>
      <c r="O226" s="3">
        <f>IF(J226&lt;0, 1, 0)</f>
        <v/>
      </c>
      <c r="P226" s="3">
        <f>SUM($J$3:J226)</f>
        <v/>
      </c>
      <c r="Q226" s="3">
        <f>P226/METRICS!$C$14*100</f>
        <v/>
      </c>
      <c r="R226" s="3">
        <f>METRICS!$C$14+P226</f>
        <v/>
      </c>
      <c r="S226" s="3">
        <f>MAX($R$3:R226)</f>
        <v/>
      </c>
      <c r="T226" s="3">
        <f>R226-S226</f>
        <v/>
      </c>
      <c r="U226" s="3">
        <f>(R226-S226)/S226*100</f>
        <v/>
      </c>
      <c r="V226" s="3">
        <f>IF(K226&lt;0, (K226/100)^2, 0)</f>
        <v/>
      </c>
    </row>
    <row r="227">
      <c r="A227" s="3">
        <f>TEXT(225, """T""0000")</f>
        <v/>
      </c>
      <c r="B227" s="3">
        <f>RAW_INPUT!A227</f>
        <v/>
      </c>
      <c r="C227" s="3">
        <f>RAW_INPUT!B227</f>
        <v/>
      </c>
      <c r="D227" s="3">
        <f>RAW_INPUT!D227</f>
        <v/>
      </c>
      <c r="E227" s="3">
        <f>D227-C227</f>
        <v/>
      </c>
      <c r="F227" s="3">
        <f>RAW_INPUT!C227</f>
        <v/>
      </c>
      <c r="G227" s="3">
        <f>RAW_INPUT!E227</f>
        <v/>
      </c>
      <c r="H227" s="3">
        <f>I227/F227</f>
        <v/>
      </c>
      <c r="I227" s="3">
        <f>METRICS!$C$14 * 0.02</f>
        <v/>
      </c>
      <c r="J227" s="3">
        <f>(G227-F227)*H227</f>
        <v/>
      </c>
      <c r="K227" s="3">
        <f>(G227-F227)/F227*100</f>
        <v/>
      </c>
      <c r="L227" s="3">
        <f>RAW_INPUT!F227</f>
        <v/>
      </c>
      <c r="M227" s="3">
        <f>K227-L227</f>
        <v/>
      </c>
      <c r="N227" s="3">
        <f>IF(J227&gt;0, 1, 0)</f>
        <v/>
      </c>
      <c r="O227" s="3">
        <f>IF(J227&lt;0, 1, 0)</f>
        <v/>
      </c>
      <c r="P227" s="3">
        <f>SUM($J$3:J227)</f>
        <v/>
      </c>
      <c r="Q227" s="3">
        <f>P227/METRICS!$C$14*100</f>
        <v/>
      </c>
      <c r="R227" s="3">
        <f>METRICS!$C$14+P227</f>
        <v/>
      </c>
      <c r="S227" s="3">
        <f>MAX($R$3:R227)</f>
        <v/>
      </c>
      <c r="T227" s="3">
        <f>R227-S227</f>
        <v/>
      </c>
      <c r="U227" s="3">
        <f>(R227-S227)/S227*100</f>
        <v/>
      </c>
      <c r="V227" s="3">
        <f>IF(K227&lt;0, (K227/100)^2, 0)</f>
        <v/>
      </c>
    </row>
    <row r="228">
      <c r="A228" s="3">
        <f>TEXT(226, """T""0000")</f>
        <v/>
      </c>
      <c r="B228" s="3">
        <f>RAW_INPUT!A228</f>
        <v/>
      </c>
      <c r="C228" s="3">
        <f>RAW_INPUT!B228</f>
        <v/>
      </c>
      <c r="D228" s="3">
        <f>RAW_INPUT!D228</f>
        <v/>
      </c>
      <c r="E228" s="3">
        <f>D228-C228</f>
        <v/>
      </c>
      <c r="F228" s="3">
        <f>RAW_INPUT!C228</f>
        <v/>
      </c>
      <c r="G228" s="3">
        <f>RAW_INPUT!E228</f>
        <v/>
      </c>
      <c r="H228" s="3">
        <f>I228/F228</f>
        <v/>
      </c>
      <c r="I228" s="3">
        <f>METRICS!$C$14 * 0.02</f>
        <v/>
      </c>
      <c r="J228" s="3">
        <f>(G228-F228)*H228</f>
        <v/>
      </c>
      <c r="K228" s="3">
        <f>(G228-F228)/F228*100</f>
        <v/>
      </c>
      <c r="L228" s="3">
        <f>RAW_INPUT!F228</f>
        <v/>
      </c>
      <c r="M228" s="3">
        <f>K228-L228</f>
        <v/>
      </c>
      <c r="N228" s="3">
        <f>IF(J228&gt;0, 1, 0)</f>
        <v/>
      </c>
      <c r="O228" s="3">
        <f>IF(J228&lt;0, 1, 0)</f>
        <v/>
      </c>
      <c r="P228" s="3">
        <f>SUM($J$3:J228)</f>
        <v/>
      </c>
      <c r="Q228" s="3">
        <f>P228/METRICS!$C$14*100</f>
        <v/>
      </c>
      <c r="R228" s="3">
        <f>METRICS!$C$14+P228</f>
        <v/>
      </c>
      <c r="S228" s="3">
        <f>MAX($R$3:R228)</f>
        <v/>
      </c>
      <c r="T228" s="3">
        <f>R228-S228</f>
        <v/>
      </c>
      <c r="U228" s="3">
        <f>(R228-S228)/S228*100</f>
        <v/>
      </c>
      <c r="V228" s="3">
        <f>IF(K228&lt;0, (K228/100)^2, 0)</f>
        <v/>
      </c>
    </row>
    <row r="229">
      <c r="A229" s="3">
        <f>TEXT(227, """T""0000")</f>
        <v/>
      </c>
      <c r="B229" s="3">
        <f>RAW_INPUT!A229</f>
        <v/>
      </c>
      <c r="C229" s="3">
        <f>RAW_INPUT!B229</f>
        <v/>
      </c>
      <c r="D229" s="3">
        <f>RAW_INPUT!D229</f>
        <v/>
      </c>
      <c r="E229" s="3">
        <f>D229-C229</f>
        <v/>
      </c>
      <c r="F229" s="3">
        <f>RAW_INPUT!C229</f>
        <v/>
      </c>
      <c r="G229" s="3">
        <f>RAW_INPUT!E229</f>
        <v/>
      </c>
      <c r="H229" s="3">
        <f>I229/F229</f>
        <v/>
      </c>
      <c r="I229" s="3">
        <f>METRICS!$C$14 * 0.02</f>
        <v/>
      </c>
      <c r="J229" s="3">
        <f>(G229-F229)*H229</f>
        <v/>
      </c>
      <c r="K229" s="3">
        <f>(G229-F229)/F229*100</f>
        <v/>
      </c>
      <c r="L229" s="3">
        <f>RAW_INPUT!F229</f>
        <v/>
      </c>
      <c r="M229" s="3">
        <f>K229-L229</f>
        <v/>
      </c>
      <c r="N229" s="3">
        <f>IF(J229&gt;0, 1, 0)</f>
        <v/>
      </c>
      <c r="O229" s="3">
        <f>IF(J229&lt;0, 1, 0)</f>
        <v/>
      </c>
      <c r="P229" s="3">
        <f>SUM($J$3:J229)</f>
        <v/>
      </c>
      <c r="Q229" s="3">
        <f>P229/METRICS!$C$14*100</f>
        <v/>
      </c>
      <c r="R229" s="3">
        <f>METRICS!$C$14+P229</f>
        <v/>
      </c>
      <c r="S229" s="3">
        <f>MAX($R$3:R229)</f>
        <v/>
      </c>
      <c r="T229" s="3">
        <f>R229-S229</f>
        <v/>
      </c>
      <c r="U229" s="3">
        <f>(R229-S229)/S229*100</f>
        <v/>
      </c>
      <c r="V229" s="3">
        <f>IF(K229&lt;0, (K229/100)^2, 0)</f>
        <v/>
      </c>
    </row>
    <row r="230">
      <c r="A230" s="3">
        <f>TEXT(228, """T""0000")</f>
        <v/>
      </c>
      <c r="B230" s="3">
        <f>RAW_INPUT!A230</f>
        <v/>
      </c>
      <c r="C230" s="3">
        <f>RAW_INPUT!B230</f>
        <v/>
      </c>
      <c r="D230" s="3">
        <f>RAW_INPUT!D230</f>
        <v/>
      </c>
      <c r="E230" s="3">
        <f>D230-C230</f>
        <v/>
      </c>
      <c r="F230" s="3">
        <f>RAW_INPUT!C230</f>
        <v/>
      </c>
      <c r="G230" s="3">
        <f>RAW_INPUT!E230</f>
        <v/>
      </c>
      <c r="H230" s="3">
        <f>I230/F230</f>
        <v/>
      </c>
      <c r="I230" s="3">
        <f>METRICS!$C$14 * 0.02</f>
        <v/>
      </c>
      <c r="J230" s="3">
        <f>(G230-F230)*H230</f>
        <v/>
      </c>
      <c r="K230" s="3">
        <f>(G230-F230)/F230*100</f>
        <v/>
      </c>
      <c r="L230" s="3">
        <f>RAW_INPUT!F230</f>
        <v/>
      </c>
      <c r="M230" s="3">
        <f>K230-L230</f>
        <v/>
      </c>
      <c r="N230" s="3">
        <f>IF(J230&gt;0, 1, 0)</f>
        <v/>
      </c>
      <c r="O230" s="3">
        <f>IF(J230&lt;0, 1, 0)</f>
        <v/>
      </c>
      <c r="P230" s="3">
        <f>SUM($J$3:J230)</f>
        <v/>
      </c>
      <c r="Q230" s="3">
        <f>P230/METRICS!$C$14*100</f>
        <v/>
      </c>
      <c r="R230" s="3">
        <f>METRICS!$C$14+P230</f>
        <v/>
      </c>
      <c r="S230" s="3">
        <f>MAX($R$3:R230)</f>
        <v/>
      </c>
      <c r="T230" s="3">
        <f>R230-S230</f>
        <v/>
      </c>
      <c r="U230" s="3">
        <f>(R230-S230)/S230*100</f>
        <v/>
      </c>
      <c r="V230" s="3">
        <f>IF(K230&lt;0, (K230/100)^2, 0)</f>
        <v/>
      </c>
    </row>
    <row r="231">
      <c r="A231" s="3">
        <f>TEXT(229, """T""0000")</f>
        <v/>
      </c>
      <c r="B231" s="3">
        <f>RAW_INPUT!A231</f>
        <v/>
      </c>
      <c r="C231" s="3">
        <f>RAW_INPUT!B231</f>
        <v/>
      </c>
      <c r="D231" s="3">
        <f>RAW_INPUT!D231</f>
        <v/>
      </c>
      <c r="E231" s="3">
        <f>D231-C231</f>
        <v/>
      </c>
      <c r="F231" s="3">
        <f>RAW_INPUT!C231</f>
        <v/>
      </c>
      <c r="G231" s="3">
        <f>RAW_INPUT!E231</f>
        <v/>
      </c>
      <c r="H231" s="3">
        <f>I231/F231</f>
        <v/>
      </c>
      <c r="I231" s="3">
        <f>METRICS!$C$14 * 0.02</f>
        <v/>
      </c>
      <c r="J231" s="3">
        <f>(G231-F231)*H231</f>
        <v/>
      </c>
      <c r="K231" s="3">
        <f>(G231-F231)/F231*100</f>
        <v/>
      </c>
      <c r="L231" s="3">
        <f>RAW_INPUT!F231</f>
        <v/>
      </c>
      <c r="M231" s="3">
        <f>K231-L231</f>
        <v/>
      </c>
      <c r="N231" s="3">
        <f>IF(J231&gt;0, 1, 0)</f>
        <v/>
      </c>
      <c r="O231" s="3">
        <f>IF(J231&lt;0, 1, 0)</f>
        <v/>
      </c>
      <c r="P231" s="3">
        <f>SUM($J$3:J231)</f>
        <v/>
      </c>
      <c r="Q231" s="3">
        <f>P231/METRICS!$C$14*100</f>
        <v/>
      </c>
      <c r="R231" s="3">
        <f>METRICS!$C$14+P231</f>
        <v/>
      </c>
      <c r="S231" s="3">
        <f>MAX($R$3:R231)</f>
        <v/>
      </c>
      <c r="T231" s="3">
        <f>R231-S231</f>
        <v/>
      </c>
      <c r="U231" s="3">
        <f>(R231-S231)/S231*100</f>
        <v/>
      </c>
      <c r="V231" s="3">
        <f>IF(K231&lt;0, (K231/100)^2, 0)</f>
        <v/>
      </c>
    </row>
    <row r="232">
      <c r="A232" s="3">
        <f>TEXT(230, """T""0000")</f>
        <v/>
      </c>
      <c r="B232" s="3">
        <f>RAW_INPUT!A232</f>
        <v/>
      </c>
      <c r="C232" s="3">
        <f>RAW_INPUT!B232</f>
        <v/>
      </c>
      <c r="D232" s="3">
        <f>RAW_INPUT!D232</f>
        <v/>
      </c>
      <c r="E232" s="3">
        <f>D232-C232</f>
        <v/>
      </c>
      <c r="F232" s="3">
        <f>RAW_INPUT!C232</f>
        <v/>
      </c>
      <c r="G232" s="3">
        <f>RAW_INPUT!E232</f>
        <v/>
      </c>
      <c r="H232" s="3">
        <f>I232/F232</f>
        <v/>
      </c>
      <c r="I232" s="3">
        <f>METRICS!$C$14 * 0.02</f>
        <v/>
      </c>
      <c r="J232" s="3">
        <f>(G232-F232)*H232</f>
        <v/>
      </c>
      <c r="K232" s="3">
        <f>(G232-F232)/F232*100</f>
        <v/>
      </c>
      <c r="L232" s="3">
        <f>RAW_INPUT!F232</f>
        <v/>
      </c>
      <c r="M232" s="3">
        <f>K232-L232</f>
        <v/>
      </c>
      <c r="N232" s="3">
        <f>IF(J232&gt;0, 1, 0)</f>
        <v/>
      </c>
      <c r="O232" s="3">
        <f>IF(J232&lt;0, 1, 0)</f>
        <v/>
      </c>
      <c r="P232" s="3">
        <f>SUM($J$3:J232)</f>
        <v/>
      </c>
      <c r="Q232" s="3">
        <f>P232/METRICS!$C$14*100</f>
        <v/>
      </c>
      <c r="R232" s="3">
        <f>METRICS!$C$14+P232</f>
        <v/>
      </c>
      <c r="S232" s="3">
        <f>MAX($R$3:R232)</f>
        <v/>
      </c>
      <c r="T232" s="3">
        <f>R232-S232</f>
        <v/>
      </c>
      <c r="U232" s="3">
        <f>(R232-S232)/S232*100</f>
        <v/>
      </c>
      <c r="V232" s="3">
        <f>IF(K232&lt;0, (K232/100)^2, 0)</f>
        <v/>
      </c>
    </row>
    <row r="233">
      <c r="A233" s="3">
        <f>TEXT(231, """T""0000")</f>
        <v/>
      </c>
      <c r="B233" s="3">
        <f>RAW_INPUT!A233</f>
        <v/>
      </c>
      <c r="C233" s="3">
        <f>RAW_INPUT!B233</f>
        <v/>
      </c>
      <c r="D233" s="3">
        <f>RAW_INPUT!D233</f>
        <v/>
      </c>
      <c r="E233" s="3">
        <f>D233-C233</f>
        <v/>
      </c>
      <c r="F233" s="3">
        <f>RAW_INPUT!C233</f>
        <v/>
      </c>
      <c r="G233" s="3">
        <f>RAW_INPUT!E233</f>
        <v/>
      </c>
      <c r="H233" s="3">
        <f>I233/F233</f>
        <v/>
      </c>
      <c r="I233" s="3">
        <f>METRICS!$C$14 * 0.02</f>
        <v/>
      </c>
      <c r="J233" s="3">
        <f>(G233-F233)*H233</f>
        <v/>
      </c>
      <c r="K233" s="3">
        <f>(G233-F233)/F233*100</f>
        <v/>
      </c>
      <c r="L233" s="3">
        <f>RAW_INPUT!F233</f>
        <v/>
      </c>
      <c r="M233" s="3">
        <f>K233-L233</f>
        <v/>
      </c>
      <c r="N233" s="3">
        <f>IF(J233&gt;0, 1, 0)</f>
        <v/>
      </c>
      <c r="O233" s="3">
        <f>IF(J233&lt;0, 1, 0)</f>
        <v/>
      </c>
      <c r="P233" s="3">
        <f>SUM($J$3:J233)</f>
        <v/>
      </c>
      <c r="Q233" s="3">
        <f>P233/METRICS!$C$14*100</f>
        <v/>
      </c>
      <c r="R233" s="3">
        <f>METRICS!$C$14+P233</f>
        <v/>
      </c>
      <c r="S233" s="3">
        <f>MAX($R$3:R233)</f>
        <v/>
      </c>
      <c r="T233" s="3">
        <f>R233-S233</f>
        <v/>
      </c>
      <c r="U233" s="3">
        <f>(R233-S233)/S233*100</f>
        <v/>
      </c>
      <c r="V233" s="3">
        <f>IF(K233&lt;0, (K233/100)^2, 0)</f>
        <v/>
      </c>
    </row>
    <row r="234">
      <c r="A234" s="3">
        <f>TEXT(232, """T""0000")</f>
        <v/>
      </c>
      <c r="B234" s="3">
        <f>RAW_INPUT!A234</f>
        <v/>
      </c>
      <c r="C234" s="3">
        <f>RAW_INPUT!B234</f>
        <v/>
      </c>
      <c r="D234" s="3">
        <f>RAW_INPUT!D234</f>
        <v/>
      </c>
      <c r="E234" s="3">
        <f>D234-C234</f>
        <v/>
      </c>
      <c r="F234" s="3">
        <f>RAW_INPUT!C234</f>
        <v/>
      </c>
      <c r="G234" s="3">
        <f>RAW_INPUT!E234</f>
        <v/>
      </c>
      <c r="H234" s="3">
        <f>I234/F234</f>
        <v/>
      </c>
      <c r="I234" s="3">
        <f>METRICS!$C$14 * 0.02</f>
        <v/>
      </c>
      <c r="J234" s="3">
        <f>(G234-F234)*H234</f>
        <v/>
      </c>
      <c r="K234" s="3">
        <f>(G234-F234)/F234*100</f>
        <v/>
      </c>
      <c r="L234" s="3">
        <f>RAW_INPUT!F234</f>
        <v/>
      </c>
      <c r="M234" s="3">
        <f>K234-L234</f>
        <v/>
      </c>
      <c r="N234" s="3">
        <f>IF(J234&gt;0, 1, 0)</f>
        <v/>
      </c>
      <c r="O234" s="3">
        <f>IF(J234&lt;0, 1, 0)</f>
        <v/>
      </c>
      <c r="P234" s="3">
        <f>SUM($J$3:J234)</f>
        <v/>
      </c>
      <c r="Q234" s="3">
        <f>P234/METRICS!$C$14*100</f>
        <v/>
      </c>
      <c r="R234" s="3">
        <f>METRICS!$C$14+P234</f>
        <v/>
      </c>
      <c r="S234" s="3">
        <f>MAX($R$3:R234)</f>
        <v/>
      </c>
      <c r="T234" s="3">
        <f>R234-S234</f>
        <v/>
      </c>
      <c r="U234" s="3">
        <f>(R234-S234)/S234*100</f>
        <v/>
      </c>
      <c r="V234" s="3">
        <f>IF(K234&lt;0, (K234/100)^2, 0)</f>
        <v/>
      </c>
    </row>
    <row r="235">
      <c r="A235" s="3">
        <f>TEXT(233, """T""0000")</f>
        <v/>
      </c>
      <c r="B235" s="3">
        <f>RAW_INPUT!A235</f>
        <v/>
      </c>
      <c r="C235" s="3">
        <f>RAW_INPUT!B235</f>
        <v/>
      </c>
      <c r="D235" s="3">
        <f>RAW_INPUT!D235</f>
        <v/>
      </c>
      <c r="E235" s="3">
        <f>D235-C235</f>
        <v/>
      </c>
      <c r="F235" s="3">
        <f>RAW_INPUT!C235</f>
        <v/>
      </c>
      <c r="G235" s="3">
        <f>RAW_INPUT!E235</f>
        <v/>
      </c>
      <c r="H235" s="3">
        <f>I235/F235</f>
        <v/>
      </c>
      <c r="I235" s="3">
        <f>METRICS!$C$14 * 0.02</f>
        <v/>
      </c>
      <c r="J235" s="3">
        <f>(G235-F235)*H235</f>
        <v/>
      </c>
      <c r="K235" s="3">
        <f>(G235-F235)/F235*100</f>
        <v/>
      </c>
      <c r="L235" s="3">
        <f>RAW_INPUT!F235</f>
        <v/>
      </c>
      <c r="M235" s="3">
        <f>K235-L235</f>
        <v/>
      </c>
      <c r="N235" s="3">
        <f>IF(J235&gt;0, 1, 0)</f>
        <v/>
      </c>
      <c r="O235" s="3">
        <f>IF(J235&lt;0, 1, 0)</f>
        <v/>
      </c>
      <c r="P235" s="3">
        <f>SUM($J$3:J235)</f>
        <v/>
      </c>
      <c r="Q235" s="3">
        <f>P235/METRICS!$C$14*100</f>
        <v/>
      </c>
      <c r="R235" s="3">
        <f>METRICS!$C$14+P235</f>
        <v/>
      </c>
      <c r="S235" s="3">
        <f>MAX($R$3:R235)</f>
        <v/>
      </c>
      <c r="T235" s="3">
        <f>R235-S235</f>
        <v/>
      </c>
      <c r="U235" s="3">
        <f>(R235-S235)/S235*100</f>
        <v/>
      </c>
      <c r="V235" s="3">
        <f>IF(K235&lt;0, (K235/100)^2, 0)</f>
        <v/>
      </c>
    </row>
    <row r="236">
      <c r="A236" s="3">
        <f>TEXT(234, """T""0000")</f>
        <v/>
      </c>
      <c r="B236" s="3">
        <f>RAW_INPUT!A236</f>
        <v/>
      </c>
      <c r="C236" s="3">
        <f>RAW_INPUT!B236</f>
        <v/>
      </c>
      <c r="D236" s="3">
        <f>RAW_INPUT!D236</f>
        <v/>
      </c>
      <c r="E236" s="3">
        <f>D236-C236</f>
        <v/>
      </c>
      <c r="F236" s="3">
        <f>RAW_INPUT!C236</f>
        <v/>
      </c>
      <c r="G236" s="3">
        <f>RAW_INPUT!E236</f>
        <v/>
      </c>
      <c r="H236" s="3">
        <f>I236/F236</f>
        <v/>
      </c>
      <c r="I236" s="3">
        <f>METRICS!$C$14 * 0.02</f>
        <v/>
      </c>
      <c r="J236" s="3">
        <f>(G236-F236)*H236</f>
        <v/>
      </c>
      <c r="K236" s="3">
        <f>(G236-F236)/F236*100</f>
        <v/>
      </c>
      <c r="L236" s="3">
        <f>RAW_INPUT!F236</f>
        <v/>
      </c>
      <c r="M236" s="3">
        <f>K236-L236</f>
        <v/>
      </c>
      <c r="N236" s="3">
        <f>IF(J236&gt;0, 1, 0)</f>
        <v/>
      </c>
      <c r="O236" s="3">
        <f>IF(J236&lt;0, 1, 0)</f>
        <v/>
      </c>
      <c r="P236" s="3">
        <f>SUM($J$3:J236)</f>
        <v/>
      </c>
      <c r="Q236" s="3">
        <f>P236/METRICS!$C$14*100</f>
        <v/>
      </c>
      <c r="R236" s="3">
        <f>METRICS!$C$14+P236</f>
        <v/>
      </c>
      <c r="S236" s="3">
        <f>MAX($R$3:R236)</f>
        <v/>
      </c>
      <c r="T236" s="3">
        <f>R236-S236</f>
        <v/>
      </c>
      <c r="U236" s="3">
        <f>(R236-S236)/S236*100</f>
        <v/>
      </c>
      <c r="V236" s="3">
        <f>IF(K236&lt;0, (K236/100)^2, 0)</f>
        <v/>
      </c>
    </row>
    <row r="237">
      <c r="A237" s="3">
        <f>TEXT(235, """T""0000")</f>
        <v/>
      </c>
      <c r="B237" s="3">
        <f>RAW_INPUT!A237</f>
        <v/>
      </c>
      <c r="C237" s="3">
        <f>RAW_INPUT!B237</f>
        <v/>
      </c>
      <c r="D237" s="3">
        <f>RAW_INPUT!D237</f>
        <v/>
      </c>
      <c r="E237" s="3">
        <f>D237-C237</f>
        <v/>
      </c>
      <c r="F237" s="3">
        <f>RAW_INPUT!C237</f>
        <v/>
      </c>
      <c r="G237" s="3">
        <f>RAW_INPUT!E237</f>
        <v/>
      </c>
      <c r="H237" s="3">
        <f>I237/F237</f>
        <v/>
      </c>
      <c r="I237" s="3">
        <f>METRICS!$C$14 * 0.02</f>
        <v/>
      </c>
      <c r="J237" s="3">
        <f>(G237-F237)*H237</f>
        <v/>
      </c>
      <c r="K237" s="3">
        <f>(G237-F237)/F237*100</f>
        <v/>
      </c>
      <c r="L237" s="3">
        <f>RAW_INPUT!F237</f>
        <v/>
      </c>
      <c r="M237" s="3">
        <f>K237-L237</f>
        <v/>
      </c>
      <c r="N237" s="3">
        <f>IF(J237&gt;0, 1, 0)</f>
        <v/>
      </c>
      <c r="O237" s="3">
        <f>IF(J237&lt;0, 1, 0)</f>
        <v/>
      </c>
      <c r="P237" s="3">
        <f>SUM($J$3:J237)</f>
        <v/>
      </c>
      <c r="Q237" s="3">
        <f>P237/METRICS!$C$14*100</f>
        <v/>
      </c>
      <c r="R237" s="3">
        <f>METRICS!$C$14+P237</f>
        <v/>
      </c>
      <c r="S237" s="3">
        <f>MAX($R$3:R237)</f>
        <v/>
      </c>
      <c r="T237" s="3">
        <f>R237-S237</f>
        <v/>
      </c>
      <c r="U237" s="3">
        <f>(R237-S237)/S237*100</f>
        <v/>
      </c>
      <c r="V237" s="3">
        <f>IF(K237&lt;0, (K237/100)^2, 0)</f>
        <v/>
      </c>
    </row>
    <row r="238">
      <c r="A238" s="3">
        <f>TEXT(236, """T""0000")</f>
        <v/>
      </c>
      <c r="B238" s="3">
        <f>RAW_INPUT!A238</f>
        <v/>
      </c>
      <c r="C238" s="3">
        <f>RAW_INPUT!B238</f>
        <v/>
      </c>
      <c r="D238" s="3">
        <f>RAW_INPUT!D238</f>
        <v/>
      </c>
      <c r="E238" s="3">
        <f>D238-C238</f>
        <v/>
      </c>
      <c r="F238" s="3">
        <f>RAW_INPUT!C238</f>
        <v/>
      </c>
      <c r="G238" s="3">
        <f>RAW_INPUT!E238</f>
        <v/>
      </c>
      <c r="H238" s="3">
        <f>I238/F238</f>
        <v/>
      </c>
      <c r="I238" s="3">
        <f>METRICS!$C$14 * 0.02</f>
        <v/>
      </c>
      <c r="J238" s="3">
        <f>(G238-F238)*H238</f>
        <v/>
      </c>
      <c r="K238" s="3">
        <f>(G238-F238)/F238*100</f>
        <v/>
      </c>
      <c r="L238" s="3">
        <f>RAW_INPUT!F238</f>
        <v/>
      </c>
      <c r="M238" s="3">
        <f>K238-L238</f>
        <v/>
      </c>
      <c r="N238" s="3">
        <f>IF(J238&gt;0, 1, 0)</f>
        <v/>
      </c>
      <c r="O238" s="3">
        <f>IF(J238&lt;0, 1, 0)</f>
        <v/>
      </c>
      <c r="P238" s="3">
        <f>SUM($J$3:J238)</f>
        <v/>
      </c>
      <c r="Q238" s="3">
        <f>P238/METRICS!$C$14*100</f>
        <v/>
      </c>
      <c r="R238" s="3">
        <f>METRICS!$C$14+P238</f>
        <v/>
      </c>
      <c r="S238" s="3">
        <f>MAX($R$3:R238)</f>
        <v/>
      </c>
      <c r="T238" s="3">
        <f>R238-S238</f>
        <v/>
      </c>
      <c r="U238" s="3">
        <f>(R238-S238)/S238*100</f>
        <v/>
      </c>
      <c r="V238" s="3">
        <f>IF(K238&lt;0, (K238/100)^2, 0)</f>
        <v/>
      </c>
    </row>
    <row r="239">
      <c r="A239" s="3">
        <f>TEXT(237, """T""0000")</f>
        <v/>
      </c>
      <c r="B239" s="3">
        <f>RAW_INPUT!A239</f>
        <v/>
      </c>
      <c r="C239" s="3">
        <f>RAW_INPUT!B239</f>
        <v/>
      </c>
      <c r="D239" s="3">
        <f>RAW_INPUT!D239</f>
        <v/>
      </c>
      <c r="E239" s="3">
        <f>D239-C239</f>
        <v/>
      </c>
      <c r="F239" s="3">
        <f>RAW_INPUT!C239</f>
        <v/>
      </c>
      <c r="G239" s="3">
        <f>RAW_INPUT!E239</f>
        <v/>
      </c>
      <c r="H239" s="3">
        <f>I239/F239</f>
        <v/>
      </c>
      <c r="I239" s="3">
        <f>METRICS!$C$14 * 0.02</f>
        <v/>
      </c>
      <c r="J239" s="3">
        <f>(G239-F239)*H239</f>
        <v/>
      </c>
      <c r="K239" s="3">
        <f>(G239-F239)/F239*100</f>
        <v/>
      </c>
      <c r="L239" s="3">
        <f>RAW_INPUT!F239</f>
        <v/>
      </c>
      <c r="M239" s="3">
        <f>K239-L239</f>
        <v/>
      </c>
      <c r="N239" s="3">
        <f>IF(J239&gt;0, 1, 0)</f>
        <v/>
      </c>
      <c r="O239" s="3">
        <f>IF(J239&lt;0, 1, 0)</f>
        <v/>
      </c>
      <c r="P239" s="3">
        <f>SUM($J$3:J239)</f>
        <v/>
      </c>
      <c r="Q239" s="3">
        <f>P239/METRICS!$C$14*100</f>
        <v/>
      </c>
      <c r="R239" s="3">
        <f>METRICS!$C$14+P239</f>
        <v/>
      </c>
      <c r="S239" s="3">
        <f>MAX($R$3:R239)</f>
        <v/>
      </c>
      <c r="T239" s="3">
        <f>R239-S239</f>
        <v/>
      </c>
      <c r="U239" s="3">
        <f>(R239-S239)/S239*100</f>
        <v/>
      </c>
      <c r="V239" s="3">
        <f>IF(K239&lt;0, (K239/100)^2, 0)</f>
        <v/>
      </c>
    </row>
    <row r="240">
      <c r="A240" s="3">
        <f>TEXT(238, """T""0000")</f>
        <v/>
      </c>
      <c r="B240" s="3">
        <f>RAW_INPUT!A240</f>
        <v/>
      </c>
      <c r="C240" s="3">
        <f>RAW_INPUT!B240</f>
        <v/>
      </c>
      <c r="D240" s="3">
        <f>RAW_INPUT!D240</f>
        <v/>
      </c>
      <c r="E240" s="3">
        <f>D240-C240</f>
        <v/>
      </c>
      <c r="F240" s="3">
        <f>RAW_INPUT!C240</f>
        <v/>
      </c>
      <c r="G240" s="3">
        <f>RAW_INPUT!E240</f>
        <v/>
      </c>
      <c r="H240" s="3">
        <f>I240/F240</f>
        <v/>
      </c>
      <c r="I240" s="3">
        <f>METRICS!$C$14 * 0.02</f>
        <v/>
      </c>
      <c r="J240" s="3">
        <f>(G240-F240)*H240</f>
        <v/>
      </c>
      <c r="K240" s="3">
        <f>(G240-F240)/F240*100</f>
        <v/>
      </c>
      <c r="L240" s="3">
        <f>RAW_INPUT!F240</f>
        <v/>
      </c>
      <c r="M240" s="3">
        <f>K240-L240</f>
        <v/>
      </c>
      <c r="N240" s="3">
        <f>IF(J240&gt;0, 1, 0)</f>
        <v/>
      </c>
      <c r="O240" s="3">
        <f>IF(J240&lt;0, 1, 0)</f>
        <v/>
      </c>
      <c r="P240" s="3">
        <f>SUM($J$3:J240)</f>
        <v/>
      </c>
      <c r="Q240" s="3">
        <f>P240/METRICS!$C$14*100</f>
        <v/>
      </c>
      <c r="R240" s="3">
        <f>METRICS!$C$14+P240</f>
        <v/>
      </c>
      <c r="S240" s="3">
        <f>MAX($R$3:R240)</f>
        <v/>
      </c>
      <c r="T240" s="3">
        <f>R240-S240</f>
        <v/>
      </c>
      <c r="U240" s="3">
        <f>(R240-S240)/S240*100</f>
        <v/>
      </c>
      <c r="V240" s="3">
        <f>IF(K240&lt;0, (K240/100)^2, 0)</f>
        <v/>
      </c>
    </row>
    <row r="241">
      <c r="A241" s="3">
        <f>TEXT(239, """T""0000")</f>
        <v/>
      </c>
      <c r="B241" s="3">
        <f>RAW_INPUT!A241</f>
        <v/>
      </c>
      <c r="C241" s="3">
        <f>RAW_INPUT!B241</f>
        <v/>
      </c>
      <c r="D241" s="3">
        <f>RAW_INPUT!D241</f>
        <v/>
      </c>
      <c r="E241" s="3">
        <f>D241-C241</f>
        <v/>
      </c>
      <c r="F241" s="3">
        <f>RAW_INPUT!C241</f>
        <v/>
      </c>
      <c r="G241" s="3">
        <f>RAW_INPUT!E241</f>
        <v/>
      </c>
      <c r="H241" s="3">
        <f>I241/F241</f>
        <v/>
      </c>
      <c r="I241" s="3">
        <f>METRICS!$C$14 * 0.02</f>
        <v/>
      </c>
      <c r="J241" s="3">
        <f>(G241-F241)*H241</f>
        <v/>
      </c>
      <c r="K241" s="3">
        <f>(G241-F241)/F241*100</f>
        <v/>
      </c>
      <c r="L241" s="3">
        <f>RAW_INPUT!F241</f>
        <v/>
      </c>
      <c r="M241" s="3">
        <f>K241-L241</f>
        <v/>
      </c>
      <c r="N241" s="3">
        <f>IF(J241&gt;0, 1, 0)</f>
        <v/>
      </c>
      <c r="O241" s="3">
        <f>IF(J241&lt;0, 1, 0)</f>
        <v/>
      </c>
      <c r="P241" s="3">
        <f>SUM($J$3:J241)</f>
        <v/>
      </c>
      <c r="Q241" s="3">
        <f>P241/METRICS!$C$14*100</f>
        <v/>
      </c>
      <c r="R241" s="3">
        <f>METRICS!$C$14+P241</f>
        <v/>
      </c>
      <c r="S241" s="3">
        <f>MAX($R$3:R241)</f>
        <v/>
      </c>
      <c r="T241" s="3">
        <f>R241-S241</f>
        <v/>
      </c>
      <c r="U241" s="3">
        <f>(R241-S241)/S241*100</f>
        <v/>
      </c>
      <c r="V241" s="3">
        <f>IF(K241&lt;0, (K241/100)^2, 0)</f>
        <v/>
      </c>
    </row>
    <row r="242">
      <c r="A242" s="3">
        <f>TEXT(240, """T""0000")</f>
        <v/>
      </c>
      <c r="B242" s="3">
        <f>RAW_INPUT!A242</f>
        <v/>
      </c>
      <c r="C242" s="3">
        <f>RAW_INPUT!B242</f>
        <v/>
      </c>
      <c r="D242" s="3">
        <f>RAW_INPUT!D242</f>
        <v/>
      </c>
      <c r="E242" s="3">
        <f>D242-C242</f>
        <v/>
      </c>
      <c r="F242" s="3">
        <f>RAW_INPUT!C242</f>
        <v/>
      </c>
      <c r="G242" s="3">
        <f>RAW_INPUT!E242</f>
        <v/>
      </c>
      <c r="H242" s="3">
        <f>I242/F242</f>
        <v/>
      </c>
      <c r="I242" s="3">
        <f>METRICS!$C$14 * 0.02</f>
        <v/>
      </c>
      <c r="J242" s="3">
        <f>(G242-F242)*H242</f>
        <v/>
      </c>
      <c r="K242" s="3">
        <f>(G242-F242)/F242*100</f>
        <v/>
      </c>
      <c r="L242" s="3">
        <f>RAW_INPUT!F242</f>
        <v/>
      </c>
      <c r="M242" s="3">
        <f>K242-L242</f>
        <v/>
      </c>
      <c r="N242" s="3">
        <f>IF(J242&gt;0, 1, 0)</f>
        <v/>
      </c>
      <c r="O242" s="3">
        <f>IF(J242&lt;0, 1, 0)</f>
        <v/>
      </c>
      <c r="P242" s="3">
        <f>SUM($J$3:J242)</f>
        <v/>
      </c>
      <c r="Q242" s="3">
        <f>P242/METRICS!$C$14*100</f>
        <v/>
      </c>
      <c r="R242" s="3">
        <f>METRICS!$C$14+P242</f>
        <v/>
      </c>
      <c r="S242" s="3">
        <f>MAX($R$3:R242)</f>
        <v/>
      </c>
      <c r="T242" s="3">
        <f>R242-S242</f>
        <v/>
      </c>
      <c r="U242" s="3">
        <f>(R242-S242)/S242*100</f>
        <v/>
      </c>
      <c r="V242" s="3">
        <f>IF(K242&lt;0, (K242/100)^2, 0)</f>
        <v/>
      </c>
    </row>
    <row r="243">
      <c r="A243" s="3">
        <f>TEXT(241, """T""0000")</f>
        <v/>
      </c>
      <c r="B243" s="3">
        <f>RAW_INPUT!A243</f>
        <v/>
      </c>
      <c r="C243" s="3">
        <f>RAW_INPUT!B243</f>
        <v/>
      </c>
      <c r="D243" s="3">
        <f>RAW_INPUT!D243</f>
        <v/>
      </c>
      <c r="E243" s="3">
        <f>D243-C243</f>
        <v/>
      </c>
      <c r="F243" s="3">
        <f>RAW_INPUT!C243</f>
        <v/>
      </c>
      <c r="G243" s="3">
        <f>RAW_INPUT!E243</f>
        <v/>
      </c>
      <c r="H243" s="3">
        <f>I243/F243</f>
        <v/>
      </c>
      <c r="I243" s="3">
        <f>METRICS!$C$14 * 0.02</f>
        <v/>
      </c>
      <c r="J243" s="3">
        <f>(G243-F243)*H243</f>
        <v/>
      </c>
      <c r="K243" s="3">
        <f>(G243-F243)/F243*100</f>
        <v/>
      </c>
      <c r="L243" s="3">
        <f>RAW_INPUT!F243</f>
        <v/>
      </c>
      <c r="M243" s="3">
        <f>K243-L243</f>
        <v/>
      </c>
      <c r="N243" s="3">
        <f>IF(J243&gt;0, 1, 0)</f>
        <v/>
      </c>
      <c r="O243" s="3">
        <f>IF(J243&lt;0, 1, 0)</f>
        <v/>
      </c>
      <c r="P243" s="3">
        <f>SUM($J$3:J243)</f>
        <v/>
      </c>
      <c r="Q243" s="3">
        <f>P243/METRICS!$C$14*100</f>
        <v/>
      </c>
      <c r="R243" s="3">
        <f>METRICS!$C$14+P243</f>
        <v/>
      </c>
      <c r="S243" s="3">
        <f>MAX($R$3:R243)</f>
        <v/>
      </c>
      <c r="T243" s="3">
        <f>R243-S243</f>
        <v/>
      </c>
      <c r="U243" s="3">
        <f>(R243-S243)/S243*100</f>
        <v/>
      </c>
      <c r="V243" s="3">
        <f>IF(K243&lt;0, (K243/100)^2, 0)</f>
        <v/>
      </c>
    </row>
    <row r="244">
      <c r="A244" s="3">
        <f>TEXT(242, """T""0000")</f>
        <v/>
      </c>
      <c r="B244" s="3">
        <f>RAW_INPUT!A244</f>
        <v/>
      </c>
      <c r="C244" s="3">
        <f>RAW_INPUT!B244</f>
        <v/>
      </c>
      <c r="D244" s="3">
        <f>RAW_INPUT!D244</f>
        <v/>
      </c>
      <c r="E244" s="3">
        <f>D244-C244</f>
        <v/>
      </c>
      <c r="F244" s="3">
        <f>RAW_INPUT!C244</f>
        <v/>
      </c>
      <c r="G244" s="3">
        <f>RAW_INPUT!E244</f>
        <v/>
      </c>
      <c r="H244" s="3">
        <f>I244/F244</f>
        <v/>
      </c>
      <c r="I244" s="3">
        <f>METRICS!$C$14 * 0.02</f>
        <v/>
      </c>
      <c r="J244" s="3">
        <f>(G244-F244)*H244</f>
        <v/>
      </c>
      <c r="K244" s="3">
        <f>(G244-F244)/F244*100</f>
        <v/>
      </c>
      <c r="L244" s="3">
        <f>RAW_INPUT!F244</f>
        <v/>
      </c>
      <c r="M244" s="3">
        <f>K244-L244</f>
        <v/>
      </c>
      <c r="N244" s="3">
        <f>IF(J244&gt;0, 1, 0)</f>
        <v/>
      </c>
      <c r="O244" s="3">
        <f>IF(J244&lt;0, 1, 0)</f>
        <v/>
      </c>
      <c r="P244" s="3">
        <f>SUM($J$3:J244)</f>
        <v/>
      </c>
      <c r="Q244" s="3">
        <f>P244/METRICS!$C$14*100</f>
        <v/>
      </c>
      <c r="R244" s="3">
        <f>METRICS!$C$14+P244</f>
        <v/>
      </c>
      <c r="S244" s="3">
        <f>MAX($R$3:R244)</f>
        <v/>
      </c>
      <c r="T244" s="3">
        <f>R244-S244</f>
        <v/>
      </c>
      <c r="U244" s="3">
        <f>(R244-S244)/S244*100</f>
        <v/>
      </c>
      <c r="V244" s="3">
        <f>IF(K244&lt;0, (K244/100)^2, 0)</f>
        <v/>
      </c>
    </row>
    <row r="245">
      <c r="A245" s="3">
        <f>TEXT(243, """T""0000")</f>
        <v/>
      </c>
      <c r="B245" s="3">
        <f>RAW_INPUT!A245</f>
        <v/>
      </c>
      <c r="C245" s="3">
        <f>RAW_INPUT!B245</f>
        <v/>
      </c>
      <c r="D245" s="3">
        <f>RAW_INPUT!D245</f>
        <v/>
      </c>
      <c r="E245" s="3">
        <f>D245-C245</f>
        <v/>
      </c>
      <c r="F245" s="3">
        <f>RAW_INPUT!C245</f>
        <v/>
      </c>
      <c r="G245" s="3">
        <f>RAW_INPUT!E245</f>
        <v/>
      </c>
      <c r="H245" s="3">
        <f>I245/F245</f>
        <v/>
      </c>
      <c r="I245" s="3">
        <f>METRICS!$C$14 * 0.02</f>
        <v/>
      </c>
      <c r="J245" s="3">
        <f>(G245-F245)*H245</f>
        <v/>
      </c>
      <c r="K245" s="3">
        <f>(G245-F245)/F245*100</f>
        <v/>
      </c>
      <c r="L245" s="3">
        <f>RAW_INPUT!F245</f>
        <v/>
      </c>
      <c r="M245" s="3">
        <f>K245-L245</f>
        <v/>
      </c>
      <c r="N245" s="3">
        <f>IF(J245&gt;0, 1, 0)</f>
        <v/>
      </c>
      <c r="O245" s="3">
        <f>IF(J245&lt;0, 1, 0)</f>
        <v/>
      </c>
      <c r="P245" s="3">
        <f>SUM($J$3:J245)</f>
        <v/>
      </c>
      <c r="Q245" s="3">
        <f>P245/METRICS!$C$14*100</f>
        <v/>
      </c>
      <c r="R245" s="3">
        <f>METRICS!$C$14+P245</f>
        <v/>
      </c>
      <c r="S245" s="3">
        <f>MAX($R$3:R245)</f>
        <v/>
      </c>
      <c r="T245" s="3">
        <f>R245-S245</f>
        <v/>
      </c>
      <c r="U245" s="3">
        <f>(R245-S245)/S245*100</f>
        <v/>
      </c>
      <c r="V245" s="3">
        <f>IF(K245&lt;0, (K245/100)^2, 0)</f>
        <v/>
      </c>
    </row>
    <row r="246">
      <c r="A246" s="3">
        <f>TEXT(244, """T""0000")</f>
        <v/>
      </c>
      <c r="B246" s="3">
        <f>RAW_INPUT!A246</f>
        <v/>
      </c>
      <c r="C246" s="3">
        <f>RAW_INPUT!B246</f>
        <v/>
      </c>
      <c r="D246" s="3">
        <f>RAW_INPUT!D246</f>
        <v/>
      </c>
      <c r="E246" s="3">
        <f>D246-C246</f>
        <v/>
      </c>
      <c r="F246" s="3">
        <f>RAW_INPUT!C246</f>
        <v/>
      </c>
      <c r="G246" s="3">
        <f>RAW_INPUT!E246</f>
        <v/>
      </c>
      <c r="H246" s="3">
        <f>I246/F246</f>
        <v/>
      </c>
      <c r="I246" s="3">
        <f>METRICS!$C$14 * 0.02</f>
        <v/>
      </c>
      <c r="J246" s="3">
        <f>(G246-F246)*H246</f>
        <v/>
      </c>
      <c r="K246" s="3">
        <f>(G246-F246)/F246*100</f>
        <v/>
      </c>
      <c r="L246" s="3">
        <f>RAW_INPUT!F246</f>
        <v/>
      </c>
      <c r="M246" s="3">
        <f>K246-L246</f>
        <v/>
      </c>
      <c r="N246" s="3">
        <f>IF(J246&gt;0, 1, 0)</f>
        <v/>
      </c>
      <c r="O246" s="3">
        <f>IF(J246&lt;0, 1, 0)</f>
        <v/>
      </c>
      <c r="P246" s="3">
        <f>SUM($J$3:J246)</f>
        <v/>
      </c>
      <c r="Q246" s="3">
        <f>P246/METRICS!$C$14*100</f>
        <v/>
      </c>
      <c r="R246" s="3">
        <f>METRICS!$C$14+P246</f>
        <v/>
      </c>
      <c r="S246" s="3">
        <f>MAX($R$3:R246)</f>
        <v/>
      </c>
      <c r="T246" s="3">
        <f>R246-S246</f>
        <v/>
      </c>
      <c r="U246" s="3">
        <f>(R246-S246)/S246*100</f>
        <v/>
      </c>
      <c r="V246" s="3">
        <f>IF(K246&lt;0, (K246/100)^2, 0)</f>
        <v/>
      </c>
    </row>
    <row r="247">
      <c r="A247" s="3">
        <f>TEXT(245, """T""0000")</f>
        <v/>
      </c>
      <c r="B247" s="3">
        <f>RAW_INPUT!A247</f>
        <v/>
      </c>
      <c r="C247" s="3">
        <f>RAW_INPUT!B247</f>
        <v/>
      </c>
      <c r="D247" s="3">
        <f>RAW_INPUT!D247</f>
        <v/>
      </c>
      <c r="E247" s="3">
        <f>D247-C247</f>
        <v/>
      </c>
      <c r="F247" s="3">
        <f>RAW_INPUT!C247</f>
        <v/>
      </c>
      <c r="G247" s="3">
        <f>RAW_INPUT!E247</f>
        <v/>
      </c>
      <c r="H247" s="3">
        <f>I247/F247</f>
        <v/>
      </c>
      <c r="I247" s="3">
        <f>METRICS!$C$14 * 0.02</f>
        <v/>
      </c>
      <c r="J247" s="3">
        <f>(G247-F247)*H247</f>
        <v/>
      </c>
      <c r="K247" s="3">
        <f>(G247-F247)/F247*100</f>
        <v/>
      </c>
      <c r="L247" s="3">
        <f>RAW_INPUT!F247</f>
        <v/>
      </c>
      <c r="M247" s="3">
        <f>K247-L247</f>
        <v/>
      </c>
      <c r="N247" s="3">
        <f>IF(J247&gt;0, 1, 0)</f>
        <v/>
      </c>
      <c r="O247" s="3">
        <f>IF(J247&lt;0, 1, 0)</f>
        <v/>
      </c>
      <c r="P247" s="3">
        <f>SUM($J$3:J247)</f>
        <v/>
      </c>
      <c r="Q247" s="3">
        <f>P247/METRICS!$C$14*100</f>
        <v/>
      </c>
      <c r="R247" s="3">
        <f>METRICS!$C$14+P247</f>
        <v/>
      </c>
      <c r="S247" s="3">
        <f>MAX($R$3:R247)</f>
        <v/>
      </c>
      <c r="T247" s="3">
        <f>R247-S247</f>
        <v/>
      </c>
      <c r="U247" s="3">
        <f>(R247-S247)/S247*100</f>
        <v/>
      </c>
      <c r="V247" s="3">
        <f>IF(K247&lt;0, (K247/100)^2, 0)</f>
        <v/>
      </c>
    </row>
    <row r="248">
      <c r="A248" s="3">
        <f>TEXT(246, """T""0000")</f>
        <v/>
      </c>
      <c r="B248" s="3">
        <f>RAW_INPUT!A248</f>
        <v/>
      </c>
      <c r="C248" s="3">
        <f>RAW_INPUT!B248</f>
        <v/>
      </c>
      <c r="D248" s="3">
        <f>RAW_INPUT!D248</f>
        <v/>
      </c>
      <c r="E248" s="3">
        <f>D248-C248</f>
        <v/>
      </c>
      <c r="F248" s="3">
        <f>RAW_INPUT!C248</f>
        <v/>
      </c>
      <c r="G248" s="3">
        <f>RAW_INPUT!E248</f>
        <v/>
      </c>
      <c r="H248" s="3">
        <f>I248/F248</f>
        <v/>
      </c>
      <c r="I248" s="3">
        <f>METRICS!$C$14 * 0.02</f>
        <v/>
      </c>
      <c r="J248" s="3">
        <f>(G248-F248)*H248</f>
        <v/>
      </c>
      <c r="K248" s="3">
        <f>(G248-F248)/F248*100</f>
        <v/>
      </c>
      <c r="L248" s="3">
        <f>RAW_INPUT!F248</f>
        <v/>
      </c>
      <c r="M248" s="3">
        <f>K248-L248</f>
        <v/>
      </c>
      <c r="N248" s="3">
        <f>IF(J248&gt;0, 1, 0)</f>
        <v/>
      </c>
      <c r="O248" s="3">
        <f>IF(J248&lt;0, 1, 0)</f>
        <v/>
      </c>
      <c r="P248" s="3">
        <f>SUM($J$3:J248)</f>
        <v/>
      </c>
      <c r="Q248" s="3">
        <f>P248/METRICS!$C$14*100</f>
        <v/>
      </c>
      <c r="R248" s="3">
        <f>METRICS!$C$14+P248</f>
        <v/>
      </c>
      <c r="S248" s="3">
        <f>MAX($R$3:R248)</f>
        <v/>
      </c>
      <c r="T248" s="3">
        <f>R248-S248</f>
        <v/>
      </c>
      <c r="U248" s="3">
        <f>(R248-S248)/S248*100</f>
        <v/>
      </c>
      <c r="V248" s="3">
        <f>IF(K248&lt;0, (K248/100)^2, 0)</f>
        <v/>
      </c>
    </row>
    <row r="249">
      <c r="A249" s="3">
        <f>TEXT(247, """T""0000")</f>
        <v/>
      </c>
      <c r="B249" s="3">
        <f>RAW_INPUT!A249</f>
        <v/>
      </c>
      <c r="C249" s="3">
        <f>RAW_INPUT!B249</f>
        <v/>
      </c>
      <c r="D249" s="3">
        <f>RAW_INPUT!D249</f>
        <v/>
      </c>
      <c r="E249" s="3">
        <f>D249-C249</f>
        <v/>
      </c>
      <c r="F249" s="3">
        <f>RAW_INPUT!C249</f>
        <v/>
      </c>
      <c r="G249" s="3">
        <f>RAW_INPUT!E249</f>
        <v/>
      </c>
      <c r="H249" s="3">
        <f>I249/F249</f>
        <v/>
      </c>
      <c r="I249" s="3">
        <f>METRICS!$C$14 * 0.02</f>
        <v/>
      </c>
      <c r="J249" s="3">
        <f>(G249-F249)*H249</f>
        <v/>
      </c>
      <c r="K249" s="3">
        <f>(G249-F249)/F249*100</f>
        <v/>
      </c>
      <c r="L249" s="3">
        <f>RAW_INPUT!F249</f>
        <v/>
      </c>
      <c r="M249" s="3">
        <f>K249-L249</f>
        <v/>
      </c>
      <c r="N249" s="3">
        <f>IF(J249&gt;0, 1, 0)</f>
        <v/>
      </c>
      <c r="O249" s="3">
        <f>IF(J249&lt;0, 1, 0)</f>
        <v/>
      </c>
      <c r="P249" s="3">
        <f>SUM($J$3:J249)</f>
        <v/>
      </c>
      <c r="Q249" s="3">
        <f>P249/METRICS!$C$14*100</f>
        <v/>
      </c>
      <c r="R249" s="3">
        <f>METRICS!$C$14+P249</f>
        <v/>
      </c>
      <c r="S249" s="3">
        <f>MAX($R$3:R249)</f>
        <v/>
      </c>
      <c r="T249" s="3">
        <f>R249-S249</f>
        <v/>
      </c>
      <c r="U249" s="3">
        <f>(R249-S249)/S249*100</f>
        <v/>
      </c>
      <c r="V249" s="3">
        <f>IF(K249&lt;0, (K249/100)^2, 0)</f>
        <v/>
      </c>
    </row>
    <row r="250">
      <c r="A250" s="3">
        <f>TEXT(248, """T""0000")</f>
        <v/>
      </c>
      <c r="B250" s="3">
        <f>RAW_INPUT!A250</f>
        <v/>
      </c>
      <c r="C250" s="3">
        <f>RAW_INPUT!B250</f>
        <v/>
      </c>
      <c r="D250" s="3">
        <f>RAW_INPUT!D250</f>
        <v/>
      </c>
      <c r="E250" s="3">
        <f>D250-C250</f>
        <v/>
      </c>
      <c r="F250" s="3">
        <f>RAW_INPUT!C250</f>
        <v/>
      </c>
      <c r="G250" s="3">
        <f>RAW_INPUT!E250</f>
        <v/>
      </c>
      <c r="H250" s="3">
        <f>I250/F250</f>
        <v/>
      </c>
      <c r="I250" s="3">
        <f>METRICS!$C$14 * 0.02</f>
        <v/>
      </c>
      <c r="J250" s="3">
        <f>(G250-F250)*H250</f>
        <v/>
      </c>
      <c r="K250" s="3">
        <f>(G250-F250)/F250*100</f>
        <v/>
      </c>
      <c r="L250" s="3">
        <f>RAW_INPUT!F250</f>
        <v/>
      </c>
      <c r="M250" s="3">
        <f>K250-L250</f>
        <v/>
      </c>
      <c r="N250" s="3">
        <f>IF(J250&gt;0, 1, 0)</f>
        <v/>
      </c>
      <c r="O250" s="3">
        <f>IF(J250&lt;0, 1, 0)</f>
        <v/>
      </c>
      <c r="P250" s="3">
        <f>SUM($J$3:J250)</f>
        <v/>
      </c>
      <c r="Q250" s="3">
        <f>P250/METRICS!$C$14*100</f>
        <v/>
      </c>
      <c r="R250" s="3">
        <f>METRICS!$C$14+P250</f>
        <v/>
      </c>
      <c r="S250" s="3">
        <f>MAX($R$3:R250)</f>
        <v/>
      </c>
      <c r="T250" s="3">
        <f>R250-S250</f>
        <v/>
      </c>
      <c r="U250" s="3">
        <f>(R250-S250)/S250*100</f>
        <v/>
      </c>
      <c r="V250" s="3">
        <f>IF(K250&lt;0, (K250/100)^2, 0)</f>
        <v/>
      </c>
    </row>
    <row r="251">
      <c r="A251" s="3">
        <f>TEXT(249, """T""0000")</f>
        <v/>
      </c>
      <c r="B251" s="3">
        <f>RAW_INPUT!A251</f>
        <v/>
      </c>
      <c r="C251" s="3">
        <f>RAW_INPUT!B251</f>
        <v/>
      </c>
      <c r="D251" s="3">
        <f>RAW_INPUT!D251</f>
        <v/>
      </c>
      <c r="E251" s="3">
        <f>D251-C251</f>
        <v/>
      </c>
      <c r="F251" s="3">
        <f>RAW_INPUT!C251</f>
        <v/>
      </c>
      <c r="G251" s="3">
        <f>RAW_INPUT!E251</f>
        <v/>
      </c>
      <c r="H251" s="3">
        <f>I251/F251</f>
        <v/>
      </c>
      <c r="I251" s="3">
        <f>METRICS!$C$14 * 0.02</f>
        <v/>
      </c>
      <c r="J251" s="3">
        <f>(G251-F251)*H251</f>
        <v/>
      </c>
      <c r="K251" s="3">
        <f>(G251-F251)/F251*100</f>
        <v/>
      </c>
      <c r="L251" s="3">
        <f>RAW_INPUT!F251</f>
        <v/>
      </c>
      <c r="M251" s="3">
        <f>K251-L251</f>
        <v/>
      </c>
      <c r="N251" s="3">
        <f>IF(J251&gt;0, 1, 0)</f>
        <v/>
      </c>
      <c r="O251" s="3">
        <f>IF(J251&lt;0, 1, 0)</f>
        <v/>
      </c>
      <c r="P251" s="3">
        <f>SUM($J$3:J251)</f>
        <v/>
      </c>
      <c r="Q251" s="3">
        <f>P251/METRICS!$C$14*100</f>
        <v/>
      </c>
      <c r="R251" s="3">
        <f>METRICS!$C$14+P251</f>
        <v/>
      </c>
      <c r="S251" s="3">
        <f>MAX($R$3:R251)</f>
        <v/>
      </c>
      <c r="T251" s="3">
        <f>R251-S251</f>
        <v/>
      </c>
      <c r="U251" s="3">
        <f>(R251-S251)/S251*100</f>
        <v/>
      </c>
      <c r="V251" s="3">
        <f>IF(K251&lt;0, (K251/100)^2, 0)</f>
        <v/>
      </c>
    </row>
    <row r="252">
      <c r="A252" s="3">
        <f>TEXT(250, """T""0000")</f>
        <v/>
      </c>
      <c r="B252" s="3">
        <f>RAW_INPUT!A252</f>
        <v/>
      </c>
      <c r="C252" s="3">
        <f>RAW_INPUT!B252</f>
        <v/>
      </c>
      <c r="D252" s="3">
        <f>RAW_INPUT!D252</f>
        <v/>
      </c>
      <c r="E252" s="3">
        <f>D252-C252</f>
        <v/>
      </c>
      <c r="F252" s="3">
        <f>RAW_INPUT!C252</f>
        <v/>
      </c>
      <c r="G252" s="3">
        <f>RAW_INPUT!E252</f>
        <v/>
      </c>
      <c r="H252" s="3">
        <f>I252/F252</f>
        <v/>
      </c>
      <c r="I252" s="3">
        <f>METRICS!$C$14 * 0.02</f>
        <v/>
      </c>
      <c r="J252" s="3">
        <f>(G252-F252)*H252</f>
        <v/>
      </c>
      <c r="K252" s="3">
        <f>(G252-F252)/F252*100</f>
        <v/>
      </c>
      <c r="L252" s="3">
        <f>RAW_INPUT!F252</f>
        <v/>
      </c>
      <c r="M252" s="3">
        <f>K252-L252</f>
        <v/>
      </c>
      <c r="N252" s="3">
        <f>IF(J252&gt;0, 1, 0)</f>
        <v/>
      </c>
      <c r="O252" s="3">
        <f>IF(J252&lt;0, 1, 0)</f>
        <v/>
      </c>
      <c r="P252" s="3">
        <f>SUM($J$3:J252)</f>
        <v/>
      </c>
      <c r="Q252" s="3">
        <f>P252/METRICS!$C$14*100</f>
        <v/>
      </c>
      <c r="R252" s="3">
        <f>METRICS!$C$14+P252</f>
        <v/>
      </c>
      <c r="S252" s="3">
        <f>MAX($R$3:R252)</f>
        <v/>
      </c>
      <c r="T252" s="3">
        <f>R252-S252</f>
        <v/>
      </c>
      <c r="U252" s="3">
        <f>(R252-S252)/S252*100</f>
        <v/>
      </c>
      <c r="V252" s="3">
        <f>IF(K252&lt;0, (K252/100)^2, 0)</f>
        <v/>
      </c>
    </row>
    <row r="253">
      <c r="A253" s="3">
        <f>TEXT(251, """T""0000")</f>
        <v/>
      </c>
      <c r="B253" s="3">
        <f>RAW_INPUT!A253</f>
        <v/>
      </c>
      <c r="C253" s="3">
        <f>RAW_INPUT!B253</f>
        <v/>
      </c>
      <c r="D253" s="3">
        <f>RAW_INPUT!D253</f>
        <v/>
      </c>
      <c r="E253" s="3">
        <f>D253-C253</f>
        <v/>
      </c>
      <c r="F253" s="3">
        <f>RAW_INPUT!C253</f>
        <v/>
      </c>
      <c r="G253" s="3">
        <f>RAW_INPUT!E253</f>
        <v/>
      </c>
      <c r="H253" s="3">
        <f>I253/F253</f>
        <v/>
      </c>
      <c r="I253" s="3">
        <f>METRICS!$C$14 * 0.02</f>
        <v/>
      </c>
      <c r="J253" s="3">
        <f>(G253-F253)*H253</f>
        <v/>
      </c>
      <c r="K253" s="3">
        <f>(G253-F253)/F253*100</f>
        <v/>
      </c>
      <c r="L253" s="3">
        <f>RAW_INPUT!F253</f>
        <v/>
      </c>
      <c r="M253" s="3">
        <f>K253-L253</f>
        <v/>
      </c>
      <c r="N253" s="3">
        <f>IF(J253&gt;0, 1, 0)</f>
        <v/>
      </c>
      <c r="O253" s="3">
        <f>IF(J253&lt;0, 1, 0)</f>
        <v/>
      </c>
      <c r="P253" s="3">
        <f>SUM($J$3:J253)</f>
        <v/>
      </c>
      <c r="Q253" s="3">
        <f>P253/METRICS!$C$14*100</f>
        <v/>
      </c>
      <c r="R253" s="3">
        <f>METRICS!$C$14+P253</f>
        <v/>
      </c>
      <c r="S253" s="3">
        <f>MAX($R$3:R253)</f>
        <v/>
      </c>
      <c r="T253" s="3">
        <f>R253-S253</f>
        <v/>
      </c>
      <c r="U253" s="3">
        <f>(R253-S253)/S253*100</f>
        <v/>
      </c>
      <c r="V253" s="3">
        <f>IF(K253&lt;0, (K253/100)^2, 0)</f>
        <v/>
      </c>
    </row>
    <row r="254">
      <c r="A254" s="3">
        <f>TEXT(252, """T""0000")</f>
        <v/>
      </c>
      <c r="B254" s="3">
        <f>RAW_INPUT!A254</f>
        <v/>
      </c>
      <c r="C254" s="3">
        <f>RAW_INPUT!B254</f>
        <v/>
      </c>
      <c r="D254" s="3">
        <f>RAW_INPUT!D254</f>
        <v/>
      </c>
      <c r="E254" s="3">
        <f>D254-C254</f>
        <v/>
      </c>
      <c r="F254" s="3">
        <f>RAW_INPUT!C254</f>
        <v/>
      </c>
      <c r="G254" s="3">
        <f>RAW_INPUT!E254</f>
        <v/>
      </c>
      <c r="H254" s="3">
        <f>I254/F254</f>
        <v/>
      </c>
      <c r="I254" s="3">
        <f>METRICS!$C$14 * 0.02</f>
        <v/>
      </c>
      <c r="J254" s="3">
        <f>(G254-F254)*H254</f>
        <v/>
      </c>
      <c r="K254" s="3">
        <f>(G254-F254)/F254*100</f>
        <v/>
      </c>
      <c r="L254" s="3">
        <f>RAW_INPUT!F254</f>
        <v/>
      </c>
      <c r="M254" s="3">
        <f>K254-L254</f>
        <v/>
      </c>
      <c r="N254" s="3">
        <f>IF(J254&gt;0, 1, 0)</f>
        <v/>
      </c>
      <c r="O254" s="3">
        <f>IF(J254&lt;0, 1, 0)</f>
        <v/>
      </c>
      <c r="P254" s="3">
        <f>SUM($J$3:J254)</f>
        <v/>
      </c>
      <c r="Q254" s="3">
        <f>P254/METRICS!$C$14*100</f>
        <v/>
      </c>
      <c r="R254" s="3">
        <f>METRICS!$C$14+P254</f>
        <v/>
      </c>
      <c r="S254" s="3">
        <f>MAX($R$3:R254)</f>
        <v/>
      </c>
      <c r="T254" s="3">
        <f>R254-S254</f>
        <v/>
      </c>
      <c r="U254" s="3">
        <f>(R254-S254)/S254*100</f>
        <v/>
      </c>
      <c r="V254" s="3">
        <f>IF(K254&lt;0, (K254/100)^2, 0)</f>
        <v/>
      </c>
    </row>
    <row r="255">
      <c r="A255" s="3">
        <f>TEXT(253, """T""0000")</f>
        <v/>
      </c>
      <c r="B255" s="3">
        <f>RAW_INPUT!A255</f>
        <v/>
      </c>
      <c r="C255" s="3">
        <f>RAW_INPUT!B255</f>
        <v/>
      </c>
      <c r="D255" s="3">
        <f>RAW_INPUT!D255</f>
        <v/>
      </c>
      <c r="E255" s="3">
        <f>D255-C255</f>
        <v/>
      </c>
      <c r="F255" s="3">
        <f>RAW_INPUT!C255</f>
        <v/>
      </c>
      <c r="G255" s="3">
        <f>RAW_INPUT!E255</f>
        <v/>
      </c>
      <c r="H255" s="3">
        <f>I255/F255</f>
        <v/>
      </c>
      <c r="I255" s="3">
        <f>METRICS!$C$14 * 0.02</f>
        <v/>
      </c>
      <c r="J255" s="3">
        <f>(G255-F255)*H255</f>
        <v/>
      </c>
      <c r="K255" s="3">
        <f>(G255-F255)/F255*100</f>
        <v/>
      </c>
      <c r="L255" s="3">
        <f>RAW_INPUT!F255</f>
        <v/>
      </c>
      <c r="M255" s="3">
        <f>K255-L255</f>
        <v/>
      </c>
      <c r="N255" s="3">
        <f>IF(J255&gt;0, 1, 0)</f>
        <v/>
      </c>
      <c r="O255" s="3">
        <f>IF(J255&lt;0, 1, 0)</f>
        <v/>
      </c>
      <c r="P255" s="3">
        <f>SUM($J$3:J255)</f>
        <v/>
      </c>
      <c r="Q255" s="3">
        <f>P255/METRICS!$C$14*100</f>
        <v/>
      </c>
      <c r="R255" s="3">
        <f>METRICS!$C$14+P255</f>
        <v/>
      </c>
      <c r="S255" s="3">
        <f>MAX($R$3:R255)</f>
        <v/>
      </c>
      <c r="T255" s="3">
        <f>R255-S255</f>
        <v/>
      </c>
      <c r="U255" s="3">
        <f>(R255-S255)/S255*100</f>
        <v/>
      </c>
      <c r="V255" s="3">
        <f>IF(K255&lt;0, (K255/100)^2, 0)</f>
        <v/>
      </c>
    </row>
    <row r="256">
      <c r="A256" s="3">
        <f>TEXT(254, """T""0000")</f>
        <v/>
      </c>
      <c r="B256" s="3">
        <f>RAW_INPUT!A256</f>
        <v/>
      </c>
      <c r="C256" s="3">
        <f>RAW_INPUT!B256</f>
        <v/>
      </c>
      <c r="D256" s="3">
        <f>RAW_INPUT!D256</f>
        <v/>
      </c>
      <c r="E256" s="3">
        <f>D256-C256</f>
        <v/>
      </c>
      <c r="F256" s="3">
        <f>RAW_INPUT!C256</f>
        <v/>
      </c>
      <c r="G256" s="3">
        <f>RAW_INPUT!E256</f>
        <v/>
      </c>
      <c r="H256" s="3">
        <f>I256/F256</f>
        <v/>
      </c>
      <c r="I256" s="3">
        <f>METRICS!$C$14 * 0.02</f>
        <v/>
      </c>
      <c r="J256" s="3">
        <f>(G256-F256)*H256</f>
        <v/>
      </c>
      <c r="K256" s="3">
        <f>(G256-F256)/F256*100</f>
        <v/>
      </c>
      <c r="L256" s="3">
        <f>RAW_INPUT!F256</f>
        <v/>
      </c>
      <c r="M256" s="3">
        <f>K256-L256</f>
        <v/>
      </c>
      <c r="N256" s="3">
        <f>IF(J256&gt;0, 1, 0)</f>
        <v/>
      </c>
      <c r="O256" s="3">
        <f>IF(J256&lt;0, 1, 0)</f>
        <v/>
      </c>
      <c r="P256" s="3">
        <f>SUM($J$3:J256)</f>
        <v/>
      </c>
      <c r="Q256" s="3">
        <f>P256/METRICS!$C$14*100</f>
        <v/>
      </c>
      <c r="R256" s="3">
        <f>METRICS!$C$14+P256</f>
        <v/>
      </c>
      <c r="S256" s="3">
        <f>MAX($R$3:R256)</f>
        <v/>
      </c>
      <c r="T256" s="3">
        <f>R256-S256</f>
        <v/>
      </c>
      <c r="U256" s="3">
        <f>(R256-S256)/S256*100</f>
        <v/>
      </c>
      <c r="V256" s="3">
        <f>IF(K256&lt;0, (K256/100)^2, 0)</f>
        <v/>
      </c>
    </row>
    <row r="257">
      <c r="A257" s="3">
        <f>TEXT(255, """T""0000")</f>
        <v/>
      </c>
      <c r="B257" s="3">
        <f>RAW_INPUT!A257</f>
        <v/>
      </c>
      <c r="C257" s="3">
        <f>RAW_INPUT!B257</f>
        <v/>
      </c>
      <c r="D257" s="3">
        <f>RAW_INPUT!D257</f>
        <v/>
      </c>
      <c r="E257" s="3">
        <f>D257-C257</f>
        <v/>
      </c>
      <c r="F257" s="3">
        <f>RAW_INPUT!C257</f>
        <v/>
      </c>
      <c r="G257" s="3">
        <f>RAW_INPUT!E257</f>
        <v/>
      </c>
      <c r="H257" s="3">
        <f>I257/F257</f>
        <v/>
      </c>
      <c r="I257" s="3">
        <f>METRICS!$C$14 * 0.02</f>
        <v/>
      </c>
      <c r="J257" s="3">
        <f>(G257-F257)*H257</f>
        <v/>
      </c>
      <c r="K257" s="3">
        <f>(G257-F257)/F257*100</f>
        <v/>
      </c>
      <c r="L257" s="3">
        <f>RAW_INPUT!F257</f>
        <v/>
      </c>
      <c r="M257" s="3">
        <f>K257-L257</f>
        <v/>
      </c>
      <c r="N257" s="3">
        <f>IF(J257&gt;0, 1, 0)</f>
        <v/>
      </c>
      <c r="O257" s="3">
        <f>IF(J257&lt;0, 1, 0)</f>
        <v/>
      </c>
      <c r="P257" s="3">
        <f>SUM($J$3:J257)</f>
        <v/>
      </c>
      <c r="Q257" s="3">
        <f>P257/METRICS!$C$14*100</f>
        <v/>
      </c>
      <c r="R257" s="3">
        <f>METRICS!$C$14+P257</f>
        <v/>
      </c>
      <c r="S257" s="3">
        <f>MAX($R$3:R257)</f>
        <v/>
      </c>
      <c r="T257" s="3">
        <f>R257-S257</f>
        <v/>
      </c>
      <c r="U257" s="3">
        <f>(R257-S257)/S257*100</f>
        <v/>
      </c>
      <c r="V257" s="3">
        <f>IF(K257&lt;0, (K257/100)^2, 0)</f>
        <v/>
      </c>
    </row>
    <row r="258">
      <c r="A258" s="3">
        <f>TEXT(256, """T""0000")</f>
        <v/>
      </c>
      <c r="B258" s="3">
        <f>RAW_INPUT!A258</f>
        <v/>
      </c>
      <c r="C258" s="3">
        <f>RAW_INPUT!B258</f>
        <v/>
      </c>
      <c r="D258" s="3">
        <f>RAW_INPUT!D258</f>
        <v/>
      </c>
      <c r="E258" s="3">
        <f>D258-C258</f>
        <v/>
      </c>
      <c r="F258" s="3">
        <f>RAW_INPUT!C258</f>
        <v/>
      </c>
      <c r="G258" s="3">
        <f>RAW_INPUT!E258</f>
        <v/>
      </c>
      <c r="H258" s="3">
        <f>I258/F258</f>
        <v/>
      </c>
      <c r="I258" s="3">
        <f>METRICS!$C$14 * 0.02</f>
        <v/>
      </c>
      <c r="J258" s="3">
        <f>(G258-F258)*H258</f>
        <v/>
      </c>
      <c r="K258" s="3">
        <f>(G258-F258)/F258*100</f>
        <v/>
      </c>
      <c r="L258" s="3">
        <f>RAW_INPUT!F258</f>
        <v/>
      </c>
      <c r="M258" s="3">
        <f>K258-L258</f>
        <v/>
      </c>
      <c r="N258" s="3">
        <f>IF(J258&gt;0, 1, 0)</f>
        <v/>
      </c>
      <c r="O258" s="3">
        <f>IF(J258&lt;0, 1, 0)</f>
        <v/>
      </c>
      <c r="P258" s="3">
        <f>SUM($J$3:J258)</f>
        <v/>
      </c>
      <c r="Q258" s="3">
        <f>P258/METRICS!$C$14*100</f>
        <v/>
      </c>
      <c r="R258" s="3">
        <f>METRICS!$C$14+P258</f>
        <v/>
      </c>
      <c r="S258" s="3">
        <f>MAX($R$3:R258)</f>
        <v/>
      </c>
      <c r="T258" s="3">
        <f>R258-S258</f>
        <v/>
      </c>
      <c r="U258" s="3">
        <f>(R258-S258)/S258*100</f>
        <v/>
      </c>
      <c r="V258" s="3">
        <f>IF(K258&lt;0, (K258/100)^2, 0)</f>
        <v/>
      </c>
    </row>
    <row r="259">
      <c r="A259" s="3">
        <f>TEXT(257, """T""0000")</f>
        <v/>
      </c>
      <c r="B259" s="3">
        <f>RAW_INPUT!A259</f>
        <v/>
      </c>
      <c r="C259" s="3">
        <f>RAW_INPUT!B259</f>
        <v/>
      </c>
      <c r="D259" s="3">
        <f>RAW_INPUT!D259</f>
        <v/>
      </c>
      <c r="E259" s="3">
        <f>D259-C259</f>
        <v/>
      </c>
      <c r="F259" s="3">
        <f>RAW_INPUT!C259</f>
        <v/>
      </c>
      <c r="G259" s="3">
        <f>RAW_INPUT!E259</f>
        <v/>
      </c>
      <c r="H259" s="3">
        <f>I259/F259</f>
        <v/>
      </c>
      <c r="I259" s="3">
        <f>METRICS!$C$14 * 0.02</f>
        <v/>
      </c>
      <c r="J259" s="3">
        <f>(G259-F259)*H259</f>
        <v/>
      </c>
      <c r="K259" s="3">
        <f>(G259-F259)/F259*100</f>
        <v/>
      </c>
      <c r="L259" s="3">
        <f>RAW_INPUT!F259</f>
        <v/>
      </c>
      <c r="M259" s="3">
        <f>K259-L259</f>
        <v/>
      </c>
      <c r="N259" s="3">
        <f>IF(J259&gt;0, 1, 0)</f>
        <v/>
      </c>
      <c r="O259" s="3">
        <f>IF(J259&lt;0, 1, 0)</f>
        <v/>
      </c>
      <c r="P259" s="3">
        <f>SUM($J$3:J259)</f>
        <v/>
      </c>
      <c r="Q259" s="3">
        <f>P259/METRICS!$C$14*100</f>
        <v/>
      </c>
      <c r="R259" s="3">
        <f>METRICS!$C$14+P259</f>
        <v/>
      </c>
      <c r="S259" s="3">
        <f>MAX($R$3:R259)</f>
        <v/>
      </c>
      <c r="T259" s="3">
        <f>R259-S259</f>
        <v/>
      </c>
      <c r="U259" s="3">
        <f>(R259-S259)/S259*100</f>
        <v/>
      </c>
      <c r="V259" s="3">
        <f>IF(K259&lt;0, (K259/100)^2, 0)</f>
        <v/>
      </c>
    </row>
    <row r="260">
      <c r="A260" s="3">
        <f>TEXT(258, """T""0000")</f>
        <v/>
      </c>
      <c r="B260" s="3">
        <f>RAW_INPUT!A260</f>
        <v/>
      </c>
      <c r="C260" s="3">
        <f>RAW_INPUT!B260</f>
        <v/>
      </c>
      <c r="D260" s="3">
        <f>RAW_INPUT!D260</f>
        <v/>
      </c>
      <c r="E260" s="3">
        <f>D260-C260</f>
        <v/>
      </c>
      <c r="F260" s="3">
        <f>RAW_INPUT!C260</f>
        <v/>
      </c>
      <c r="G260" s="3">
        <f>RAW_INPUT!E260</f>
        <v/>
      </c>
      <c r="H260" s="3">
        <f>I260/F260</f>
        <v/>
      </c>
      <c r="I260" s="3">
        <f>METRICS!$C$14 * 0.02</f>
        <v/>
      </c>
      <c r="J260" s="3">
        <f>(G260-F260)*H260</f>
        <v/>
      </c>
      <c r="K260" s="3">
        <f>(G260-F260)/F260*100</f>
        <v/>
      </c>
      <c r="L260" s="3">
        <f>RAW_INPUT!F260</f>
        <v/>
      </c>
      <c r="M260" s="3">
        <f>K260-L260</f>
        <v/>
      </c>
      <c r="N260" s="3">
        <f>IF(J260&gt;0, 1, 0)</f>
        <v/>
      </c>
      <c r="O260" s="3">
        <f>IF(J260&lt;0, 1, 0)</f>
        <v/>
      </c>
      <c r="P260" s="3">
        <f>SUM($J$3:J260)</f>
        <v/>
      </c>
      <c r="Q260" s="3">
        <f>P260/METRICS!$C$14*100</f>
        <v/>
      </c>
      <c r="R260" s="3">
        <f>METRICS!$C$14+P260</f>
        <v/>
      </c>
      <c r="S260" s="3">
        <f>MAX($R$3:R260)</f>
        <v/>
      </c>
      <c r="T260" s="3">
        <f>R260-S260</f>
        <v/>
      </c>
      <c r="U260" s="3">
        <f>(R260-S260)/S260*100</f>
        <v/>
      </c>
      <c r="V260" s="3">
        <f>IF(K260&lt;0, (K260/100)^2, 0)</f>
        <v/>
      </c>
    </row>
    <row r="261">
      <c r="A261" s="3">
        <f>TEXT(259, """T""0000")</f>
        <v/>
      </c>
      <c r="B261" s="3">
        <f>RAW_INPUT!A261</f>
        <v/>
      </c>
      <c r="C261" s="3">
        <f>RAW_INPUT!B261</f>
        <v/>
      </c>
      <c r="D261" s="3">
        <f>RAW_INPUT!D261</f>
        <v/>
      </c>
      <c r="E261" s="3">
        <f>D261-C261</f>
        <v/>
      </c>
      <c r="F261" s="3">
        <f>RAW_INPUT!C261</f>
        <v/>
      </c>
      <c r="G261" s="3">
        <f>RAW_INPUT!E261</f>
        <v/>
      </c>
      <c r="H261" s="3">
        <f>I261/F261</f>
        <v/>
      </c>
      <c r="I261" s="3">
        <f>METRICS!$C$14 * 0.02</f>
        <v/>
      </c>
      <c r="J261" s="3">
        <f>(G261-F261)*H261</f>
        <v/>
      </c>
      <c r="K261" s="3">
        <f>(G261-F261)/F261*100</f>
        <v/>
      </c>
      <c r="L261" s="3">
        <f>RAW_INPUT!F261</f>
        <v/>
      </c>
      <c r="M261" s="3">
        <f>K261-L261</f>
        <v/>
      </c>
      <c r="N261" s="3">
        <f>IF(J261&gt;0, 1, 0)</f>
        <v/>
      </c>
      <c r="O261" s="3">
        <f>IF(J261&lt;0, 1, 0)</f>
        <v/>
      </c>
      <c r="P261" s="3">
        <f>SUM($J$3:J261)</f>
        <v/>
      </c>
      <c r="Q261" s="3">
        <f>P261/METRICS!$C$14*100</f>
        <v/>
      </c>
      <c r="R261" s="3">
        <f>METRICS!$C$14+P261</f>
        <v/>
      </c>
      <c r="S261" s="3">
        <f>MAX($R$3:R261)</f>
        <v/>
      </c>
      <c r="T261" s="3">
        <f>R261-S261</f>
        <v/>
      </c>
      <c r="U261" s="3">
        <f>(R261-S261)/S261*100</f>
        <v/>
      </c>
      <c r="V261" s="3">
        <f>IF(K261&lt;0, (K261/100)^2, 0)</f>
        <v/>
      </c>
    </row>
    <row r="262">
      <c r="A262" s="3">
        <f>TEXT(260, """T""0000")</f>
        <v/>
      </c>
      <c r="B262" s="3">
        <f>RAW_INPUT!A262</f>
        <v/>
      </c>
      <c r="C262" s="3">
        <f>RAW_INPUT!B262</f>
        <v/>
      </c>
      <c r="D262" s="3">
        <f>RAW_INPUT!D262</f>
        <v/>
      </c>
      <c r="E262" s="3">
        <f>D262-C262</f>
        <v/>
      </c>
      <c r="F262" s="3">
        <f>RAW_INPUT!C262</f>
        <v/>
      </c>
      <c r="G262" s="3">
        <f>RAW_INPUT!E262</f>
        <v/>
      </c>
      <c r="H262" s="3">
        <f>I262/F262</f>
        <v/>
      </c>
      <c r="I262" s="3">
        <f>METRICS!$C$14 * 0.02</f>
        <v/>
      </c>
      <c r="J262" s="3">
        <f>(G262-F262)*H262</f>
        <v/>
      </c>
      <c r="K262" s="3">
        <f>(G262-F262)/F262*100</f>
        <v/>
      </c>
      <c r="L262" s="3">
        <f>RAW_INPUT!F262</f>
        <v/>
      </c>
      <c r="M262" s="3">
        <f>K262-L262</f>
        <v/>
      </c>
      <c r="N262" s="3">
        <f>IF(J262&gt;0, 1, 0)</f>
        <v/>
      </c>
      <c r="O262" s="3">
        <f>IF(J262&lt;0, 1, 0)</f>
        <v/>
      </c>
      <c r="P262" s="3">
        <f>SUM($J$3:J262)</f>
        <v/>
      </c>
      <c r="Q262" s="3">
        <f>P262/METRICS!$C$14*100</f>
        <v/>
      </c>
      <c r="R262" s="3">
        <f>METRICS!$C$14+P262</f>
        <v/>
      </c>
      <c r="S262" s="3">
        <f>MAX($R$3:R262)</f>
        <v/>
      </c>
      <c r="T262" s="3">
        <f>R262-S262</f>
        <v/>
      </c>
      <c r="U262" s="3">
        <f>(R262-S262)/S262*100</f>
        <v/>
      </c>
      <c r="V262" s="3">
        <f>IF(K262&lt;0, (K262/100)^2, 0)</f>
        <v/>
      </c>
    </row>
    <row r="263">
      <c r="A263" s="3">
        <f>TEXT(261, """T""0000")</f>
        <v/>
      </c>
      <c r="B263" s="3">
        <f>RAW_INPUT!A263</f>
        <v/>
      </c>
      <c r="C263" s="3">
        <f>RAW_INPUT!B263</f>
        <v/>
      </c>
      <c r="D263" s="3">
        <f>RAW_INPUT!D263</f>
        <v/>
      </c>
      <c r="E263" s="3">
        <f>D263-C263</f>
        <v/>
      </c>
      <c r="F263" s="3">
        <f>RAW_INPUT!C263</f>
        <v/>
      </c>
      <c r="G263" s="3">
        <f>RAW_INPUT!E263</f>
        <v/>
      </c>
      <c r="H263" s="3">
        <f>I263/F263</f>
        <v/>
      </c>
      <c r="I263" s="3">
        <f>METRICS!$C$14 * 0.02</f>
        <v/>
      </c>
      <c r="J263" s="3">
        <f>(G263-F263)*H263</f>
        <v/>
      </c>
      <c r="K263" s="3">
        <f>(G263-F263)/F263*100</f>
        <v/>
      </c>
      <c r="L263" s="3">
        <f>RAW_INPUT!F263</f>
        <v/>
      </c>
      <c r="M263" s="3">
        <f>K263-L263</f>
        <v/>
      </c>
      <c r="N263" s="3">
        <f>IF(J263&gt;0, 1, 0)</f>
        <v/>
      </c>
      <c r="O263" s="3">
        <f>IF(J263&lt;0, 1, 0)</f>
        <v/>
      </c>
      <c r="P263" s="3">
        <f>SUM($J$3:J263)</f>
        <v/>
      </c>
      <c r="Q263" s="3">
        <f>P263/METRICS!$C$14*100</f>
        <v/>
      </c>
      <c r="R263" s="3">
        <f>METRICS!$C$14+P263</f>
        <v/>
      </c>
      <c r="S263" s="3">
        <f>MAX($R$3:R263)</f>
        <v/>
      </c>
      <c r="T263" s="3">
        <f>R263-S263</f>
        <v/>
      </c>
      <c r="U263" s="3">
        <f>(R263-S263)/S263*100</f>
        <v/>
      </c>
      <c r="V263" s="3">
        <f>IF(K263&lt;0, (K263/100)^2, 0)</f>
        <v/>
      </c>
    </row>
    <row r="264">
      <c r="A264" s="3">
        <f>TEXT(262, """T""0000")</f>
        <v/>
      </c>
      <c r="B264" s="3">
        <f>RAW_INPUT!A264</f>
        <v/>
      </c>
      <c r="C264" s="3">
        <f>RAW_INPUT!B264</f>
        <v/>
      </c>
      <c r="D264" s="3">
        <f>RAW_INPUT!D264</f>
        <v/>
      </c>
      <c r="E264" s="3">
        <f>D264-C264</f>
        <v/>
      </c>
      <c r="F264" s="3">
        <f>RAW_INPUT!C264</f>
        <v/>
      </c>
      <c r="G264" s="3">
        <f>RAW_INPUT!E264</f>
        <v/>
      </c>
      <c r="H264" s="3">
        <f>I264/F264</f>
        <v/>
      </c>
      <c r="I264" s="3">
        <f>METRICS!$C$14 * 0.02</f>
        <v/>
      </c>
      <c r="J264" s="3">
        <f>(G264-F264)*H264</f>
        <v/>
      </c>
      <c r="K264" s="3">
        <f>(G264-F264)/F264*100</f>
        <v/>
      </c>
      <c r="L264" s="3">
        <f>RAW_INPUT!F264</f>
        <v/>
      </c>
      <c r="M264" s="3">
        <f>K264-L264</f>
        <v/>
      </c>
      <c r="N264" s="3">
        <f>IF(J264&gt;0, 1, 0)</f>
        <v/>
      </c>
      <c r="O264" s="3">
        <f>IF(J264&lt;0, 1, 0)</f>
        <v/>
      </c>
      <c r="P264" s="3">
        <f>SUM($J$3:J264)</f>
        <v/>
      </c>
      <c r="Q264" s="3">
        <f>P264/METRICS!$C$14*100</f>
        <v/>
      </c>
      <c r="R264" s="3">
        <f>METRICS!$C$14+P264</f>
        <v/>
      </c>
      <c r="S264" s="3">
        <f>MAX($R$3:R264)</f>
        <v/>
      </c>
      <c r="T264" s="3">
        <f>R264-S264</f>
        <v/>
      </c>
      <c r="U264" s="3">
        <f>(R264-S264)/S264*100</f>
        <v/>
      </c>
      <c r="V264" s="3">
        <f>IF(K264&lt;0, (K264/100)^2, 0)</f>
        <v/>
      </c>
    </row>
    <row r="265">
      <c r="A265" s="3">
        <f>TEXT(263, """T""0000")</f>
        <v/>
      </c>
      <c r="B265" s="3">
        <f>RAW_INPUT!A265</f>
        <v/>
      </c>
      <c r="C265" s="3">
        <f>RAW_INPUT!B265</f>
        <v/>
      </c>
      <c r="D265" s="3">
        <f>RAW_INPUT!D265</f>
        <v/>
      </c>
      <c r="E265" s="3">
        <f>D265-C265</f>
        <v/>
      </c>
      <c r="F265" s="3">
        <f>RAW_INPUT!C265</f>
        <v/>
      </c>
      <c r="G265" s="3">
        <f>RAW_INPUT!E265</f>
        <v/>
      </c>
      <c r="H265" s="3">
        <f>I265/F265</f>
        <v/>
      </c>
      <c r="I265" s="3">
        <f>METRICS!$C$14 * 0.02</f>
        <v/>
      </c>
      <c r="J265" s="3">
        <f>(G265-F265)*H265</f>
        <v/>
      </c>
      <c r="K265" s="3">
        <f>(G265-F265)/F265*100</f>
        <v/>
      </c>
      <c r="L265" s="3">
        <f>RAW_INPUT!F265</f>
        <v/>
      </c>
      <c r="M265" s="3">
        <f>K265-L265</f>
        <v/>
      </c>
      <c r="N265" s="3">
        <f>IF(J265&gt;0, 1, 0)</f>
        <v/>
      </c>
      <c r="O265" s="3">
        <f>IF(J265&lt;0, 1, 0)</f>
        <v/>
      </c>
      <c r="P265" s="3">
        <f>SUM($J$3:J265)</f>
        <v/>
      </c>
      <c r="Q265" s="3">
        <f>P265/METRICS!$C$14*100</f>
        <v/>
      </c>
      <c r="R265" s="3">
        <f>METRICS!$C$14+P265</f>
        <v/>
      </c>
      <c r="S265" s="3">
        <f>MAX($R$3:R265)</f>
        <v/>
      </c>
      <c r="T265" s="3">
        <f>R265-S265</f>
        <v/>
      </c>
      <c r="U265" s="3">
        <f>(R265-S265)/S265*100</f>
        <v/>
      </c>
      <c r="V265" s="3">
        <f>IF(K265&lt;0, (K265/100)^2, 0)</f>
        <v/>
      </c>
    </row>
    <row r="266">
      <c r="A266" s="3">
        <f>TEXT(264, """T""0000")</f>
        <v/>
      </c>
      <c r="B266" s="3">
        <f>RAW_INPUT!A266</f>
        <v/>
      </c>
      <c r="C266" s="3">
        <f>RAW_INPUT!B266</f>
        <v/>
      </c>
      <c r="D266" s="3">
        <f>RAW_INPUT!D266</f>
        <v/>
      </c>
      <c r="E266" s="3">
        <f>D266-C266</f>
        <v/>
      </c>
      <c r="F266" s="3">
        <f>RAW_INPUT!C266</f>
        <v/>
      </c>
      <c r="G266" s="3">
        <f>RAW_INPUT!E266</f>
        <v/>
      </c>
      <c r="H266" s="3">
        <f>I266/F266</f>
        <v/>
      </c>
      <c r="I266" s="3">
        <f>METRICS!$C$14 * 0.02</f>
        <v/>
      </c>
      <c r="J266" s="3">
        <f>(G266-F266)*H266</f>
        <v/>
      </c>
      <c r="K266" s="3">
        <f>(G266-F266)/F266*100</f>
        <v/>
      </c>
      <c r="L266" s="3">
        <f>RAW_INPUT!F266</f>
        <v/>
      </c>
      <c r="M266" s="3">
        <f>K266-L266</f>
        <v/>
      </c>
      <c r="N266" s="3">
        <f>IF(J266&gt;0, 1, 0)</f>
        <v/>
      </c>
      <c r="O266" s="3">
        <f>IF(J266&lt;0, 1, 0)</f>
        <v/>
      </c>
      <c r="P266" s="3">
        <f>SUM($J$3:J266)</f>
        <v/>
      </c>
      <c r="Q266" s="3">
        <f>P266/METRICS!$C$14*100</f>
        <v/>
      </c>
      <c r="R266" s="3">
        <f>METRICS!$C$14+P266</f>
        <v/>
      </c>
      <c r="S266" s="3">
        <f>MAX($R$3:R266)</f>
        <v/>
      </c>
      <c r="T266" s="3">
        <f>R266-S266</f>
        <v/>
      </c>
      <c r="U266" s="3">
        <f>(R266-S266)/S266*100</f>
        <v/>
      </c>
      <c r="V266" s="3">
        <f>IF(K266&lt;0, (K266/100)^2, 0)</f>
        <v/>
      </c>
    </row>
    <row r="267">
      <c r="A267" s="3">
        <f>TEXT(265, """T""0000")</f>
        <v/>
      </c>
      <c r="B267" s="3">
        <f>RAW_INPUT!A267</f>
        <v/>
      </c>
      <c r="C267" s="3">
        <f>RAW_INPUT!B267</f>
        <v/>
      </c>
      <c r="D267" s="3">
        <f>RAW_INPUT!D267</f>
        <v/>
      </c>
      <c r="E267" s="3">
        <f>D267-C267</f>
        <v/>
      </c>
      <c r="F267" s="3">
        <f>RAW_INPUT!C267</f>
        <v/>
      </c>
      <c r="G267" s="3">
        <f>RAW_INPUT!E267</f>
        <v/>
      </c>
      <c r="H267" s="3">
        <f>I267/F267</f>
        <v/>
      </c>
      <c r="I267" s="3">
        <f>METRICS!$C$14 * 0.02</f>
        <v/>
      </c>
      <c r="J267" s="3">
        <f>(G267-F267)*H267</f>
        <v/>
      </c>
      <c r="K267" s="3">
        <f>(G267-F267)/F267*100</f>
        <v/>
      </c>
      <c r="L267" s="3">
        <f>RAW_INPUT!F267</f>
        <v/>
      </c>
      <c r="M267" s="3">
        <f>K267-L267</f>
        <v/>
      </c>
      <c r="N267" s="3">
        <f>IF(J267&gt;0, 1, 0)</f>
        <v/>
      </c>
      <c r="O267" s="3">
        <f>IF(J267&lt;0, 1, 0)</f>
        <v/>
      </c>
      <c r="P267" s="3">
        <f>SUM($J$3:J267)</f>
        <v/>
      </c>
      <c r="Q267" s="3">
        <f>P267/METRICS!$C$14*100</f>
        <v/>
      </c>
      <c r="R267" s="3">
        <f>METRICS!$C$14+P267</f>
        <v/>
      </c>
      <c r="S267" s="3">
        <f>MAX($R$3:R267)</f>
        <v/>
      </c>
      <c r="T267" s="3">
        <f>R267-S267</f>
        <v/>
      </c>
      <c r="U267" s="3">
        <f>(R267-S267)/S267*100</f>
        <v/>
      </c>
      <c r="V267" s="3">
        <f>IF(K267&lt;0, (K267/100)^2, 0)</f>
        <v/>
      </c>
    </row>
    <row r="268">
      <c r="A268" s="3">
        <f>TEXT(266, """T""0000")</f>
        <v/>
      </c>
      <c r="B268" s="3">
        <f>RAW_INPUT!A268</f>
        <v/>
      </c>
      <c r="C268" s="3">
        <f>RAW_INPUT!B268</f>
        <v/>
      </c>
      <c r="D268" s="3">
        <f>RAW_INPUT!D268</f>
        <v/>
      </c>
      <c r="E268" s="3">
        <f>D268-C268</f>
        <v/>
      </c>
      <c r="F268" s="3">
        <f>RAW_INPUT!C268</f>
        <v/>
      </c>
      <c r="G268" s="3">
        <f>RAW_INPUT!E268</f>
        <v/>
      </c>
      <c r="H268" s="3">
        <f>I268/F268</f>
        <v/>
      </c>
      <c r="I268" s="3">
        <f>METRICS!$C$14 * 0.02</f>
        <v/>
      </c>
      <c r="J268" s="3">
        <f>(G268-F268)*H268</f>
        <v/>
      </c>
      <c r="K268" s="3">
        <f>(G268-F268)/F268*100</f>
        <v/>
      </c>
      <c r="L268" s="3">
        <f>RAW_INPUT!F268</f>
        <v/>
      </c>
      <c r="M268" s="3">
        <f>K268-L268</f>
        <v/>
      </c>
      <c r="N268" s="3">
        <f>IF(J268&gt;0, 1, 0)</f>
        <v/>
      </c>
      <c r="O268" s="3">
        <f>IF(J268&lt;0, 1, 0)</f>
        <v/>
      </c>
      <c r="P268" s="3">
        <f>SUM($J$3:J268)</f>
        <v/>
      </c>
      <c r="Q268" s="3">
        <f>P268/METRICS!$C$14*100</f>
        <v/>
      </c>
      <c r="R268" s="3">
        <f>METRICS!$C$14+P268</f>
        <v/>
      </c>
      <c r="S268" s="3">
        <f>MAX($R$3:R268)</f>
        <v/>
      </c>
      <c r="T268" s="3">
        <f>R268-S268</f>
        <v/>
      </c>
      <c r="U268" s="3">
        <f>(R268-S268)/S268*100</f>
        <v/>
      </c>
      <c r="V268" s="3">
        <f>IF(K268&lt;0, (K268/100)^2, 0)</f>
        <v/>
      </c>
    </row>
    <row r="269">
      <c r="A269" s="3">
        <f>TEXT(267, """T""0000")</f>
        <v/>
      </c>
      <c r="B269" s="3">
        <f>RAW_INPUT!A269</f>
        <v/>
      </c>
      <c r="C269" s="3">
        <f>RAW_INPUT!B269</f>
        <v/>
      </c>
      <c r="D269" s="3">
        <f>RAW_INPUT!D269</f>
        <v/>
      </c>
      <c r="E269" s="3">
        <f>D269-C269</f>
        <v/>
      </c>
      <c r="F269" s="3">
        <f>RAW_INPUT!C269</f>
        <v/>
      </c>
      <c r="G269" s="3">
        <f>RAW_INPUT!E269</f>
        <v/>
      </c>
      <c r="H269" s="3">
        <f>I269/F269</f>
        <v/>
      </c>
      <c r="I269" s="3">
        <f>METRICS!$C$14 * 0.02</f>
        <v/>
      </c>
      <c r="J269" s="3">
        <f>(G269-F269)*H269</f>
        <v/>
      </c>
      <c r="K269" s="3">
        <f>(G269-F269)/F269*100</f>
        <v/>
      </c>
      <c r="L269" s="3">
        <f>RAW_INPUT!F269</f>
        <v/>
      </c>
      <c r="M269" s="3">
        <f>K269-L269</f>
        <v/>
      </c>
      <c r="N269" s="3">
        <f>IF(J269&gt;0, 1, 0)</f>
        <v/>
      </c>
      <c r="O269" s="3">
        <f>IF(J269&lt;0, 1, 0)</f>
        <v/>
      </c>
      <c r="P269" s="3">
        <f>SUM($J$3:J269)</f>
        <v/>
      </c>
      <c r="Q269" s="3">
        <f>P269/METRICS!$C$14*100</f>
        <v/>
      </c>
      <c r="R269" s="3">
        <f>METRICS!$C$14+P269</f>
        <v/>
      </c>
      <c r="S269" s="3">
        <f>MAX($R$3:R269)</f>
        <v/>
      </c>
      <c r="T269" s="3">
        <f>R269-S269</f>
        <v/>
      </c>
      <c r="U269" s="3">
        <f>(R269-S269)/S269*100</f>
        <v/>
      </c>
      <c r="V269" s="3">
        <f>IF(K269&lt;0, (K269/100)^2, 0)</f>
        <v/>
      </c>
    </row>
    <row r="270">
      <c r="A270" s="3">
        <f>TEXT(268, """T""0000")</f>
        <v/>
      </c>
      <c r="B270" s="3">
        <f>RAW_INPUT!A270</f>
        <v/>
      </c>
      <c r="C270" s="3">
        <f>RAW_INPUT!B270</f>
        <v/>
      </c>
      <c r="D270" s="3">
        <f>RAW_INPUT!D270</f>
        <v/>
      </c>
      <c r="E270" s="3">
        <f>D270-C270</f>
        <v/>
      </c>
      <c r="F270" s="3">
        <f>RAW_INPUT!C270</f>
        <v/>
      </c>
      <c r="G270" s="3">
        <f>RAW_INPUT!E270</f>
        <v/>
      </c>
      <c r="H270" s="3">
        <f>I270/F270</f>
        <v/>
      </c>
      <c r="I270" s="3">
        <f>METRICS!$C$14 * 0.02</f>
        <v/>
      </c>
      <c r="J270" s="3">
        <f>(G270-F270)*H270</f>
        <v/>
      </c>
      <c r="K270" s="3">
        <f>(G270-F270)/F270*100</f>
        <v/>
      </c>
      <c r="L270" s="3">
        <f>RAW_INPUT!F270</f>
        <v/>
      </c>
      <c r="M270" s="3">
        <f>K270-L270</f>
        <v/>
      </c>
      <c r="N270" s="3">
        <f>IF(J270&gt;0, 1, 0)</f>
        <v/>
      </c>
      <c r="O270" s="3">
        <f>IF(J270&lt;0, 1, 0)</f>
        <v/>
      </c>
      <c r="P270" s="3">
        <f>SUM($J$3:J270)</f>
        <v/>
      </c>
      <c r="Q270" s="3">
        <f>P270/METRICS!$C$14*100</f>
        <v/>
      </c>
      <c r="R270" s="3">
        <f>METRICS!$C$14+P270</f>
        <v/>
      </c>
      <c r="S270" s="3">
        <f>MAX($R$3:R270)</f>
        <v/>
      </c>
      <c r="T270" s="3">
        <f>R270-S270</f>
        <v/>
      </c>
      <c r="U270" s="3">
        <f>(R270-S270)/S270*100</f>
        <v/>
      </c>
      <c r="V270" s="3">
        <f>IF(K270&lt;0, (K270/100)^2, 0)</f>
        <v/>
      </c>
    </row>
    <row r="271">
      <c r="A271" s="3">
        <f>TEXT(269, """T""0000")</f>
        <v/>
      </c>
      <c r="B271" s="3">
        <f>RAW_INPUT!A271</f>
        <v/>
      </c>
      <c r="C271" s="3">
        <f>RAW_INPUT!B271</f>
        <v/>
      </c>
      <c r="D271" s="3">
        <f>RAW_INPUT!D271</f>
        <v/>
      </c>
      <c r="E271" s="3">
        <f>D271-C271</f>
        <v/>
      </c>
      <c r="F271" s="3">
        <f>RAW_INPUT!C271</f>
        <v/>
      </c>
      <c r="G271" s="3">
        <f>RAW_INPUT!E271</f>
        <v/>
      </c>
      <c r="H271" s="3">
        <f>I271/F271</f>
        <v/>
      </c>
      <c r="I271" s="3">
        <f>METRICS!$C$14 * 0.02</f>
        <v/>
      </c>
      <c r="J271" s="3">
        <f>(G271-F271)*H271</f>
        <v/>
      </c>
      <c r="K271" s="3">
        <f>(G271-F271)/F271*100</f>
        <v/>
      </c>
      <c r="L271" s="3">
        <f>RAW_INPUT!F271</f>
        <v/>
      </c>
      <c r="M271" s="3">
        <f>K271-L271</f>
        <v/>
      </c>
      <c r="N271" s="3">
        <f>IF(J271&gt;0, 1, 0)</f>
        <v/>
      </c>
      <c r="O271" s="3">
        <f>IF(J271&lt;0, 1, 0)</f>
        <v/>
      </c>
      <c r="P271" s="3">
        <f>SUM($J$3:J271)</f>
        <v/>
      </c>
      <c r="Q271" s="3">
        <f>P271/METRICS!$C$14*100</f>
        <v/>
      </c>
      <c r="R271" s="3">
        <f>METRICS!$C$14+P271</f>
        <v/>
      </c>
      <c r="S271" s="3">
        <f>MAX($R$3:R271)</f>
        <v/>
      </c>
      <c r="T271" s="3">
        <f>R271-S271</f>
        <v/>
      </c>
      <c r="U271" s="3">
        <f>(R271-S271)/S271*100</f>
        <v/>
      </c>
      <c r="V271" s="3">
        <f>IF(K271&lt;0, (K271/100)^2, 0)</f>
        <v/>
      </c>
    </row>
    <row r="272">
      <c r="A272" s="3">
        <f>TEXT(270, """T""0000")</f>
        <v/>
      </c>
      <c r="B272" s="3">
        <f>RAW_INPUT!A272</f>
        <v/>
      </c>
      <c r="C272" s="3">
        <f>RAW_INPUT!B272</f>
        <v/>
      </c>
      <c r="D272" s="3">
        <f>RAW_INPUT!D272</f>
        <v/>
      </c>
      <c r="E272" s="3">
        <f>D272-C272</f>
        <v/>
      </c>
      <c r="F272" s="3">
        <f>RAW_INPUT!C272</f>
        <v/>
      </c>
      <c r="G272" s="3">
        <f>RAW_INPUT!E272</f>
        <v/>
      </c>
      <c r="H272" s="3">
        <f>I272/F272</f>
        <v/>
      </c>
      <c r="I272" s="3">
        <f>METRICS!$C$14 * 0.02</f>
        <v/>
      </c>
      <c r="J272" s="3">
        <f>(G272-F272)*H272</f>
        <v/>
      </c>
      <c r="K272" s="3">
        <f>(G272-F272)/F272*100</f>
        <v/>
      </c>
      <c r="L272" s="3">
        <f>RAW_INPUT!F272</f>
        <v/>
      </c>
      <c r="M272" s="3">
        <f>K272-L272</f>
        <v/>
      </c>
      <c r="N272" s="3">
        <f>IF(J272&gt;0, 1, 0)</f>
        <v/>
      </c>
      <c r="O272" s="3">
        <f>IF(J272&lt;0, 1, 0)</f>
        <v/>
      </c>
      <c r="P272" s="3">
        <f>SUM($J$3:J272)</f>
        <v/>
      </c>
      <c r="Q272" s="3">
        <f>P272/METRICS!$C$14*100</f>
        <v/>
      </c>
      <c r="R272" s="3">
        <f>METRICS!$C$14+P272</f>
        <v/>
      </c>
      <c r="S272" s="3">
        <f>MAX($R$3:R272)</f>
        <v/>
      </c>
      <c r="T272" s="3">
        <f>R272-S272</f>
        <v/>
      </c>
      <c r="U272" s="3">
        <f>(R272-S272)/S272*100</f>
        <v/>
      </c>
      <c r="V272" s="3">
        <f>IF(K272&lt;0, (K272/100)^2, 0)</f>
        <v/>
      </c>
    </row>
    <row r="273">
      <c r="A273" s="3">
        <f>TEXT(271, """T""0000")</f>
        <v/>
      </c>
      <c r="B273" s="3">
        <f>RAW_INPUT!A273</f>
        <v/>
      </c>
      <c r="C273" s="3">
        <f>RAW_INPUT!B273</f>
        <v/>
      </c>
      <c r="D273" s="3">
        <f>RAW_INPUT!D273</f>
        <v/>
      </c>
      <c r="E273" s="3">
        <f>D273-C273</f>
        <v/>
      </c>
      <c r="F273" s="3">
        <f>RAW_INPUT!C273</f>
        <v/>
      </c>
      <c r="G273" s="3">
        <f>RAW_INPUT!E273</f>
        <v/>
      </c>
      <c r="H273" s="3">
        <f>I273/F273</f>
        <v/>
      </c>
      <c r="I273" s="3">
        <f>METRICS!$C$14 * 0.02</f>
        <v/>
      </c>
      <c r="J273" s="3">
        <f>(G273-F273)*H273</f>
        <v/>
      </c>
      <c r="K273" s="3">
        <f>(G273-F273)/F273*100</f>
        <v/>
      </c>
      <c r="L273" s="3">
        <f>RAW_INPUT!F273</f>
        <v/>
      </c>
      <c r="M273" s="3">
        <f>K273-L273</f>
        <v/>
      </c>
      <c r="N273" s="3">
        <f>IF(J273&gt;0, 1, 0)</f>
        <v/>
      </c>
      <c r="O273" s="3">
        <f>IF(J273&lt;0, 1, 0)</f>
        <v/>
      </c>
      <c r="P273" s="3">
        <f>SUM($J$3:J273)</f>
        <v/>
      </c>
      <c r="Q273" s="3">
        <f>P273/METRICS!$C$14*100</f>
        <v/>
      </c>
      <c r="R273" s="3">
        <f>METRICS!$C$14+P273</f>
        <v/>
      </c>
      <c r="S273" s="3">
        <f>MAX($R$3:R273)</f>
        <v/>
      </c>
      <c r="T273" s="3">
        <f>R273-S273</f>
        <v/>
      </c>
      <c r="U273" s="3">
        <f>(R273-S273)/S273*100</f>
        <v/>
      </c>
      <c r="V273" s="3">
        <f>IF(K273&lt;0, (K273/100)^2, 0)</f>
        <v/>
      </c>
    </row>
    <row r="274">
      <c r="A274" s="3">
        <f>TEXT(272, """T""0000")</f>
        <v/>
      </c>
      <c r="B274" s="3">
        <f>RAW_INPUT!A274</f>
        <v/>
      </c>
      <c r="C274" s="3">
        <f>RAW_INPUT!B274</f>
        <v/>
      </c>
      <c r="D274" s="3">
        <f>RAW_INPUT!D274</f>
        <v/>
      </c>
      <c r="E274" s="3">
        <f>D274-C274</f>
        <v/>
      </c>
      <c r="F274" s="3">
        <f>RAW_INPUT!C274</f>
        <v/>
      </c>
      <c r="G274" s="3">
        <f>RAW_INPUT!E274</f>
        <v/>
      </c>
      <c r="H274" s="3">
        <f>I274/F274</f>
        <v/>
      </c>
      <c r="I274" s="3">
        <f>METRICS!$C$14 * 0.02</f>
        <v/>
      </c>
      <c r="J274" s="3">
        <f>(G274-F274)*H274</f>
        <v/>
      </c>
      <c r="K274" s="3">
        <f>(G274-F274)/F274*100</f>
        <v/>
      </c>
      <c r="L274" s="3">
        <f>RAW_INPUT!F274</f>
        <v/>
      </c>
      <c r="M274" s="3">
        <f>K274-L274</f>
        <v/>
      </c>
      <c r="N274" s="3">
        <f>IF(J274&gt;0, 1, 0)</f>
        <v/>
      </c>
      <c r="O274" s="3">
        <f>IF(J274&lt;0, 1, 0)</f>
        <v/>
      </c>
      <c r="P274" s="3">
        <f>SUM($J$3:J274)</f>
        <v/>
      </c>
      <c r="Q274" s="3">
        <f>P274/METRICS!$C$14*100</f>
        <v/>
      </c>
      <c r="R274" s="3">
        <f>METRICS!$C$14+P274</f>
        <v/>
      </c>
      <c r="S274" s="3">
        <f>MAX($R$3:R274)</f>
        <v/>
      </c>
      <c r="T274" s="3">
        <f>R274-S274</f>
        <v/>
      </c>
      <c r="U274" s="3">
        <f>(R274-S274)/S274*100</f>
        <v/>
      </c>
      <c r="V274" s="3">
        <f>IF(K274&lt;0, (K274/100)^2, 0)</f>
        <v/>
      </c>
    </row>
    <row r="275">
      <c r="A275" s="3">
        <f>TEXT(273, """T""0000")</f>
        <v/>
      </c>
      <c r="B275" s="3">
        <f>RAW_INPUT!A275</f>
        <v/>
      </c>
      <c r="C275" s="3">
        <f>RAW_INPUT!B275</f>
        <v/>
      </c>
      <c r="D275" s="3">
        <f>RAW_INPUT!D275</f>
        <v/>
      </c>
      <c r="E275" s="3">
        <f>D275-C275</f>
        <v/>
      </c>
      <c r="F275" s="3">
        <f>RAW_INPUT!C275</f>
        <v/>
      </c>
      <c r="G275" s="3">
        <f>RAW_INPUT!E275</f>
        <v/>
      </c>
      <c r="H275" s="3">
        <f>I275/F275</f>
        <v/>
      </c>
      <c r="I275" s="3">
        <f>METRICS!$C$14 * 0.02</f>
        <v/>
      </c>
      <c r="J275" s="3">
        <f>(G275-F275)*H275</f>
        <v/>
      </c>
      <c r="K275" s="3">
        <f>(G275-F275)/F275*100</f>
        <v/>
      </c>
      <c r="L275" s="3">
        <f>RAW_INPUT!F275</f>
        <v/>
      </c>
      <c r="M275" s="3">
        <f>K275-L275</f>
        <v/>
      </c>
      <c r="N275" s="3">
        <f>IF(J275&gt;0, 1, 0)</f>
        <v/>
      </c>
      <c r="O275" s="3">
        <f>IF(J275&lt;0, 1, 0)</f>
        <v/>
      </c>
      <c r="P275" s="3">
        <f>SUM($J$3:J275)</f>
        <v/>
      </c>
      <c r="Q275" s="3">
        <f>P275/METRICS!$C$14*100</f>
        <v/>
      </c>
      <c r="R275" s="3">
        <f>METRICS!$C$14+P275</f>
        <v/>
      </c>
      <c r="S275" s="3">
        <f>MAX($R$3:R275)</f>
        <v/>
      </c>
      <c r="T275" s="3">
        <f>R275-S275</f>
        <v/>
      </c>
      <c r="U275" s="3">
        <f>(R275-S275)/S275*100</f>
        <v/>
      </c>
      <c r="V275" s="3">
        <f>IF(K275&lt;0, (K275/100)^2, 0)</f>
        <v/>
      </c>
    </row>
    <row r="276">
      <c r="A276" s="3">
        <f>TEXT(274, """T""0000")</f>
        <v/>
      </c>
      <c r="B276" s="3">
        <f>RAW_INPUT!A276</f>
        <v/>
      </c>
      <c r="C276" s="3">
        <f>RAW_INPUT!B276</f>
        <v/>
      </c>
      <c r="D276" s="3">
        <f>RAW_INPUT!D276</f>
        <v/>
      </c>
      <c r="E276" s="3">
        <f>D276-C276</f>
        <v/>
      </c>
      <c r="F276" s="3">
        <f>RAW_INPUT!C276</f>
        <v/>
      </c>
      <c r="G276" s="3">
        <f>RAW_INPUT!E276</f>
        <v/>
      </c>
      <c r="H276" s="3">
        <f>I276/F276</f>
        <v/>
      </c>
      <c r="I276" s="3">
        <f>METRICS!$C$14 * 0.02</f>
        <v/>
      </c>
      <c r="J276" s="3">
        <f>(G276-F276)*H276</f>
        <v/>
      </c>
      <c r="K276" s="3">
        <f>(G276-F276)/F276*100</f>
        <v/>
      </c>
      <c r="L276" s="3">
        <f>RAW_INPUT!F276</f>
        <v/>
      </c>
      <c r="M276" s="3">
        <f>K276-L276</f>
        <v/>
      </c>
      <c r="N276" s="3">
        <f>IF(J276&gt;0, 1, 0)</f>
        <v/>
      </c>
      <c r="O276" s="3">
        <f>IF(J276&lt;0, 1, 0)</f>
        <v/>
      </c>
      <c r="P276" s="3">
        <f>SUM($J$3:J276)</f>
        <v/>
      </c>
      <c r="Q276" s="3">
        <f>P276/METRICS!$C$14*100</f>
        <v/>
      </c>
      <c r="R276" s="3">
        <f>METRICS!$C$14+P276</f>
        <v/>
      </c>
      <c r="S276" s="3">
        <f>MAX($R$3:R276)</f>
        <v/>
      </c>
      <c r="T276" s="3">
        <f>R276-S276</f>
        <v/>
      </c>
      <c r="U276" s="3">
        <f>(R276-S276)/S276*100</f>
        <v/>
      </c>
      <c r="V276" s="3">
        <f>IF(K276&lt;0, (K276/100)^2, 0)</f>
        <v/>
      </c>
    </row>
    <row r="277">
      <c r="A277" s="3">
        <f>TEXT(275, """T""0000")</f>
        <v/>
      </c>
      <c r="B277" s="3">
        <f>RAW_INPUT!A277</f>
        <v/>
      </c>
      <c r="C277" s="3">
        <f>RAW_INPUT!B277</f>
        <v/>
      </c>
      <c r="D277" s="3">
        <f>RAW_INPUT!D277</f>
        <v/>
      </c>
      <c r="E277" s="3">
        <f>D277-C277</f>
        <v/>
      </c>
      <c r="F277" s="3">
        <f>RAW_INPUT!C277</f>
        <v/>
      </c>
      <c r="G277" s="3">
        <f>RAW_INPUT!E277</f>
        <v/>
      </c>
      <c r="H277" s="3">
        <f>I277/F277</f>
        <v/>
      </c>
      <c r="I277" s="3">
        <f>METRICS!$C$14 * 0.02</f>
        <v/>
      </c>
      <c r="J277" s="3">
        <f>(G277-F277)*H277</f>
        <v/>
      </c>
      <c r="K277" s="3">
        <f>(G277-F277)/F277*100</f>
        <v/>
      </c>
      <c r="L277" s="3">
        <f>RAW_INPUT!F277</f>
        <v/>
      </c>
      <c r="M277" s="3">
        <f>K277-L277</f>
        <v/>
      </c>
      <c r="N277" s="3">
        <f>IF(J277&gt;0, 1, 0)</f>
        <v/>
      </c>
      <c r="O277" s="3">
        <f>IF(J277&lt;0, 1, 0)</f>
        <v/>
      </c>
      <c r="P277" s="3">
        <f>SUM($J$3:J277)</f>
        <v/>
      </c>
      <c r="Q277" s="3">
        <f>P277/METRICS!$C$14*100</f>
        <v/>
      </c>
      <c r="R277" s="3">
        <f>METRICS!$C$14+P277</f>
        <v/>
      </c>
      <c r="S277" s="3">
        <f>MAX($R$3:R277)</f>
        <v/>
      </c>
      <c r="T277" s="3">
        <f>R277-S277</f>
        <v/>
      </c>
      <c r="U277" s="3">
        <f>(R277-S277)/S277*100</f>
        <v/>
      </c>
      <c r="V277" s="3">
        <f>IF(K277&lt;0, (K277/100)^2, 0)</f>
        <v/>
      </c>
    </row>
    <row r="278">
      <c r="A278" s="3">
        <f>TEXT(276, """T""0000")</f>
        <v/>
      </c>
      <c r="B278" s="3">
        <f>RAW_INPUT!A278</f>
        <v/>
      </c>
      <c r="C278" s="3">
        <f>RAW_INPUT!B278</f>
        <v/>
      </c>
      <c r="D278" s="3">
        <f>RAW_INPUT!D278</f>
        <v/>
      </c>
      <c r="E278" s="3">
        <f>D278-C278</f>
        <v/>
      </c>
      <c r="F278" s="3">
        <f>RAW_INPUT!C278</f>
        <v/>
      </c>
      <c r="G278" s="3">
        <f>RAW_INPUT!E278</f>
        <v/>
      </c>
      <c r="H278" s="3">
        <f>I278/F278</f>
        <v/>
      </c>
      <c r="I278" s="3">
        <f>METRICS!$C$14 * 0.02</f>
        <v/>
      </c>
      <c r="J278" s="3">
        <f>(G278-F278)*H278</f>
        <v/>
      </c>
      <c r="K278" s="3">
        <f>(G278-F278)/F278*100</f>
        <v/>
      </c>
      <c r="L278" s="3">
        <f>RAW_INPUT!F278</f>
        <v/>
      </c>
      <c r="M278" s="3">
        <f>K278-L278</f>
        <v/>
      </c>
      <c r="N278" s="3">
        <f>IF(J278&gt;0, 1, 0)</f>
        <v/>
      </c>
      <c r="O278" s="3">
        <f>IF(J278&lt;0, 1, 0)</f>
        <v/>
      </c>
      <c r="P278" s="3">
        <f>SUM($J$3:J278)</f>
        <v/>
      </c>
      <c r="Q278" s="3">
        <f>P278/METRICS!$C$14*100</f>
        <v/>
      </c>
      <c r="R278" s="3">
        <f>METRICS!$C$14+P278</f>
        <v/>
      </c>
      <c r="S278" s="3">
        <f>MAX($R$3:R278)</f>
        <v/>
      </c>
      <c r="T278" s="3">
        <f>R278-S278</f>
        <v/>
      </c>
      <c r="U278" s="3">
        <f>(R278-S278)/S278*100</f>
        <v/>
      </c>
      <c r="V278" s="3">
        <f>IF(K278&lt;0, (K278/100)^2, 0)</f>
        <v/>
      </c>
    </row>
    <row r="279">
      <c r="A279" s="3">
        <f>TEXT(277, """T""0000")</f>
        <v/>
      </c>
      <c r="B279" s="3">
        <f>RAW_INPUT!A279</f>
        <v/>
      </c>
      <c r="C279" s="3">
        <f>RAW_INPUT!B279</f>
        <v/>
      </c>
      <c r="D279" s="3">
        <f>RAW_INPUT!D279</f>
        <v/>
      </c>
      <c r="E279" s="3">
        <f>D279-C279</f>
        <v/>
      </c>
      <c r="F279" s="3">
        <f>RAW_INPUT!C279</f>
        <v/>
      </c>
      <c r="G279" s="3">
        <f>RAW_INPUT!E279</f>
        <v/>
      </c>
      <c r="H279" s="3">
        <f>I279/F279</f>
        <v/>
      </c>
      <c r="I279" s="3">
        <f>METRICS!$C$14 * 0.02</f>
        <v/>
      </c>
      <c r="J279" s="3">
        <f>(G279-F279)*H279</f>
        <v/>
      </c>
      <c r="K279" s="3">
        <f>(G279-F279)/F279*100</f>
        <v/>
      </c>
      <c r="L279" s="3">
        <f>RAW_INPUT!F279</f>
        <v/>
      </c>
      <c r="M279" s="3">
        <f>K279-L279</f>
        <v/>
      </c>
      <c r="N279" s="3">
        <f>IF(J279&gt;0, 1, 0)</f>
        <v/>
      </c>
      <c r="O279" s="3">
        <f>IF(J279&lt;0, 1, 0)</f>
        <v/>
      </c>
      <c r="P279" s="3">
        <f>SUM($J$3:J279)</f>
        <v/>
      </c>
      <c r="Q279" s="3">
        <f>P279/METRICS!$C$14*100</f>
        <v/>
      </c>
      <c r="R279" s="3">
        <f>METRICS!$C$14+P279</f>
        <v/>
      </c>
      <c r="S279" s="3">
        <f>MAX($R$3:R279)</f>
        <v/>
      </c>
      <c r="T279" s="3">
        <f>R279-S279</f>
        <v/>
      </c>
      <c r="U279" s="3">
        <f>(R279-S279)/S279*100</f>
        <v/>
      </c>
      <c r="V279" s="3">
        <f>IF(K279&lt;0, (K279/100)^2, 0)</f>
        <v/>
      </c>
    </row>
    <row r="280">
      <c r="A280" s="3">
        <f>TEXT(278, """T""0000")</f>
        <v/>
      </c>
      <c r="B280" s="3">
        <f>RAW_INPUT!A280</f>
        <v/>
      </c>
      <c r="C280" s="3">
        <f>RAW_INPUT!B280</f>
        <v/>
      </c>
      <c r="D280" s="3">
        <f>RAW_INPUT!D280</f>
        <v/>
      </c>
      <c r="E280" s="3">
        <f>D280-C280</f>
        <v/>
      </c>
      <c r="F280" s="3">
        <f>RAW_INPUT!C280</f>
        <v/>
      </c>
      <c r="G280" s="3">
        <f>RAW_INPUT!E280</f>
        <v/>
      </c>
      <c r="H280" s="3">
        <f>I280/F280</f>
        <v/>
      </c>
      <c r="I280" s="3">
        <f>METRICS!$C$14 * 0.02</f>
        <v/>
      </c>
      <c r="J280" s="3">
        <f>(G280-F280)*H280</f>
        <v/>
      </c>
      <c r="K280" s="3">
        <f>(G280-F280)/F280*100</f>
        <v/>
      </c>
      <c r="L280" s="3">
        <f>RAW_INPUT!F280</f>
        <v/>
      </c>
      <c r="M280" s="3">
        <f>K280-L280</f>
        <v/>
      </c>
      <c r="N280" s="3">
        <f>IF(J280&gt;0, 1, 0)</f>
        <v/>
      </c>
      <c r="O280" s="3">
        <f>IF(J280&lt;0, 1, 0)</f>
        <v/>
      </c>
      <c r="P280" s="3">
        <f>SUM($J$3:J280)</f>
        <v/>
      </c>
      <c r="Q280" s="3">
        <f>P280/METRICS!$C$14*100</f>
        <v/>
      </c>
      <c r="R280" s="3">
        <f>METRICS!$C$14+P280</f>
        <v/>
      </c>
      <c r="S280" s="3">
        <f>MAX($R$3:R280)</f>
        <v/>
      </c>
      <c r="T280" s="3">
        <f>R280-S280</f>
        <v/>
      </c>
      <c r="U280" s="3">
        <f>(R280-S280)/S280*100</f>
        <v/>
      </c>
      <c r="V280" s="3">
        <f>IF(K280&lt;0, (K280/100)^2, 0)</f>
        <v/>
      </c>
    </row>
    <row r="281">
      <c r="A281" s="3">
        <f>TEXT(279, """T""0000")</f>
        <v/>
      </c>
      <c r="B281" s="3">
        <f>RAW_INPUT!A281</f>
        <v/>
      </c>
      <c r="C281" s="3">
        <f>RAW_INPUT!B281</f>
        <v/>
      </c>
      <c r="D281" s="3">
        <f>RAW_INPUT!D281</f>
        <v/>
      </c>
      <c r="E281" s="3">
        <f>D281-C281</f>
        <v/>
      </c>
      <c r="F281" s="3">
        <f>RAW_INPUT!C281</f>
        <v/>
      </c>
      <c r="G281" s="3">
        <f>RAW_INPUT!E281</f>
        <v/>
      </c>
      <c r="H281" s="3">
        <f>I281/F281</f>
        <v/>
      </c>
      <c r="I281" s="3">
        <f>METRICS!$C$14 * 0.02</f>
        <v/>
      </c>
      <c r="J281" s="3">
        <f>(G281-F281)*H281</f>
        <v/>
      </c>
      <c r="K281" s="3">
        <f>(G281-F281)/F281*100</f>
        <v/>
      </c>
      <c r="L281" s="3">
        <f>RAW_INPUT!F281</f>
        <v/>
      </c>
      <c r="M281" s="3">
        <f>K281-L281</f>
        <v/>
      </c>
      <c r="N281" s="3">
        <f>IF(J281&gt;0, 1, 0)</f>
        <v/>
      </c>
      <c r="O281" s="3">
        <f>IF(J281&lt;0, 1, 0)</f>
        <v/>
      </c>
      <c r="P281" s="3">
        <f>SUM($J$3:J281)</f>
        <v/>
      </c>
      <c r="Q281" s="3">
        <f>P281/METRICS!$C$14*100</f>
        <v/>
      </c>
      <c r="R281" s="3">
        <f>METRICS!$C$14+P281</f>
        <v/>
      </c>
      <c r="S281" s="3">
        <f>MAX($R$3:R281)</f>
        <v/>
      </c>
      <c r="T281" s="3">
        <f>R281-S281</f>
        <v/>
      </c>
      <c r="U281" s="3">
        <f>(R281-S281)/S281*100</f>
        <v/>
      </c>
      <c r="V281" s="3">
        <f>IF(K281&lt;0, (K281/100)^2, 0)</f>
        <v/>
      </c>
    </row>
    <row r="282">
      <c r="A282" s="3">
        <f>TEXT(280, """T""0000")</f>
        <v/>
      </c>
      <c r="B282" s="3">
        <f>RAW_INPUT!A282</f>
        <v/>
      </c>
      <c r="C282" s="3">
        <f>RAW_INPUT!B282</f>
        <v/>
      </c>
      <c r="D282" s="3">
        <f>RAW_INPUT!D282</f>
        <v/>
      </c>
      <c r="E282" s="3">
        <f>D282-C282</f>
        <v/>
      </c>
      <c r="F282" s="3">
        <f>RAW_INPUT!C282</f>
        <v/>
      </c>
      <c r="G282" s="3">
        <f>RAW_INPUT!E282</f>
        <v/>
      </c>
      <c r="H282" s="3">
        <f>I282/F282</f>
        <v/>
      </c>
      <c r="I282" s="3">
        <f>METRICS!$C$14 * 0.02</f>
        <v/>
      </c>
      <c r="J282" s="3">
        <f>(G282-F282)*H282</f>
        <v/>
      </c>
      <c r="K282" s="3">
        <f>(G282-F282)/F282*100</f>
        <v/>
      </c>
      <c r="L282" s="3">
        <f>RAW_INPUT!F282</f>
        <v/>
      </c>
      <c r="M282" s="3">
        <f>K282-L282</f>
        <v/>
      </c>
      <c r="N282" s="3">
        <f>IF(J282&gt;0, 1, 0)</f>
        <v/>
      </c>
      <c r="O282" s="3">
        <f>IF(J282&lt;0, 1, 0)</f>
        <v/>
      </c>
      <c r="P282" s="3">
        <f>SUM($J$3:J282)</f>
        <v/>
      </c>
      <c r="Q282" s="3">
        <f>P282/METRICS!$C$14*100</f>
        <v/>
      </c>
      <c r="R282" s="3">
        <f>METRICS!$C$14+P282</f>
        <v/>
      </c>
      <c r="S282" s="3">
        <f>MAX($R$3:R282)</f>
        <v/>
      </c>
      <c r="T282" s="3">
        <f>R282-S282</f>
        <v/>
      </c>
      <c r="U282" s="3">
        <f>(R282-S282)/S282*100</f>
        <v/>
      </c>
      <c r="V282" s="3">
        <f>IF(K282&lt;0, (K282/100)^2, 0)</f>
        <v/>
      </c>
    </row>
    <row r="283">
      <c r="A283" s="3">
        <f>TEXT(281, """T""0000")</f>
        <v/>
      </c>
      <c r="B283" s="3">
        <f>RAW_INPUT!A283</f>
        <v/>
      </c>
      <c r="C283" s="3">
        <f>RAW_INPUT!B283</f>
        <v/>
      </c>
      <c r="D283" s="3">
        <f>RAW_INPUT!D283</f>
        <v/>
      </c>
      <c r="E283" s="3">
        <f>D283-C283</f>
        <v/>
      </c>
      <c r="F283" s="3">
        <f>RAW_INPUT!C283</f>
        <v/>
      </c>
      <c r="G283" s="3">
        <f>RAW_INPUT!E283</f>
        <v/>
      </c>
      <c r="H283" s="3">
        <f>I283/F283</f>
        <v/>
      </c>
      <c r="I283" s="3">
        <f>METRICS!$C$14 * 0.02</f>
        <v/>
      </c>
      <c r="J283" s="3">
        <f>(G283-F283)*H283</f>
        <v/>
      </c>
      <c r="K283" s="3">
        <f>(G283-F283)/F283*100</f>
        <v/>
      </c>
      <c r="L283" s="3">
        <f>RAW_INPUT!F283</f>
        <v/>
      </c>
      <c r="M283" s="3">
        <f>K283-L283</f>
        <v/>
      </c>
      <c r="N283" s="3">
        <f>IF(J283&gt;0, 1, 0)</f>
        <v/>
      </c>
      <c r="O283" s="3">
        <f>IF(J283&lt;0, 1, 0)</f>
        <v/>
      </c>
      <c r="P283" s="3">
        <f>SUM($J$3:J283)</f>
        <v/>
      </c>
      <c r="Q283" s="3">
        <f>P283/METRICS!$C$14*100</f>
        <v/>
      </c>
      <c r="R283" s="3">
        <f>METRICS!$C$14+P283</f>
        <v/>
      </c>
      <c r="S283" s="3">
        <f>MAX($R$3:R283)</f>
        <v/>
      </c>
      <c r="T283" s="3">
        <f>R283-S283</f>
        <v/>
      </c>
      <c r="U283" s="3">
        <f>(R283-S283)/S283*100</f>
        <v/>
      </c>
      <c r="V283" s="3">
        <f>IF(K283&lt;0, (K283/100)^2, 0)</f>
        <v/>
      </c>
    </row>
    <row r="284">
      <c r="A284" s="3">
        <f>TEXT(282, """T""0000")</f>
        <v/>
      </c>
      <c r="B284" s="3">
        <f>RAW_INPUT!A284</f>
        <v/>
      </c>
      <c r="C284" s="3">
        <f>RAW_INPUT!B284</f>
        <v/>
      </c>
      <c r="D284" s="3">
        <f>RAW_INPUT!D284</f>
        <v/>
      </c>
      <c r="E284" s="3">
        <f>D284-C284</f>
        <v/>
      </c>
      <c r="F284" s="3">
        <f>RAW_INPUT!C284</f>
        <v/>
      </c>
      <c r="G284" s="3">
        <f>RAW_INPUT!E284</f>
        <v/>
      </c>
      <c r="H284" s="3">
        <f>I284/F284</f>
        <v/>
      </c>
      <c r="I284" s="3">
        <f>METRICS!$C$14 * 0.02</f>
        <v/>
      </c>
      <c r="J284" s="3">
        <f>(G284-F284)*H284</f>
        <v/>
      </c>
      <c r="K284" s="3">
        <f>(G284-F284)/F284*100</f>
        <v/>
      </c>
      <c r="L284" s="3">
        <f>RAW_INPUT!F284</f>
        <v/>
      </c>
      <c r="M284" s="3">
        <f>K284-L284</f>
        <v/>
      </c>
      <c r="N284" s="3">
        <f>IF(J284&gt;0, 1, 0)</f>
        <v/>
      </c>
      <c r="O284" s="3">
        <f>IF(J284&lt;0, 1, 0)</f>
        <v/>
      </c>
      <c r="P284" s="3">
        <f>SUM($J$3:J284)</f>
        <v/>
      </c>
      <c r="Q284" s="3">
        <f>P284/METRICS!$C$14*100</f>
        <v/>
      </c>
      <c r="R284" s="3">
        <f>METRICS!$C$14+P284</f>
        <v/>
      </c>
      <c r="S284" s="3">
        <f>MAX($R$3:R284)</f>
        <v/>
      </c>
      <c r="T284" s="3">
        <f>R284-S284</f>
        <v/>
      </c>
      <c r="U284" s="3">
        <f>(R284-S284)/S284*100</f>
        <v/>
      </c>
      <c r="V284" s="3">
        <f>IF(K284&lt;0, (K284/100)^2, 0)</f>
        <v/>
      </c>
    </row>
    <row r="285">
      <c r="A285" s="3">
        <f>TEXT(283, """T""0000")</f>
        <v/>
      </c>
      <c r="B285" s="3">
        <f>RAW_INPUT!A285</f>
        <v/>
      </c>
      <c r="C285" s="3">
        <f>RAW_INPUT!B285</f>
        <v/>
      </c>
      <c r="D285" s="3">
        <f>RAW_INPUT!D285</f>
        <v/>
      </c>
      <c r="E285" s="3">
        <f>D285-C285</f>
        <v/>
      </c>
      <c r="F285" s="3">
        <f>RAW_INPUT!C285</f>
        <v/>
      </c>
      <c r="G285" s="3">
        <f>RAW_INPUT!E285</f>
        <v/>
      </c>
      <c r="H285" s="3">
        <f>I285/F285</f>
        <v/>
      </c>
      <c r="I285" s="3">
        <f>METRICS!$C$14 * 0.02</f>
        <v/>
      </c>
      <c r="J285" s="3">
        <f>(G285-F285)*H285</f>
        <v/>
      </c>
      <c r="K285" s="3">
        <f>(G285-F285)/F285*100</f>
        <v/>
      </c>
      <c r="L285" s="3">
        <f>RAW_INPUT!F285</f>
        <v/>
      </c>
      <c r="M285" s="3">
        <f>K285-L285</f>
        <v/>
      </c>
      <c r="N285" s="3">
        <f>IF(J285&gt;0, 1, 0)</f>
        <v/>
      </c>
      <c r="O285" s="3">
        <f>IF(J285&lt;0, 1, 0)</f>
        <v/>
      </c>
      <c r="P285" s="3">
        <f>SUM($J$3:J285)</f>
        <v/>
      </c>
      <c r="Q285" s="3">
        <f>P285/METRICS!$C$14*100</f>
        <v/>
      </c>
      <c r="R285" s="3">
        <f>METRICS!$C$14+P285</f>
        <v/>
      </c>
      <c r="S285" s="3">
        <f>MAX($R$3:R285)</f>
        <v/>
      </c>
      <c r="T285" s="3">
        <f>R285-S285</f>
        <v/>
      </c>
      <c r="U285" s="3">
        <f>(R285-S285)/S285*100</f>
        <v/>
      </c>
      <c r="V285" s="3">
        <f>IF(K285&lt;0, (K285/100)^2, 0)</f>
        <v/>
      </c>
    </row>
    <row r="286">
      <c r="A286" s="3">
        <f>TEXT(284, """T""0000")</f>
        <v/>
      </c>
      <c r="B286" s="3">
        <f>RAW_INPUT!A286</f>
        <v/>
      </c>
      <c r="C286" s="3">
        <f>RAW_INPUT!B286</f>
        <v/>
      </c>
      <c r="D286" s="3">
        <f>RAW_INPUT!D286</f>
        <v/>
      </c>
      <c r="E286" s="3">
        <f>D286-C286</f>
        <v/>
      </c>
      <c r="F286" s="3">
        <f>RAW_INPUT!C286</f>
        <v/>
      </c>
      <c r="G286" s="3">
        <f>RAW_INPUT!E286</f>
        <v/>
      </c>
      <c r="H286" s="3">
        <f>I286/F286</f>
        <v/>
      </c>
      <c r="I286" s="3">
        <f>METRICS!$C$14 * 0.02</f>
        <v/>
      </c>
      <c r="J286" s="3">
        <f>(G286-F286)*H286</f>
        <v/>
      </c>
      <c r="K286" s="3">
        <f>(G286-F286)/F286*100</f>
        <v/>
      </c>
      <c r="L286" s="3">
        <f>RAW_INPUT!F286</f>
        <v/>
      </c>
      <c r="M286" s="3">
        <f>K286-L286</f>
        <v/>
      </c>
      <c r="N286" s="3">
        <f>IF(J286&gt;0, 1, 0)</f>
        <v/>
      </c>
      <c r="O286" s="3">
        <f>IF(J286&lt;0, 1, 0)</f>
        <v/>
      </c>
      <c r="P286" s="3">
        <f>SUM($J$3:J286)</f>
        <v/>
      </c>
      <c r="Q286" s="3">
        <f>P286/METRICS!$C$14*100</f>
        <v/>
      </c>
      <c r="R286" s="3">
        <f>METRICS!$C$14+P286</f>
        <v/>
      </c>
      <c r="S286" s="3">
        <f>MAX($R$3:R286)</f>
        <v/>
      </c>
      <c r="T286" s="3">
        <f>R286-S286</f>
        <v/>
      </c>
      <c r="U286" s="3">
        <f>(R286-S286)/S286*100</f>
        <v/>
      </c>
      <c r="V286" s="3">
        <f>IF(K286&lt;0, (K286/100)^2, 0)</f>
        <v/>
      </c>
    </row>
    <row r="287">
      <c r="A287" s="3">
        <f>TEXT(285, """T""0000")</f>
        <v/>
      </c>
      <c r="B287" s="3">
        <f>RAW_INPUT!A287</f>
        <v/>
      </c>
      <c r="C287" s="3">
        <f>RAW_INPUT!B287</f>
        <v/>
      </c>
      <c r="D287" s="3">
        <f>RAW_INPUT!D287</f>
        <v/>
      </c>
      <c r="E287" s="3">
        <f>D287-C287</f>
        <v/>
      </c>
      <c r="F287" s="3">
        <f>RAW_INPUT!C287</f>
        <v/>
      </c>
      <c r="G287" s="3">
        <f>RAW_INPUT!E287</f>
        <v/>
      </c>
      <c r="H287" s="3">
        <f>I287/F287</f>
        <v/>
      </c>
      <c r="I287" s="3">
        <f>METRICS!$C$14 * 0.02</f>
        <v/>
      </c>
      <c r="J287" s="3">
        <f>(G287-F287)*H287</f>
        <v/>
      </c>
      <c r="K287" s="3">
        <f>(G287-F287)/F287*100</f>
        <v/>
      </c>
      <c r="L287" s="3">
        <f>RAW_INPUT!F287</f>
        <v/>
      </c>
      <c r="M287" s="3">
        <f>K287-L287</f>
        <v/>
      </c>
      <c r="N287" s="3">
        <f>IF(J287&gt;0, 1, 0)</f>
        <v/>
      </c>
      <c r="O287" s="3">
        <f>IF(J287&lt;0, 1, 0)</f>
        <v/>
      </c>
      <c r="P287" s="3">
        <f>SUM($J$3:J287)</f>
        <v/>
      </c>
      <c r="Q287" s="3">
        <f>P287/METRICS!$C$14*100</f>
        <v/>
      </c>
      <c r="R287" s="3">
        <f>METRICS!$C$14+P287</f>
        <v/>
      </c>
      <c r="S287" s="3">
        <f>MAX($R$3:R287)</f>
        <v/>
      </c>
      <c r="T287" s="3">
        <f>R287-S287</f>
        <v/>
      </c>
      <c r="U287" s="3">
        <f>(R287-S287)/S287*100</f>
        <v/>
      </c>
      <c r="V287" s="3">
        <f>IF(K287&lt;0, (K287/100)^2, 0)</f>
        <v/>
      </c>
    </row>
    <row r="288">
      <c r="A288" s="3">
        <f>TEXT(286, """T""0000")</f>
        <v/>
      </c>
      <c r="B288" s="3">
        <f>RAW_INPUT!A288</f>
        <v/>
      </c>
      <c r="C288" s="3">
        <f>RAW_INPUT!B288</f>
        <v/>
      </c>
      <c r="D288" s="3">
        <f>RAW_INPUT!D288</f>
        <v/>
      </c>
      <c r="E288" s="3">
        <f>D288-C288</f>
        <v/>
      </c>
      <c r="F288" s="3">
        <f>RAW_INPUT!C288</f>
        <v/>
      </c>
      <c r="G288" s="3">
        <f>RAW_INPUT!E288</f>
        <v/>
      </c>
      <c r="H288" s="3">
        <f>I288/F288</f>
        <v/>
      </c>
      <c r="I288" s="3">
        <f>METRICS!$C$14 * 0.02</f>
        <v/>
      </c>
      <c r="J288" s="3">
        <f>(G288-F288)*H288</f>
        <v/>
      </c>
      <c r="K288" s="3">
        <f>(G288-F288)/F288*100</f>
        <v/>
      </c>
      <c r="L288" s="3">
        <f>RAW_INPUT!F288</f>
        <v/>
      </c>
      <c r="M288" s="3">
        <f>K288-L288</f>
        <v/>
      </c>
      <c r="N288" s="3">
        <f>IF(J288&gt;0, 1, 0)</f>
        <v/>
      </c>
      <c r="O288" s="3">
        <f>IF(J288&lt;0, 1, 0)</f>
        <v/>
      </c>
      <c r="P288" s="3">
        <f>SUM($J$3:J288)</f>
        <v/>
      </c>
      <c r="Q288" s="3">
        <f>P288/METRICS!$C$14*100</f>
        <v/>
      </c>
      <c r="R288" s="3">
        <f>METRICS!$C$14+P288</f>
        <v/>
      </c>
      <c r="S288" s="3">
        <f>MAX($R$3:R288)</f>
        <v/>
      </c>
      <c r="T288" s="3">
        <f>R288-S288</f>
        <v/>
      </c>
      <c r="U288" s="3">
        <f>(R288-S288)/S288*100</f>
        <v/>
      </c>
      <c r="V288" s="3">
        <f>IF(K288&lt;0, (K288/100)^2, 0)</f>
        <v/>
      </c>
    </row>
    <row r="289">
      <c r="A289" s="3">
        <f>TEXT(287, """T""0000")</f>
        <v/>
      </c>
      <c r="B289" s="3">
        <f>RAW_INPUT!A289</f>
        <v/>
      </c>
      <c r="C289" s="3">
        <f>RAW_INPUT!B289</f>
        <v/>
      </c>
      <c r="D289" s="3">
        <f>RAW_INPUT!D289</f>
        <v/>
      </c>
      <c r="E289" s="3">
        <f>D289-C289</f>
        <v/>
      </c>
      <c r="F289" s="3">
        <f>RAW_INPUT!C289</f>
        <v/>
      </c>
      <c r="G289" s="3">
        <f>RAW_INPUT!E289</f>
        <v/>
      </c>
      <c r="H289" s="3">
        <f>I289/F289</f>
        <v/>
      </c>
      <c r="I289" s="3">
        <f>METRICS!$C$14 * 0.02</f>
        <v/>
      </c>
      <c r="J289" s="3">
        <f>(G289-F289)*H289</f>
        <v/>
      </c>
      <c r="K289" s="3">
        <f>(G289-F289)/F289*100</f>
        <v/>
      </c>
      <c r="L289" s="3">
        <f>RAW_INPUT!F289</f>
        <v/>
      </c>
      <c r="M289" s="3">
        <f>K289-L289</f>
        <v/>
      </c>
      <c r="N289" s="3">
        <f>IF(J289&gt;0, 1, 0)</f>
        <v/>
      </c>
      <c r="O289" s="3">
        <f>IF(J289&lt;0, 1, 0)</f>
        <v/>
      </c>
      <c r="P289" s="3">
        <f>SUM($J$3:J289)</f>
        <v/>
      </c>
      <c r="Q289" s="3">
        <f>P289/METRICS!$C$14*100</f>
        <v/>
      </c>
      <c r="R289" s="3">
        <f>METRICS!$C$14+P289</f>
        <v/>
      </c>
      <c r="S289" s="3">
        <f>MAX($R$3:R289)</f>
        <v/>
      </c>
      <c r="T289" s="3">
        <f>R289-S289</f>
        <v/>
      </c>
      <c r="U289" s="3">
        <f>(R289-S289)/S289*100</f>
        <v/>
      </c>
      <c r="V289" s="3">
        <f>IF(K289&lt;0, (K289/100)^2, 0)</f>
        <v/>
      </c>
    </row>
    <row r="290">
      <c r="A290" s="3">
        <f>TEXT(288, """T""0000")</f>
        <v/>
      </c>
      <c r="B290" s="3">
        <f>RAW_INPUT!A290</f>
        <v/>
      </c>
      <c r="C290" s="3">
        <f>RAW_INPUT!B290</f>
        <v/>
      </c>
      <c r="D290" s="3">
        <f>RAW_INPUT!D290</f>
        <v/>
      </c>
      <c r="E290" s="3">
        <f>D290-C290</f>
        <v/>
      </c>
      <c r="F290" s="3">
        <f>RAW_INPUT!C290</f>
        <v/>
      </c>
      <c r="G290" s="3">
        <f>RAW_INPUT!E290</f>
        <v/>
      </c>
      <c r="H290" s="3">
        <f>I290/F290</f>
        <v/>
      </c>
      <c r="I290" s="3">
        <f>METRICS!$C$14 * 0.02</f>
        <v/>
      </c>
      <c r="J290" s="3">
        <f>(G290-F290)*H290</f>
        <v/>
      </c>
      <c r="K290" s="3">
        <f>(G290-F290)/F290*100</f>
        <v/>
      </c>
      <c r="L290" s="3">
        <f>RAW_INPUT!F290</f>
        <v/>
      </c>
      <c r="M290" s="3">
        <f>K290-L290</f>
        <v/>
      </c>
      <c r="N290" s="3">
        <f>IF(J290&gt;0, 1, 0)</f>
        <v/>
      </c>
      <c r="O290" s="3">
        <f>IF(J290&lt;0, 1, 0)</f>
        <v/>
      </c>
      <c r="P290" s="3">
        <f>SUM($J$3:J290)</f>
        <v/>
      </c>
      <c r="Q290" s="3">
        <f>P290/METRICS!$C$14*100</f>
        <v/>
      </c>
      <c r="R290" s="3">
        <f>METRICS!$C$14+P290</f>
        <v/>
      </c>
      <c r="S290" s="3">
        <f>MAX($R$3:R290)</f>
        <v/>
      </c>
      <c r="T290" s="3">
        <f>R290-S290</f>
        <v/>
      </c>
      <c r="U290" s="3">
        <f>(R290-S290)/S290*100</f>
        <v/>
      </c>
      <c r="V290" s="3">
        <f>IF(K290&lt;0, (K290/100)^2, 0)</f>
        <v/>
      </c>
    </row>
    <row r="291">
      <c r="A291" s="3">
        <f>TEXT(289, """T""0000")</f>
        <v/>
      </c>
      <c r="B291" s="3">
        <f>RAW_INPUT!A291</f>
        <v/>
      </c>
      <c r="C291" s="3">
        <f>RAW_INPUT!B291</f>
        <v/>
      </c>
      <c r="D291" s="3">
        <f>RAW_INPUT!D291</f>
        <v/>
      </c>
      <c r="E291" s="3">
        <f>D291-C291</f>
        <v/>
      </c>
      <c r="F291" s="3">
        <f>RAW_INPUT!C291</f>
        <v/>
      </c>
      <c r="G291" s="3">
        <f>RAW_INPUT!E291</f>
        <v/>
      </c>
      <c r="H291" s="3">
        <f>I291/F291</f>
        <v/>
      </c>
      <c r="I291" s="3">
        <f>METRICS!$C$14 * 0.02</f>
        <v/>
      </c>
      <c r="J291" s="3">
        <f>(G291-F291)*H291</f>
        <v/>
      </c>
      <c r="K291" s="3">
        <f>(G291-F291)/F291*100</f>
        <v/>
      </c>
      <c r="L291" s="3">
        <f>RAW_INPUT!F291</f>
        <v/>
      </c>
      <c r="M291" s="3">
        <f>K291-L291</f>
        <v/>
      </c>
      <c r="N291" s="3">
        <f>IF(J291&gt;0, 1, 0)</f>
        <v/>
      </c>
      <c r="O291" s="3">
        <f>IF(J291&lt;0, 1, 0)</f>
        <v/>
      </c>
      <c r="P291" s="3">
        <f>SUM($J$3:J291)</f>
        <v/>
      </c>
      <c r="Q291" s="3">
        <f>P291/METRICS!$C$14*100</f>
        <v/>
      </c>
      <c r="R291" s="3">
        <f>METRICS!$C$14+P291</f>
        <v/>
      </c>
      <c r="S291" s="3">
        <f>MAX($R$3:R291)</f>
        <v/>
      </c>
      <c r="T291" s="3">
        <f>R291-S291</f>
        <v/>
      </c>
      <c r="U291" s="3">
        <f>(R291-S291)/S291*100</f>
        <v/>
      </c>
      <c r="V291" s="3">
        <f>IF(K291&lt;0, (K291/100)^2, 0)</f>
        <v/>
      </c>
    </row>
    <row r="292">
      <c r="A292" s="3">
        <f>TEXT(290, """T""0000")</f>
        <v/>
      </c>
      <c r="B292" s="3">
        <f>RAW_INPUT!A292</f>
        <v/>
      </c>
      <c r="C292" s="3">
        <f>RAW_INPUT!B292</f>
        <v/>
      </c>
      <c r="D292" s="3">
        <f>RAW_INPUT!D292</f>
        <v/>
      </c>
      <c r="E292" s="3">
        <f>D292-C292</f>
        <v/>
      </c>
      <c r="F292" s="3">
        <f>RAW_INPUT!C292</f>
        <v/>
      </c>
      <c r="G292" s="3">
        <f>RAW_INPUT!E292</f>
        <v/>
      </c>
      <c r="H292" s="3">
        <f>I292/F292</f>
        <v/>
      </c>
      <c r="I292" s="3">
        <f>METRICS!$C$14 * 0.02</f>
        <v/>
      </c>
      <c r="J292" s="3">
        <f>(G292-F292)*H292</f>
        <v/>
      </c>
      <c r="K292" s="3">
        <f>(G292-F292)/F292*100</f>
        <v/>
      </c>
      <c r="L292" s="3">
        <f>RAW_INPUT!F292</f>
        <v/>
      </c>
      <c r="M292" s="3">
        <f>K292-L292</f>
        <v/>
      </c>
      <c r="N292" s="3">
        <f>IF(J292&gt;0, 1, 0)</f>
        <v/>
      </c>
      <c r="O292" s="3">
        <f>IF(J292&lt;0, 1, 0)</f>
        <v/>
      </c>
      <c r="P292" s="3">
        <f>SUM($J$3:J292)</f>
        <v/>
      </c>
      <c r="Q292" s="3">
        <f>P292/METRICS!$C$14*100</f>
        <v/>
      </c>
      <c r="R292" s="3">
        <f>METRICS!$C$14+P292</f>
        <v/>
      </c>
      <c r="S292" s="3">
        <f>MAX($R$3:R292)</f>
        <v/>
      </c>
      <c r="T292" s="3">
        <f>R292-S292</f>
        <v/>
      </c>
      <c r="U292" s="3">
        <f>(R292-S292)/S292*100</f>
        <v/>
      </c>
      <c r="V292" s="3">
        <f>IF(K292&lt;0, (K292/100)^2, 0)</f>
        <v/>
      </c>
    </row>
    <row r="293">
      <c r="A293" s="3">
        <f>TEXT(291, """T""0000")</f>
        <v/>
      </c>
      <c r="B293" s="3">
        <f>RAW_INPUT!A293</f>
        <v/>
      </c>
      <c r="C293" s="3">
        <f>RAW_INPUT!B293</f>
        <v/>
      </c>
      <c r="D293" s="3">
        <f>RAW_INPUT!D293</f>
        <v/>
      </c>
      <c r="E293" s="3">
        <f>D293-C293</f>
        <v/>
      </c>
      <c r="F293" s="3">
        <f>RAW_INPUT!C293</f>
        <v/>
      </c>
      <c r="G293" s="3">
        <f>RAW_INPUT!E293</f>
        <v/>
      </c>
      <c r="H293" s="3">
        <f>I293/F293</f>
        <v/>
      </c>
      <c r="I293" s="3">
        <f>METRICS!$C$14 * 0.02</f>
        <v/>
      </c>
      <c r="J293" s="3">
        <f>(G293-F293)*H293</f>
        <v/>
      </c>
      <c r="K293" s="3">
        <f>(G293-F293)/F293*100</f>
        <v/>
      </c>
      <c r="L293" s="3">
        <f>RAW_INPUT!F293</f>
        <v/>
      </c>
      <c r="M293" s="3">
        <f>K293-L293</f>
        <v/>
      </c>
      <c r="N293" s="3">
        <f>IF(J293&gt;0, 1, 0)</f>
        <v/>
      </c>
      <c r="O293" s="3">
        <f>IF(J293&lt;0, 1, 0)</f>
        <v/>
      </c>
      <c r="P293" s="3">
        <f>SUM($J$3:J293)</f>
        <v/>
      </c>
      <c r="Q293" s="3">
        <f>P293/METRICS!$C$14*100</f>
        <v/>
      </c>
      <c r="R293" s="3">
        <f>METRICS!$C$14+P293</f>
        <v/>
      </c>
      <c r="S293" s="3">
        <f>MAX($R$3:R293)</f>
        <v/>
      </c>
      <c r="T293" s="3">
        <f>R293-S293</f>
        <v/>
      </c>
      <c r="U293" s="3">
        <f>(R293-S293)/S293*100</f>
        <v/>
      </c>
      <c r="V293" s="3">
        <f>IF(K293&lt;0, (K293/100)^2, 0)</f>
        <v/>
      </c>
    </row>
    <row r="294">
      <c r="A294" s="3">
        <f>TEXT(292, """T""0000")</f>
        <v/>
      </c>
      <c r="B294" s="3">
        <f>RAW_INPUT!A294</f>
        <v/>
      </c>
      <c r="C294" s="3">
        <f>RAW_INPUT!B294</f>
        <v/>
      </c>
      <c r="D294" s="3">
        <f>RAW_INPUT!D294</f>
        <v/>
      </c>
      <c r="E294" s="3">
        <f>D294-C294</f>
        <v/>
      </c>
      <c r="F294" s="3">
        <f>RAW_INPUT!C294</f>
        <v/>
      </c>
      <c r="G294" s="3">
        <f>RAW_INPUT!E294</f>
        <v/>
      </c>
      <c r="H294" s="3">
        <f>I294/F294</f>
        <v/>
      </c>
      <c r="I294" s="3">
        <f>METRICS!$C$14 * 0.02</f>
        <v/>
      </c>
      <c r="J294" s="3">
        <f>(G294-F294)*H294</f>
        <v/>
      </c>
      <c r="K294" s="3">
        <f>(G294-F294)/F294*100</f>
        <v/>
      </c>
      <c r="L294" s="3">
        <f>RAW_INPUT!F294</f>
        <v/>
      </c>
      <c r="M294" s="3">
        <f>K294-L294</f>
        <v/>
      </c>
      <c r="N294" s="3">
        <f>IF(J294&gt;0, 1, 0)</f>
        <v/>
      </c>
      <c r="O294" s="3">
        <f>IF(J294&lt;0, 1, 0)</f>
        <v/>
      </c>
      <c r="P294" s="3">
        <f>SUM($J$3:J294)</f>
        <v/>
      </c>
      <c r="Q294" s="3">
        <f>P294/METRICS!$C$14*100</f>
        <v/>
      </c>
      <c r="R294" s="3">
        <f>METRICS!$C$14+P294</f>
        <v/>
      </c>
      <c r="S294" s="3">
        <f>MAX($R$3:R294)</f>
        <v/>
      </c>
      <c r="T294" s="3">
        <f>R294-S294</f>
        <v/>
      </c>
      <c r="U294" s="3">
        <f>(R294-S294)/S294*100</f>
        <v/>
      </c>
      <c r="V294" s="3">
        <f>IF(K294&lt;0, (K294/100)^2, 0)</f>
        <v/>
      </c>
    </row>
    <row r="295">
      <c r="A295" s="3">
        <f>TEXT(293, """T""0000")</f>
        <v/>
      </c>
      <c r="B295" s="3">
        <f>RAW_INPUT!A295</f>
        <v/>
      </c>
      <c r="C295" s="3">
        <f>RAW_INPUT!B295</f>
        <v/>
      </c>
      <c r="D295" s="3">
        <f>RAW_INPUT!D295</f>
        <v/>
      </c>
      <c r="E295" s="3">
        <f>D295-C295</f>
        <v/>
      </c>
      <c r="F295" s="3">
        <f>RAW_INPUT!C295</f>
        <v/>
      </c>
      <c r="G295" s="3">
        <f>RAW_INPUT!E295</f>
        <v/>
      </c>
      <c r="H295" s="3">
        <f>I295/F295</f>
        <v/>
      </c>
      <c r="I295" s="3">
        <f>METRICS!$C$14 * 0.02</f>
        <v/>
      </c>
      <c r="J295" s="3">
        <f>(G295-F295)*H295</f>
        <v/>
      </c>
      <c r="K295" s="3">
        <f>(G295-F295)/F295*100</f>
        <v/>
      </c>
      <c r="L295" s="3">
        <f>RAW_INPUT!F295</f>
        <v/>
      </c>
      <c r="M295" s="3">
        <f>K295-L295</f>
        <v/>
      </c>
      <c r="N295" s="3">
        <f>IF(J295&gt;0, 1, 0)</f>
        <v/>
      </c>
      <c r="O295" s="3">
        <f>IF(J295&lt;0, 1, 0)</f>
        <v/>
      </c>
      <c r="P295" s="3">
        <f>SUM($J$3:J295)</f>
        <v/>
      </c>
      <c r="Q295" s="3">
        <f>P295/METRICS!$C$14*100</f>
        <v/>
      </c>
      <c r="R295" s="3">
        <f>METRICS!$C$14+P295</f>
        <v/>
      </c>
      <c r="S295" s="3">
        <f>MAX($R$3:R295)</f>
        <v/>
      </c>
      <c r="T295" s="3">
        <f>R295-S295</f>
        <v/>
      </c>
      <c r="U295" s="3">
        <f>(R295-S295)/S295*100</f>
        <v/>
      </c>
      <c r="V295" s="3">
        <f>IF(K295&lt;0, (K295/100)^2, 0)</f>
        <v/>
      </c>
    </row>
    <row r="296">
      <c r="A296" s="3">
        <f>TEXT(294, """T""0000")</f>
        <v/>
      </c>
      <c r="B296" s="3">
        <f>RAW_INPUT!A296</f>
        <v/>
      </c>
      <c r="C296" s="3">
        <f>RAW_INPUT!B296</f>
        <v/>
      </c>
      <c r="D296" s="3">
        <f>RAW_INPUT!D296</f>
        <v/>
      </c>
      <c r="E296" s="3">
        <f>D296-C296</f>
        <v/>
      </c>
      <c r="F296" s="3">
        <f>RAW_INPUT!C296</f>
        <v/>
      </c>
      <c r="G296" s="3">
        <f>RAW_INPUT!E296</f>
        <v/>
      </c>
      <c r="H296" s="3">
        <f>I296/F296</f>
        <v/>
      </c>
      <c r="I296" s="3">
        <f>METRICS!$C$14 * 0.02</f>
        <v/>
      </c>
      <c r="J296" s="3">
        <f>(G296-F296)*H296</f>
        <v/>
      </c>
      <c r="K296" s="3">
        <f>(G296-F296)/F296*100</f>
        <v/>
      </c>
      <c r="L296" s="3">
        <f>RAW_INPUT!F296</f>
        <v/>
      </c>
      <c r="M296" s="3">
        <f>K296-L296</f>
        <v/>
      </c>
      <c r="N296" s="3">
        <f>IF(J296&gt;0, 1, 0)</f>
        <v/>
      </c>
      <c r="O296" s="3">
        <f>IF(J296&lt;0, 1, 0)</f>
        <v/>
      </c>
      <c r="P296" s="3">
        <f>SUM($J$3:J296)</f>
        <v/>
      </c>
      <c r="Q296" s="3">
        <f>P296/METRICS!$C$14*100</f>
        <v/>
      </c>
      <c r="R296" s="3">
        <f>METRICS!$C$14+P296</f>
        <v/>
      </c>
      <c r="S296" s="3">
        <f>MAX($R$3:R296)</f>
        <v/>
      </c>
      <c r="T296" s="3">
        <f>R296-S296</f>
        <v/>
      </c>
      <c r="U296" s="3">
        <f>(R296-S296)/S296*100</f>
        <v/>
      </c>
      <c r="V296" s="3">
        <f>IF(K296&lt;0, (K296/100)^2, 0)</f>
        <v/>
      </c>
    </row>
    <row r="297">
      <c r="A297" s="3">
        <f>TEXT(295, """T""0000")</f>
        <v/>
      </c>
      <c r="B297" s="3">
        <f>RAW_INPUT!A297</f>
        <v/>
      </c>
      <c r="C297" s="3">
        <f>RAW_INPUT!B297</f>
        <v/>
      </c>
      <c r="D297" s="3">
        <f>RAW_INPUT!D297</f>
        <v/>
      </c>
      <c r="E297" s="3">
        <f>D297-C297</f>
        <v/>
      </c>
      <c r="F297" s="3">
        <f>RAW_INPUT!C297</f>
        <v/>
      </c>
      <c r="G297" s="3">
        <f>RAW_INPUT!E297</f>
        <v/>
      </c>
      <c r="H297" s="3">
        <f>I297/F297</f>
        <v/>
      </c>
      <c r="I297" s="3">
        <f>METRICS!$C$14 * 0.02</f>
        <v/>
      </c>
      <c r="J297" s="3">
        <f>(G297-F297)*H297</f>
        <v/>
      </c>
      <c r="K297" s="3">
        <f>(G297-F297)/F297*100</f>
        <v/>
      </c>
      <c r="L297" s="3">
        <f>RAW_INPUT!F297</f>
        <v/>
      </c>
      <c r="M297" s="3">
        <f>K297-L297</f>
        <v/>
      </c>
      <c r="N297" s="3">
        <f>IF(J297&gt;0, 1, 0)</f>
        <v/>
      </c>
      <c r="O297" s="3">
        <f>IF(J297&lt;0, 1, 0)</f>
        <v/>
      </c>
      <c r="P297" s="3">
        <f>SUM($J$3:J297)</f>
        <v/>
      </c>
      <c r="Q297" s="3">
        <f>P297/METRICS!$C$14*100</f>
        <v/>
      </c>
      <c r="R297" s="3">
        <f>METRICS!$C$14+P297</f>
        <v/>
      </c>
      <c r="S297" s="3">
        <f>MAX($R$3:R297)</f>
        <v/>
      </c>
      <c r="T297" s="3">
        <f>R297-S297</f>
        <v/>
      </c>
      <c r="U297" s="3">
        <f>(R297-S297)/S297*100</f>
        <v/>
      </c>
      <c r="V297" s="3">
        <f>IF(K297&lt;0, (K297/100)^2, 0)</f>
        <v/>
      </c>
    </row>
    <row r="298">
      <c r="A298" s="3">
        <f>TEXT(296, """T""0000")</f>
        <v/>
      </c>
      <c r="B298" s="3">
        <f>RAW_INPUT!A298</f>
        <v/>
      </c>
      <c r="C298" s="3">
        <f>RAW_INPUT!B298</f>
        <v/>
      </c>
      <c r="D298" s="3">
        <f>RAW_INPUT!D298</f>
        <v/>
      </c>
      <c r="E298" s="3">
        <f>D298-C298</f>
        <v/>
      </c>
      <c r="F298" s="3">
        <f>RAW_INPUT!C298</f>
        <v/>
      </c>
      <c r="G298" s="3">
        <f>RAW_INPUT!E298</f>
        <v/>
      </c>
      <c r="H298" s="3">
        <f>I298/F298</f>
        <v/>
      </c>
      <c r="I298" s="3">
        <f>METRICS!$C$14 * 0.02</f>
        <v/>
      </c>
      <c r="J298" s="3">
        <f>(G298-F298)*H298</f>
        <v/>
      </c>
      <c r="K298" s="3">
        <f>(G298-F298)/F298*100</f>
        <v/>
      </c>
      <c r="L298" s="3">
        <f>RAW_INPUT!F298</f>
        <v/>
      </c>
      <c r="M298" s="3">
        <f>K298-L298</f>
        <v/>
      </c>
      <c r="N298" s="3">
        <f>IF(J298&gt;0, 1, 0)</f>
        <v/>
      </c>
      <c r="O298" s="3">
        <f>IF(J298&lt;0, 1, 0)</f>
        <v/>
      </c>
      <c r="P298" s="3">
        <f>SUM($J$3:J298)</f>
        <v/>
      </c>
      <c r="Q298" s="3">
        <f>P298/METRICS!$C$14*100</f>
        <v/>
      </c>
      <c r="R298" s="3">
        <f>METRICS!$C$14+P298</f>
        <v/>
      </c>
      <c r="S298" s="3">
        <f>MAX($R$3:R298)</f>
        <v/>
      </c>
      <c r="T298" s="3">
        <f>R298-S298</f>
        <v/>
      </c>
      <c r="U298" s="3">
        <f>(R298-S298)/S298*100</f>
        <v/>
      </c>
      <c r="V298" s="3">
        <f>IF(K298&lt;0, (K298/100)^2, 0)</f>
        <v/>
      </c>
    </row>
    <row r="299">
      <c r="A299" s="3">
        <f>TEXT(297, """T""0000")</f>
        <v/>
      </c>
      <c r="B299" s="3">
        <f>RAW_INPUT!A299</f>
        <v/>
      </c>
      <c r="C299" s="3">
        <f>RAW_INPUT!B299</f>
        <v/>
      </c>
      <c r="D299" s="3">
        <f>RAW_INPUT!D299</f>
        <v/>
      </c>
      <c r="E299" s="3">
        <f>D299-C299</f>
        <v/>
      </c>
      <c r="F299" s="3">
        <f>RAW_INPUT!C299</f>
        <v/>
      </c>
      <c r="G299" s="3">
        <f>RAW_INPUT!E299</f>
        <v/>
      </c>
      <c r="H299" s="3">
        <f>I299/F299</f>
        <v/>
      </c>
      <c r="I299" s="3">
        <f>METRICS!$C$14 * 0.02</f>
        <v/>
      </c>
      <c r="J299" s="3">
        <f>(G299-F299)*H299</f>
        <v/>
      </c>
      <c r="K299" s="3">
        <f>(G299-F299)/F299*100</f>
        <v/>
      </c>
      <c r="L299" s="3">
        <f>RAW_INPUT!F299</f>
        <v/>
      </c>
      <c r="M299" s="3">
        <f>K299-L299</f>
        <v/>
      </c>
      <c r="N299" s="3">
        <f>IF(J299&gt;0, 1, 0)</f>
        <v/>
      </c>
      <c r="O299" s="3">
        <f>IF(J299&lt;0, 1, 0)</f>
        <v/>
      </c>
      <c r="P299" s="3">
        <f>SUM($J$3:J299)</f>
        <v/>
      </c>
      <c r="Q299" s="3">
        <f>P299/METRICS!$C$14*100</f>
        <v/>
      </c>
      <c r="R299" s="3">
        <f>METRICS!$C$14+P299</f>
        <v/>
      </c>
      <c r="S299" s="3">
        <f>MAX($R$3:R299)</f>
        <v/>
      </c>
      <c r="T299" s="3">
        <f>R299-S299</f>
        <v/>
      </c>
      <c r="U299" s="3">
        <f>(R299-S299)/S299*100</f>
        <v/>
      </c>
      <c r="V299" s="3">
        <f>IF(K299&lt;0, (K299/100)^2, 0)</f>
        <v/>
      </c>
    </row>
    <row r="300">
      <c r="A300" s="3">
        <f>TEXT(298, """T""0000")</f>
        <v/>
      </c>
      <c r="B300" s="3">
        <f>RAW_INPUT!A300</f>
        <v/>
      </c>
      <c r="C300" s="3">
        <f>RAW_INPUT!B300</f>
        <v/>
      </c>
      <c r="D300" s="3">
        <f>RAW_INPUT!D300</f>
        <v/>
      </c>
      <c r="E300" s="3">
        <f>D300-C300</f>
        <v/>
      </c>
      <c r="F300" s="3">
        <f>RAW_INPUT!C300</f>
        <v/>
      </c>
      <c r="G300" s="3">
        <f>RAW_INPUT!E300</f>
        <v/>
      </c>
      <c r="H300" s="3">
        <f>I300/F300</f>
        <v/>
      </c>
      <c r="I300" s="3">
        <f>METRICS!$C$14 * 0.02</f>
        <v/>
      </c>
      <c r="J300" s="3">
        <f>(G300-F300)*H300</f>
        <v/>
      </c>
      <c r="K300" s="3">
        <f>(G300-F300)/F300*100</f>
        <v/>
      </c>
      <c r="L300" s="3">
        <f>RAW_INPUT!F300</f>
        <v/>
      </c>
      <c r="M300" s="3">
        <f>K300-L300</f>
        <v/>
      </c>
      <c r="N300" s="3">
        <f>IF(J300&gt;0, 1, 0)</f>
        <v/>
      </c>
      <c r="O300" s="3">
        <f>IF(J300&lt;0, 1, 0)</f>
        <v/>
      </c>
      <c r="P300" s="3">
        <f>SUM($J$3:J300)</f>
        <v/>
      </c>
      <c r="Q300" s="3">
        <f>P300/METRICS!$C$14*100</f>
        <v/>
      </c>
      <c r="R300" s="3">
        <f>METRICS!$C$14+P300</f>
        <v/>
      </c>
      <c r="S300" s="3">
        <f>MAX($R$3:R300)</f>
        <v/>
      </c>
      <c r="T300" s="3">
        <f>R300-S300</f>
        <v/>
      </c>
      <c r="U300" s="3">
        <f>(R300-S300)/S300*100</f>
        <v/>
      </c>
      <c r="V300" s="3">
        <f>IF(K300&lt;0, (K300/100)^2, 0)</f>
        <v/>
      </c>
    </row>
    <row r="301">
      <c r="A301" s="3">
        <f>TEXT(299, """T""0000")</f>
        <v/>
      </c>
      <c r="B301" s="3">
        <f>RAW_INPUT!A301</f>
        <v/>
      </c>
      <c r="C301" s="3">
        <f>RAW_INPUT!B301</f>
        <v/>
      </c>
      <c r="D301" s="3">
        <f>RAW_INPUT!D301</f>
        <v/>
      </c>
      <c r="E301" s="3">
        <f>D301-C301</f>
        <v/>
      </c>
      <c r="F301" s="3">
        <f>RAW_INPUT!C301</f>
        <v/>
      </c>
      <c r="G301" s="3">
        <f>RAW_INPUT!E301</f>
        <v/>
      </c>
      <c r="H301" s="3">
        <f>I301/F301</f>
        <v/>
      </c>
      <c r="I301" s="3">
        <f>METRICS!$C$14 * 0.02</f>
        <v/>
      </c>
      <c r="J301" s="3">
        <f>(G301-F301)*H301</f>
        <v/>
      </c>
      <c r="K301" s="3">
        <f>(G301-F301)/F301*100</f>
        <v/>
      </c>
      <c r="L301" s="3">
        <f>RAW_INPUT!F301</f>
        <v/>
      </c>
      <c r="M301" s="3">
        <f>K301-L301</f>
        <v/>
      </c>
      <c r="N301" s="3">
        <f>IF(J301&gt;0, 1, 0)</f>
        <v/>
      </c>
      <c r="O301" s="3">
        <f>IF(J301&lt;0, 1, 0)</f>
        <v/>
      </c>
      <c r="P301" s="3">
        <f>SUM($J$3:J301)</f>
        <v/>
      </c>
      <c r="Q301" s="3">
        <f>P301/METRICS!$C$14*100</f>
        <v/>
      </c>
      <c r="R301" s="3">
        <f>METRICS!$C$14+P301</f>
        <v/>
      </c>
      <c r="S301" s="3">
        <f>MAX($R$3:R301)</f>
        <v/>
      </c>
      <c r="T301" s="3">
        <f>R301-S301</f>
        <v/>
      </c>
      <c r="U301" s="3">
        <f>(R301-S301)/S301*100</f>
        <v/>
      </c>
      <c r="V301" s="3">
        <f>IF(K301&lt;0, (K301/100)^2, 0)</f>
        <v/>
      </c>
    </row>
    <row r="302">
      <c r="A302" s="3">
        <f>TEXT(300, """T""0000")</f>
        <v/>
      </c>
      <c r="B302" s="3">
        <f>RAW_INPUT!A302</f>
        <v/>
      </c>
      <c r="C302" s="3">
        <f>RAW_INPUT!B302</f>
        <v/>
      </c>
      <c r="D302" s="3">
        <f>RAW_INPUT!D302</f>
        <v/>
      </c>
      <c r="E302" s="3">
        <f>D302-C302</f>
        <v/>
      </c>
      <c r="F302" s="3">
        <f>RAW_INPUT!C302</f>
        <v/>
      </c>
      <c r="G302" s="3">
        <f>RAW_INPUT!E302</f>
        <v/>
      </c>
      <c r="H302" s="3">
        <f>I302/F302</f>
        <v/>
      </c>
      <c r="I302" s="3">
        <f>METRICS!$C$14 * 0.02</f>
        <v/>
      </c>
      <c r="J302" s="3">
        <f>(G302-F302)*H302</f>
        <v/>
      </c>
      <c r="K302" s="3">
        <f>(G302-F302)/F302*100</f>
        <v/>
      </c>
      <c r="L302" s="3">
        <f>RAW_INPUT!F302</f>
        <v/>
      </c>
      <c r="M302" s="3">
        <f>K302-L302</f>
        <v/>
      </c>
      <c r="N302" s="3">
        <f>IF(J302&gt;0, 1, 0)</f>
        <v/>
      </c>
      <c r="O302" s="3">
        <f>IF(J302&lt;0, 1, 0)</f>
        <v/>
      </c>
      <c r="P302" s="3">
        <f>SUM($J$3:J302)</f>
        <v/>
      </c>
      <c r="Q302" s="3">
        <f>P302/METRICS!$C$14*100</f>
        <v/>
      </c>
      <c r="R302" s="3">
        <f>METRICS!$C$14+P302</f>
        <v/>
      </c>
      <c r="S302" s="3">
        <f>MAX($R$3:R302)</f>
        <v/>
      </c>
      <c r="T302" s="3">
        <f>R302-S302</f>
        <v/>
      </c>
      <c r="U302" s="3">
        <f>(R302-S302)/S302*100</f>
        <v/>
      </c>
      <c r="V302" s="3">
        <f>IF(K302&lt;0, (K302/100)^2, 0)</f>
        <v/>
      </c>
    </row>
    <row r="303">
      <c r="A303" s="3">
        <f>TEXT(301, """T""0000")</f>
        <v/>
      </c>
      <c r="B303" s="3">
        <f>RAW_INPUT!A303</f>
        <v/>
      </c>
      <c r="C303" s="3">
        <f>RAW_INPUT!B303</f>
        <v/>
      </c>
      <c r="D303" s="3">
        <f>RAW_INPUT!D303</f>
        <v/>
      </c>
      <c r="E303" s="3">
        <f>D303-C303</f>
        <v/>
      </c>
      <c r="F303" s="3">
        <f>RAW_INPUT!C303</f>
        <v/>
      </c>
      <c r="G303" s="3">
        <f>RAW_INPUT!E303</f>
        <v/>
      </c>
      <c r="H303" s="3">
        <f>I303/F303</f>
        <v/>
      </c>
      <c r="I303" s="3">
        <f>METRICS!$C$14 * 0.02</f>
        <v/>
      </c>
      <c r="J303" s="3">
        <f>(G303-F303)*H303</f>
        <v/>
      </c>
      <c r="K303" s="3">
        <f>(G303-F303)/F303*100</f>
        <v/>
      </c>
      <c r="L303" s="3">
        <f>RAW_INPUT!F303</f>
        <v/>
      </c>
      <c r="M303" s="3">
        <f>K303-L303</f>
        <v/>
      </c>
      <c r="N303" s="3">
        <f>IF(J303&gt;0, 1, 0)</f>
        <v/>
      </c>
      <c r="O303" s="3">
        <f>IF(J303&lt;0, 1, 0)</f>
        <v/>
      </c>
      <c r="P303" s="3">
        <f>SUM($J$3:J303)</f>
        <v/>
      </c>
      <c r="Q303" s="3">
        <f>P303/METRICS!$C$14*100</f>
        <v/>
      </c>
      <c r="R303" s="3">
        <f>METRICS!$C$14+P303</f>
        <v/>
      </c>
      <c r="S303" s="3">
        <f>MAX($R$3:R303)</f>
        <v/>
      </c>
      <c r="T303" s="3">
        <f>R303-S303</f>
        <v/>
      </c>
      <c r="U303" s="3">
        <f>(R303-S303)/S303*100</f>
        <v/>
      </c>
      <c r="V303" s="3">
        <f>IF(K303&lt;0, (K303/100)^2, 0)</f>
        <v/>
      </c>
    </row>
    <row r="304">
      <c r="A304" s="3">
        <f>TEXT(302, """T""0000")</f>
        <v/>
      </c>
      <c r="B304" s="3">
        <f>RAW_INPUT!A304</f>
        <v/>
      </c>
      <c r="C304" s="3">
        <f>RAW_INPUT!B304</f>
        <v/>
      </c>
      <c r="D304" s="3">
        <f>RAW_INPUT!D304</f>
        <v/>
      </c>
      <c r="E304" s="3">
        <f>D304-C304</f>
        <v/>
      </c>
      <c r="F304" s="3">
        <f>RAW_INPUT!C304</f>
        <v/>
      </c>
      <c r="G304" s="3">
        <f>RAW_INPUT!E304</f>
        <v/>
      </c>
      <c r="H304" s="3">
        <f>I304/F304</f>
        <v/>
      </c>
      <c r="I304" s="3">
        <f>METRICS!$C$14 * 0.02</f>
        <v/>
      </c>
      <c r="J304" s="3">
        <f>(G304-F304)*H304</f>
        <v/>
      </c>
      <c r="K304" s="3">
        <f>(G304-F304)/F304*100</f>
        <v/>
      </c>
      <c r="L304" s="3">
        <f>RAW_INPUT!F304</f>
        <v/>
      </c>
      <c r="M304" s="3">
        <f>K304-L304</f>
        <v/>
      </c>
      <c r="N304" s="3">
        <f>IF(J304&gt;0, 1, 0)</f>
        <v/>
      </c>
      <c r="O304" s="3">
        <f>IF(J304&lt;0, 1, 0)</f>
        <v/>
      </c>
      <c r="P304" s="3">
        <f>SUM($J$3:J304)</f>
        <v/>
      </c>
      <c r="Q304" s="3">
        <f>P304/METRICS!$C$14*100</f>
        <v/>
      </c>
      <c r="R304" s="3">
        <f>METRICS!$C$14+P304</f>
        <v/>
      </c>
      <c r="S304" s="3">
        <f>MAX($R$3:R304)</f>
        <v/>
      </c>
      <c r="T304" s="3">
        <f>R304-S304</f>
        <v/>
      </c>
      <c r="U304" s="3">
        <f>(R304-S304)/S304*100</f>
        <v/>
      </c>
      <c r="V304" s="3">
        <f>IF(K304&lt;0, (K304/100)^2, 0)</f>
        <v/>
      </c>
    </row>
    <row r="305">
      <c r="A305" s="3">
        <f>TEXT(303, """T""0000")</f>
        <v/>
      </c>
      <c r="B305" s="3">
        <f>RAW_INPUT!A305</f>
        <v/>
      </c>
      <c r="C305" s="3">
        <f>RAW_INPUT!B305</f>
        <v/>
      </c>
      <c r="D305" s="3">
        <f>RAW_INPUT!D305</f>
        <v/>
      </c>
      <c r="E305" s="3">
        <f>D305-C305</f>
        <v/>
      </c>
      <c r="F305" s="3">
        <f>RAW_INPUT!C305</f>
        <v/>
      </c>
      <c r="G305" s="3">
        <f>RAW_INPUT!E305</f>
        <v/>
      </c>
      <c r="H305" s="3">
        <f>I305/F305</f>
        <v/>
      </c>
      <c r="I305" s="3">
        <f>METRICS!$C$14 * 0.02</f>
        <v/>
      </c>
      <c r="J305" s="3">
        <f>(G305-F305)*H305</f>
        <v/>
      </c>
      <c r="K305" s="3">
        <f>(G305-F305)/F305*100</f>
        <v/>
      </c>
      <c r="L305" s="3">
        <f>RAW_INPUT!F305</f>
        <v/>
      </c>
      <c r="M305" s="3">
        <f>K305-L305</f>
        <v/>
      </c>
      <c r="N305" s="3">
        <f>IF(J305&gt;0, 1, 0)</f>
        <v/>
      </c>
      <c r="O305" s="3">
        <f>IF(J305&lt;0, 1, 0)</f>
        <v/>
      </c>
      <c r="P305" s="3">
        <f>SUM($J$3:J305)</f>
        <v/>
      </c>
      <c r="Q305" s="3">
        <f>P305/METRICS!$C$14*100</f>
        <v/>
      </c>
      <c r="R305" s="3">
        <f>METRICS!$C$14+P305</f>
        <v/>
      </c>
      <c r="S305" s="3">
        <f>MAX($R$3:R305)</f>
        <v/>
      </c>
      <c r="T305" s="3">
        <f>R305-S305</f>
        <v/>
      </c>
      <c r="U305" s="3">
        <f>(R305-S305)/S305*100</f>
        <v/>
      </c>
      <c r="V305" s="3">
        <f>IF(K305&lt;0, (K305/100)^2, 0)</f>
        <v/>
      </c>
    </row>
    <row r="306">
      <c r="A306" s="3">
        <f>TEXT(304, """T""0000")</f>
        <v/>
      </c>
      <c r="B306" s="3">
        <f>RAW_INPUT!A306</f>
        <v/>
      </c>
      <c r="C306" s="3">
        <f>RAW_INPUT!B306</f>
        <v/>
      </c>
      <c r="D306" s="3">
        <f>RAW_INPUT!D306</f>
        <v/>
      </c>
      <c r="E306" s="3">
        <f>D306-C306</f>
        <v/>
      </c>
      <c r="F306" s="3">
        <f>RAW_INPUT!C306</f>
        <v/>
      </c>
      <c r="G306" s="3">
        <f>RAW_INPUT!E306</f>
        <v/>
      </c>
      <c r="H306" s="3">
        <f>I306/F306</f>
        <v/>
      </c>
      <c r="I306" s="3">
        <f>METRICS!$C$14 * 0.02</f>
        <v/>
      </c>
      <c r="J306" s="3">
        <f>(G306-F306)*H306</f>
        <v/>
      </c>
      <c r="K306" s="3">
        <f>(G306-F306)/F306*100</f>
        <v/>
      </c>
      <c r="L306" s="3">
        <f>RAW_INPUT!F306</f>
        <v/>
      </c>
      <c r="M306" s="3">
        <f>K306-L306</f>
        <v/>
      </c>
      <c r="N306" s="3">
        <f>IF(J306&gt;0, 1, 0)</f>
        <v/>
      </c>
      <c r="O306" s="3">
        <f>IF(J306&lt;0, 1, 0)</f>
        <v/>
      </c>
      <c r="P306" s="3">
        <f>SUM($J$3:J306)</f>
        <v/>
      </c>
      <c r="Q306" s="3">
        <f>P306/METRICS!$C$14*100</f>
        <v/>
      </c>
      <c r="R306" s="3">
        <f>METRICS!$C$14+P306</f>
        <v/>
      </c>
      <c r="S306" s="3">
        <f>MAX($R$3:R306)</f>
        <v/>
      </c>
      <c r="T306" s="3">
        <f>R306-S306</f>
        <v/>
      </c>
      <c r="U306" s="3">
        <f>(R306-S306)/S306*100</f>
        <v/>
      </c>
      <c r="V306" s="3">
        <f>IF(K306&lt;0, (K306/100)^2, 0)</f>
        <v/>
      </c>
    </row>
    <row r="307">
      <c r="A307" s="3">
        <f>TEXT(305, """T""0000")</f>
        <v/>
      </c>
      <c r="B307" s="3">
        <f>RAW_INPUT!A307</f>
        <v/>
      </c>
      <c r="C307" s="3">
        <f>RAW_INPUT!B307</f>
        <v/>
      </c>
      <c r="D307" s="3">
        <f>RAW_INPUT!D307</f>
        <v/>
      </c>
      <c r="E307" s="3">
        <f>D307-C307</f>
        <v/>
      </c>
      <c r="F307" s="3">
        <f>RAW_INPUT!C307</f>
        <v/>
      </c>
      <c r="G307" s="3">
        <f>RAW_INPUT!E307</f>
        <v/>
      </c>
      <c r="H307" s="3">
        <f>I307/F307</f>
        <v/>
      </c>
      <c r="I307" s="3">
        <f>METRICS!$C$14 * 0.02</f>
        <v/>
      </c>
      <c r="J307" s="3">
        <f>(G307-F307)*H307</f>
        <v/>
      </c>
      <c r="K307" s="3">
        <f>(G307-F307)/F307*100</f>
        <v/>
      </c>
      <c r="L307" s="3">
        <f>RAW_INPUT!F307</f>
        <v/>
      </c>
      <c r="M307" s="3">
        <f>K307-L307</f>
        <v/>
      </c>
      <c r="N307" s="3">
        <f>IF(J307&gt;0, 1, 0)</f>
        <v/>
      </c>
      <c r="O307" s="3">
        <f>IF(J307&lt;0, 1, 0)</f>
        <v/>
      </c>
      <c r="P307" s="3">
        <f>SUM($J$3:J307)</f>
        <v/>
      </c>
      <c r="Q307" s="3">
        <f>P307/METRICS!$C$14*100</f>
        <v/>
      </c>
      <c r="R307" s="3">
        <f>METRICS!$C$14+P307</f>
        <v/>
      </c>
      <c r="S307" s="3">
        <f>MAX($R$3:R307)</f>
        <v/>
      </c>
      <c r="T307" s="3">
        <f>R307-S307</f>
        <v/>
      </c>
      <c r="U307" s="3">
        <f>(R307-S307)/S307*100</f>
        <v/>
      </c>
      <c r="V307" s="3">
        <f>IF(K307&lt;0, (K307/100)^2, 0)</f>
        <v/>
      </c>
    </row>
    <row r="308">
      <c r="A308" s="3">
        <f>TEXT(306, """T""0000")</f>
        <v/>
      </c>
      <c r="B308" s="3">
        <f>RAW_INPUT!A308</f>
        <v/>
      </c>
      <c r="C308" s="3">
        <f>RAW_INPUT!B308</f>
        <v/>
      </c>
      <c r="D308" s="3">
        <f>RAW_INPUT!D308</f>
        <v/>
      </c>
      <c r="E308" s="3">
        <f>D308-C308</f>
        <v/>
      </c>
      <c r="F308" s="3">
        <f>RAW_INPUT!C308</f>
        <v/>
      </c>
      <c r="G308" s="3">
        <f>RAW_INPUT!E308</f>
        <v/>
      </c>
      <c r="H308" s="3">
        <f>I308/F308</f>
        <v/>
      </c>
      <c r="I308" s="3">
        <f>METRICS!$C$14 * 0.02</f>
        <v/>
      </c>
      <c r="J308" s="3">
        <f>(G308-F308)*H308</f>
        <v/>
      </c>
      <c r="K308" s="3">
        <f>(G308-F308)/F308*100</f>
        <v/>
      </c>
      <c r="L308" s="3">
        <f>RAW_INPUT!F308</f>
        <v/>
      </c>
      <c r="M308" s="3">
        <f>K308-L308</f>
        <v/>
      </c>
      <c r="N308" s="3">
        <f>IF(J308&gt;0, 1, 0)</f>
        <v/>
      </c>
      <c r="O308" s="3">
        <f>IF(J308&lt;0, 1, 0)</f>
        <v/>
      </c>
      <c r="P308" s="3">
        <f>SUM($J$3:J308)</f>
        <v/>
      </c>
      <c r="Q308" s="3">
        <f>P308/METRICS!$C$14*100</f>
        <v/>
      </c>
      <c r="R308" s="3">
        <f>METRICS!$C$14+P308</f>
        <v/>
      </c>
      <c r="S308" s="3">
        <f>MAX($R$3:R308)</f>
        <v/>
      </c>
      <c r="T308" s="3">
        <f>R308-S308</f>
        <v/>
      </c>
      <c r="U308" s="3">
        <f>(R308-S308)/S308*100</f>
        <v/>
      </c>
      <c r="V308" s="3">
        <f>IF(K308&lt;0, (K308/100)^2, 0)</f>
        <v/>
      </c>
    </row>
    <row r="309">
      <c r="A309" s="3">
        <f>TEXT(307, """T""0000")</f>
        <v/>
      </c>
      <c r="B309" s="3">
        <f>RAW_INPUT!A309</f>
        <v/>
      </c>
      <c r="C309" s="3">
        <f>RAW_INPUT!B309</f>
        <v/>
      </c>
      <c r="D309" s="3">
        <f>RAW_INPUT!D309</f>
        <v/>
      </c>
      <c r="E309" s="3">
        <f>D309-C309</f>
        <v/>
      </c>
      <c r="F309" s="3">
        <f>RAW_INPUT!C309</f>
        <v/>
      </c>
      <c r="G309" s="3">
        <f>RAW_INPUT!E309</f>
        <v/>
      </c>
      <c r="H309" s="3">
        <f>I309/F309</f>
        <v/>
      </c>
      <c r="I309" s="3">
        <f>METRICS!$C$14 * 0.02</f>
        <v/>
      </c>
      <c r="J309" s="3">
        <f>(G309-F309)*H309</f>
        <v/>
      </c>
      <c r="K309" s="3">
        <f>(G309-F309)/F309*100</f>
        <v/>
      </c>
      <c r="L309" s="3">
        <f>RAW_INPUT!F309</f>
        <v/>
      </c>
      <c r="M309" s="3">
        <f>K309-L309</f>
        <v/>
      </c>
      <c r="N309" s="3">
        <f>IF(J309&gt;0, 1, 0)</f>
        <v/>
      </c>
      <c r="O309" s="3">
        <f>IF(J309&lt;0, 1, 0)</f>
        <v/>
      </c>
      <c r="P309" s="3">
        <f>SUM($J$3:J309)</f>
        <v/>
      </c>
      <c r="Q309" s="3">
        <f>P309/METRICS!$C$14*100</f>
        <v/>
      </c>
      <c r="R309" s="3">
        <f>METRICS!$C$14+P309</f>
        <v/>
      </c>
      <c r="S309" s="3">
        <f>MAX($R$3:R309)</f>
        <v/>
      </c>
      <c r="T309" s="3">
        <f>R309-S309</f>
        <v/>
      </c>
      <c r="U309" s="3">
        <f>(R309-S309)/S309*100</f>
        <v/>
      </c>
      <c r="V309" s="3">
        <f>IF(K309&lt;0, (K309/100)^2, 0)</f>
        <v/>
      </c>
    </row>
    <row r="310">
      <c r="A310" s="3">
        <f>TEXT(308, """T""0000")</f>
        <v/>
      </c>
      <c r="B310" s="3">
        <f>RAW_INPUT!A310</f>
        <v/>
      </c>
      <c r="C310" s="3">
        <f>RAW_INPUT!B310</f>
        <v/>
      </c>
      <c r="D310" s="3">
        <f>RAW_INPUT!D310</f>
        <v/>
      </c>
      <c r="E310" s="3">
        <f>D310-C310</f>
        <v/>
      </c>
      <c r="F310" s="3">
        <f>RAW_INPUT!C310</f>
        <v/>
      </c>
      <c r="G310" s="3">
        <f>RAW_INPUT!E310</f>
        <v/>
      </c>
      <c r="H310" s="3">
        <f>I310/F310</f>
        <v/>
      </c>
      <c r="I310" s="3">
        <f>METRICS!$C$14 * 0.02</f>
        <v/>
      </c>
      <c r="J310" s="3">
        <f>(G310-F310)*H310</f>
        <v/>
      </c>
      <c r="K310" s="3">
        <f>(G310-F310)/F310*100</f>
        <v/>
      </c>
      <c r="L310" s="3">
        <f>RAW_INPUT!F310</f>
        <v/>
      </c>
      <c r="M310" s="3">
        <f>K310-L310</f>
        <v/>
      </c>
      <c r="N310" s="3">
        <f>IF(J310&gt;0, 1, 0)</f>
        <v/>
      </c>
      <c r="O310" s="3">
        <f>IF(J310&lt;0, 1, 0)</f>
        <v/>
      </c>
      <c r="P310" s="3">
        <f>SUM($J$3:J310)</f>
        <v/>
      </c>
      <c r="Q310" s="3">
        <f>P310/METRICS!$C$14*100</f>
        <v/>
      </c>
      <c r="R310" s="3">
        <f>METRICS!$C$14+P310</f>
        <v/>
      </c>
      <c r="S310" s="3">
        <f>MAX($R$3:R310)</f>
        <v/>
      </c>
      <c r="T310" s="3">
        <f>R310-S310</f>
        <v/>
      </c>
      <c r="U310" s="3">
        <f>(R310-S310)/S310*100</f>
        <v/>
      </c>
      <c r="V310" s="3">
        <f>IF(K310&lt;0, (K310/100)^2, 0)</f>
        <v/>
      </c>
    </row>
    <row r="311">
      <c r="A311" s="3">
        <f>TEXT(309, """T""0000")</f>
        <v/>
      </c>
      <c r="B311" s="3">
        <f>RAW_INPUT!A311</f>
        <v/>
      </c>
      <c r="C311" s="3">
        <f>RAW_INPUT!B311</f>
        <v/>
      </c>
      <c r="D311" s="3">
        <f>RAW_INPUT!D311</f>
        <v/>
      </c>
      <c r="E311" s="3">
        <f>D311-C311</f>
        <v/>
      </c>
      <c r="F311" s="3">
        <f>RAW_INPUT!C311</f>
        <v/>
      </c>
      <c r="G311" s="3">
        <f>RAW_INPUT!E311</f>
        <v/>
      </c>
      <c r="H311" s="3">
        <f>I311/F311</f>
        <v/>
      </c>
      <c r="I311" s="3">
        <f>METRICS!$C$14 * 0.02</f>
        <v/>
      </c>
      <c r="J311" s="3">
        <f>(G311-F311)*H311</f>
        <v/>
      </c>
      <c r="K311" s="3">
        <f>(G311-F311)/F311*100</f>
        <v/>
      </c>
      <c r="L311" s="3">
        <f>RAW_INPUT!F311</f>
        <v/>
      </c>
      <c r="M311" s="3">
        <f>K311-L311</f>
        <v/>
      </c>
      <c r="N311" s="3">
        <f>IF(J311&gt;0, 1, 0)</f>
        <v/>
      </c>
      <c r="O311" s="3">
        <f>IF(J311&lt;0, 1, 0)</f>
        <v/>
      </c>
      <c r="P311" s="3">
        <f>SUM($J$3:J311)</f>
        <v/>
      </c>
      <c r="Q311" s="3">
        <f>P311/METRICS!$C$14*100</f>
        <v/>
      </c>
      <c r="R311" s="3">
        <f>METRICS!$C$14+P311</f>
        <v/>
      </c>
      <c r="S311" s="3">
        <f>MAX($R$3:R311)</f>
        <v/>
      </c>
      <c r="T311" s="3">
        <f>R311-S311</f>
        <v/>
      </c>
      <c r="U311" s="3">
        <f>(R311-S311)/S311*100</f>
        <v/>
      </c>
      <c r="V311" s="3">
        <f>IF(K311&lt;0, (K311/100)^2, 0)</f>
        <v/>
      </c>
    </row>
    <row r="312">
      <c r="A312" s="3">
        <f>TEXT(310, """T""0000")</f>
        <v/>
      </c>
      <c r="B312" s="3">
        <f>RAW_INPUT!A312</f>
        <v/>
      </c>
      <c r="C312" s="3">
        <f>RAW_INPUT!B312</f>
        <v/>
      </c>
      <c r="D312" s="3">
        <f>RAW_INPUT!D312</f>
        <v/>
      </c>
      <c r="E312" s="3">
        <f>D312-C312</f>
        <v/>
      </c>
      <c r="F312" s="3">
        <f>RAW_INPUT!C312</f>
        <v/>
      </c>
      <c r="G312" s="3">
        <f>RAW_INPUT!E312</f>
        <v/>
      </c>
      <c r="H312" s="3">
        <f>I312/F312</f>
        <v/>
      </c>
      <c r="I312" s="3">
        <f>METRICS!$C$14 * 0.02</f>
        <v/>
      </c>
      <c r="J312" s="3">
        <f>(G312-F312)*H312</f>
        <v/>
      </c>
      <c r="K312" s="3">
        <f>(G312-F312)/F312*100</f>
        <v/>
      </c>
      <c r="L312" s="3">
        <f>RAW_INPUT!F312</f>
        <v/>
      </c>
      <c r="M312" s="3">
        <f>K312-L312</f>
        <v/>
      </c>
      <c r="N312" s="3">
        <f>IF(J312&gt;0, 1, 0)</f>
        <v/>
      </c>
      <c r="O312" s="3">
        <f>IF(J312&lt;0, 1, 0)</f>
        <v/>
      </c>
      <c r="P312" s="3">
        <f>SUM($J$3:J312)</f>
        <v/>
      </c>
      <c r="Q312" s="3">
        <f>P312/METRICS!$C$14*100</f>
        <v/>
      </c>
      <c r="R312" s="3">
        <f>METRICS!$C$14+P312</f>
        <v/>
      </c>
      <c r="S312" s="3">
        <f>MAX($R$3:R312)</f>
        <v/>
      </c>
      <c r="T312" s="3">
        <f>R312-S312</f>
        <v/>
      </c>
      <c r="U312" s="3">
        <f>(R312-S312)/S312*100</f>
        <v/>
      </c>
      <c r="V312" s="3">
        <f>IF(K312&lt;0, (K312/100)^2, 0)</f>
        <v/>
      </c>
    </row>
    <row r="313">
      <c r="A313" s="3">
        <f>TEXT(311, """T""0000")</f>
        <v/>
      </c>
      <c r="B313" s="3">
        <f>RAW_INPUT!A313</f>
        <v/>
      </c>
      <c r="C313" s="3">
        <f>RAW_INPUT!B313</f>
        <v/>
      </c>
      <c r="D313" s="3">
        <f>RAW_INPUT!D313</f>
        <v/>
      </c>
      <c r="E313" s="3">
        <f>D313-C313</f>
        <v/>
      </c>
      <c r="F313" s="3">
        <f>RAW_INPUT!C313</f>
        <v/>
      </c>
      <c r="G313" s="3">
        <f>RAW_INPUT!E313</f>
        <v/>
      </c>
      <c r="H313" s="3">
        <f>I313/F313</f>
        <v/>
      </c>
      <c r="I313" s="3">
        <f>METRICS!$C$14 * 0.02</f>
        <v/>
      </c>
      <c r="J313" s="3">
        <f>(G313-F313)*H313</f>
        <v/>
      </c>
      <c r="K313" s="3">
        <f>(G313-F313)/F313*100</f>
        <v/>
      </c>
      <c r="L313" s="3">
        <f>RAW_INPUT!F313</f>
        <v/>
      </c>
      <c r="M313" s="3">
        <f>K313-L313</f>
        <v/>
      </c>
      <c r="N313" s="3">
        <f>IF(J313&gt;0, 1, 0)</f>
        <v/>
      </c>
      <c r="O313" s="3">
        <f>IF(J313&lt;0, 1, 0)</f>
        <v/>
      </c>
      <c r="P313" s="3">
        <f>SUM($J$3:J313)</f>
        <v/>
      </c>
      <c r="Q313" s="3">
        <f>P313/METRICS!$C$14*100</f>
        <v/>
      </c>
      <c r="R313" s="3">
        <f>METRICS!$C$14+P313</f>
        <v/>
      </c>
      <c r="S313" s="3">
        <f>MAX($R$3:R313)</f>
        <v/>
      </c>
      <c r="T313" s="3">
        <f>R313-S313</f>
        <v/>
      </c>
      <c r="U313" s="3">
        <f>(R313-S313)/S313*100</f>
        <v/>
      </c>
      <c r="V313" s="3">
        <f>IF(K313&lt;0, (K313/100)^2, 0)</f>
        <v/>
      </c>
    </row>
    <row r="314">
      <c r="A314" s="3">
        <f>TEXT(312, """T""0000")</f>
        <v/>
      </c>
      <c r="B314" s="3">
        <f>RAW_INPUT!A314</f>
        <v/>
      </c>
      <c r="C314" s="3">
        <f>RAW_INPUT!B314</f>
        <v/>
      </c>
      <c r="D314" s="3">
        <f>RAW_INPUT!D314</f>
        <v/>
      </c>
      <c r="E314" s="3">
        <f>D314-C314</f>
        <v/>
      </c>
      <c r="F314" s="3">
        <f>RAW_INPUT!C314</f>
        <v/>
      </c>
      <c r="G314" s="3">
        <f>RAW_INPUT!E314</f>
        <v/>
      </c>
      <c r="H314" s="3">
        <f>I314/F314</f>
        <v/>
      </c>
      <c r="I314" s="3">
        <f>METRICS!$C$14 * 0.02</f>
        <v/>
      </c>
      <c r="J314" s="3">
        <f>(G314-F314)*H314</f>
        <v/>
      </c>
      <c r="K314" s="3">
        <f>(G314-F314)/F314*100</f>
        <v/>
      </c>
      <c r="L314" s="3">
        <f>RAW_INPUT!F314</f>
        <v/>
      </c>
      <c r="M314" s="3">
        <f>K314-L314</f>
        <v/>
      </c>
      <c r="N314" s="3">
        <f>IF(J314&gt;0, 1, 0)</f>
        <v/>
      </c>
      <c r="O314" s="3">
        <f>IF(J314&lt;0, 1, 0)</f>
        <v/>
      </c>
      <c r="P314" s="3">
        <f>SUM($J$3:J314)</f>
        <v/>
      </c>
      <c r="Q314" s="3">
        <f>P314/METRICS!$C$14*100</f>
        <v/>
      </c>
      <c r="R314" s="3">
        <f>METRICS!$C$14+P314</f>
        <v/>
      </c>
      <c r="S314" s="3">
        <f>MAX($R$3:R314)</f>
        <v/>
      </c>
      <c r="T314" s="3">
        <f>R314-S314</f>
        <v/>
      </c>
      <c r="U314" s="3">
        <f>(R314-S314)/S314*100</f>
        <v/>
      </c>
      <c r="V314" s="3">
        <f>IF(K314&lt;0, (K314/100)^2, 0)</f>
        <v/>
      </c>
    </row>
    <row r="315">
      <c r="A315" s="3">
        <f>TEXT(313, """T""0000")</f>
        <v/>
      </c>
      <c r="B315" s="3">
        <f>RAW_INPUT!A315</f>
        <v/>
      </c>
      <c r="C315" s="3">
        <f>RAW_INPUT!B315</f>
        <v/>
      </c>
      <c r="D315" s="3">
        <f>RAW_INPUT!D315</f>
        <v/>
      </c>
      <c r="E315" s="3">
        <f>D315-C315</f>
        <v/>
      </c>
      <c r="F315" s="3">
        <f>RAW_INPUT!C315</f>
        <v/>
      </c>
      <c r="G315" s="3">
        <f>RAW_INPUT!E315</f>
        <v/>
      </c>
      <c r="H315" s="3">
        <f>I315/F315</f>
        <v/>
      </c>
      <c r="I315" s="3">
        <f>METRICS!$C$14 * 0.02</f>
        <v/>
      </c>
      <c r="J315" s="3">
        <f>(G315-F315)*H315</f>
        <v/>
      </c>
      <c r="K315" s="3">
        <f>(G315-F315)/F315*100</f>
        <v/>
      </c>
      <c r="L315" s="3">
        <f>RAW_INPUT!F315</f>
        <v/>
      </c>
      <c r="M315" s="3">
        <f>K315-L315</f>
        <v/>
      </c>
      <c r="N315" s="3">
        <f>IF(J315&gt;0, 1, 0)</f>
        <v/>
      </c>
      <c r="O315" s="3">
        <f>IF(J315&lt;0, 1, 0)</f>
        <v/>
      </c>
      <c r="P315" s="3">
        <f>SUM($J$3:J315)</f>
        <v/>
      </c>
      <c r="Q315" s="3">
        <f>P315/METRICS!$C$14*100</f>
        <v/>
      </c>
      <c r="R315" s="3">
        <f>METRICS!$C$14+P315</f>
        <v/>
      </c>
      <c r="S315" s="3">
        <f>MAX($R$3:R315)</f>
        <v/>
      </c>
      <c r="T315" s="3">
        <f>R315-S315</f>
        <v/>
      </c>
      <c r="U315" s="3">
        <f>(R315-S315)/S315*100</f>
        <v/>
      </c>
      <c r="V315" s="3">
        <f>IF(K315&lt;0, (K315/100)^2, 0)</f>
        <v/>
      </c>
    </row>
    <row r="316">
      <c r="A316" s="3">
        <f>TEXT(314, """T""0000")</f>
        <v/>
      </c>
      <c r="B316" s="3">
        <f>RAW_INPUT!A316</f>
        <v/>
      </c>
      <c r="C316" s="3">
        <f>RAW_INPUT!B316</f>
        <v/>
      </c>
      <c r="D316" s="3">
        <f>RAW_INPUT!D316</f>
        <v/>
      </c>
      <c r="E316" s="3">
        <f>D316-C316</f>
        <v/>
      </c>
      <c r="F316" s="3">
        <f>RAW_INPUT!C316</f>
        <v/>
      </c>
      <c r="G316" s="3">
        <f>RAW_INPUT!E316</f>
        <v/>
      </c>
      <c r="H316" s="3">
        <f>I316/F316</f>
        <v/>
      </c>
      <c r="I316" s="3">
        <f>METRICS!$C$14 * 0.02</f>
        <v/>
      </c>
      <c r="J316" s="3">
        <f>(G316-F316)*H316</f>
        <v/>
      </c>
      <c r="K316" s="3">
        <f>(G316-F316)/F316*100</f>
        <v/>
      </c>
      <c r="L316" s="3">
        <f>RAW_INPUT!F316</f>
        <v/>
      </c>
      <c r="M316" s="3">
        <f>K316-L316</f>
        <v/>
      </c>
      <c r="N316" s="3">
        <f>IF(J316&gt;0, 1, 0)</f>
        <v/>
      </c>
      <c r="O316" s="3">
        <f>IF(J316&lt;0, 1, 0)</f>
        <v/>
      </c>
      <c r="P316" s="3">
        <f>SUM($J$3:J316)</f>
        <v/>
      </c>
      <c r="Q316" s="3">
        <f>P316/METRICS!$C$14*100</f>
        <v/>
      </c>
      <c r="R316" s="3">
        <f>METRICS!$C$14+P316</f>
        <v/>
      </c>
      <c r="S316" s="3">
        <f>MAX($R$3:R316)</f>
        <v/>
      </c>
      <c r="T316" s="3">
        <f>R316-S316</f>
        <v/>
      </c>
      <c r="U316" s="3">
        <f>(R316-S316)/S316*100</f>
        <v/>
      </c>
      <c r="V316" s="3">
        <f>IF(K316&lt;0, (K316/100)^2, 0)</f>
        <v/>
      </c>
    </row>
    <row r="317">
      <c r="A317" s="3">
        <f>TEXT(315, """T""0000")</f>
        <v/>
      </c>
      <c r="B317" s="3">
        <f>RAW_INPUT!A317</f>
        <v/>
      </c>
      <c r="C317" s="3">
        <f>RAW_INPUT!B317</f>
        <v/>
      </c>
      <c r="D317" s="3">
        <f>RAW_INPUT!D317</f>
        <v/>
      </c>
      <c r="E317" s="3">
        <f>D317-C317</f>
        <v/>
      </c>
      <c r="F317" s="3">
        <f>RAW_INPUT!C317</f>
        <v/>
      </c>
      <c r="G317" s="3">
        <f>RAW_INPUT!E317</f>
        <v/>
      </c>
      <c r="H317" s="3">
        <f>I317/F317</f>
        <v/>
      </c>
      <c r="I317" s="3">
        <f>METRICS!$C$14 * 0.02</f>
        <v/>
      </c>
      <c r="J317" s="3">
        <f>(G317-F317)*H317</f>
        <v/>
      </c>
      <c r="K317" s="3">
        <f>(G317-F317)/F317*100</f>
        <v/>
      </c>
      <c r="L317" s="3">
        <f>RAW_INPUT!F317</f>
        <v/>
      </c>
      <c r="M317" s="3">
        <f>K317-L317</f>
        <v/>
      </c>
      <c r="N317" s="3">
        <f>IF(J317&gt;0, 1, 0)</f>
        <v/>
      </c>
      <c r="O317" s="3">
        <f>IF(J317&lt;0, 1, 0)</f>
        <v/>
      </c>
      <c r="P317" s="3">
        <f>SUM($J$3:J317)</f>
        <v/>
      </c>
      <c r="Q317" s="3">
        <f>P317/METRICS!$C$14*100</f>
        <v/>
      </c>
      <c r="R317" s="3">
        <f>METRICS!$C$14+P317</f>
        <v/>
      </c>
      <c r="S317" s="3">
        <f>MAX($R$3:R317)</f>
        <v/>
      </c>
      <c r="T317" s="3">
        <f>R317-S317</f>
        <v/>
      </c>
      <c r="U317" s="3">
        <f>(R317-S317)/S317*100</f>
        <v/>
      </c>
      <c r="V317" s="3">
        <f>IF(K317&lt;0, (K317/100)^2, 0)</f>
        <v/>
      </c>
    </row>
    <row r="318">
      <c r="A318" s="3">
        <f>TEXT(316, """T""0000")</f>
        <v/>
      </c>
      <c r="B318" s="3">
        <f>RAW_INPUT!A318</f>
        <v/>
      </c>
      <c r="C318" s="3">
        <f>RAW_INPUT!B318</f>
        <v/>
      </c>
      <c r="D318" s="3">
        <f>RAW_INPUT!D318</f>
        <v/>
      </c>
      <c r="E318" s="3">
        <f>D318-C318</f>
        <v/>
      </c>
      <c r="F318" s="3">
        <f>RAW_INPUT!C318</f>
        <v/>
      </c>
      <c r="G318" s="3">
        <f>RAW_INPUT!E318</f>
        <v/>
      </c>
      <c r="H318" s="3">
        <f>I318/F318</f>
        <v/>
      </c>
      <c r="I318" s="3">
        <f>METRICS!$C$14 * 0.02</f>
        <v/>
      </c>
      <c r="J318" s="3">
        <f>(G318-F318)*H318</f>
        <v/>
      </c>
      <c r="K318" s="3">
        <f>(G318-F318)/F318*100</f>
        <v/>
      </c>
      <c r="L318" s="3">
        <f>RAW_INPUT!F318</f>
        <v/>
      </c>
      <c r="M318" s="3">
        <f>K318-L318</f>
        <v/>
      </c>
      <c r="N318" s="3">
        <f>IF(J318&gt;0, 1, 0)</f>
        <v/>
      </c>
      <c r="O318" s="3">
        <f>IF(J318&lt;0, 1, 0)</f>
        <v/>
      </c>
      <c r="P318" s="3">
        <f>SUM($J$3:J318)</f>
        <v/>
      </c>
      <c r="Q318" s="3">
        <f>P318/METRICS!$C$14*100</f>
        <v/>
      </c>
      <c r="R318" s="3">
        <f>METRICS!$C$14+P318</f>
        <v/>
      </c>
      <c r="S318" s="3">
        <f>MAX($R$3:R318)</f>
        <v/>
      </c>
      <c r="T318" s="3">
        <f>R318-S318</f>
        <v/>
      </c>
      <c r="U318" s="3">
        <f>(R318-S318)/S318*100</f>
        <v/>
      </c>
      <c r="V318" s="3">
        <f>IF(K318&lt;0, (K318/100)^2, 0)</f>
        <v/>
      </c>
    </row>
    <row r="319">
      <c r="A319" s="3">
        <f>TEXT(317, """T""0000")</f>
        <v/>
      </c>
      <c r="B319" s="3">
        <f>RAW_INPUT!A319</f>
        <v/>
      </c>
      <c r="C319" s="3">
        <f>RAW_INPUT!B319</f>
        <v/>
      </c>
      <c r="D319" s="3">
        <f>RAW_INPUT!D319</f>
        <v/>
      </c>
      <c r="E319" s="3">
        <f>D319-C319</f>
        <v/>
      </c>
      <c r="F319" s="3">
        <f>RAW_INPUT!C319</f>
        <v/>
      </c>
      <c r="G319" s="3">
        <f>RAW_INPUT!E319</f>
        <v/>
      </c>
      <c r="H319" s="3">
        <f>I319/F319</f>
        <v/>
      </c>
      <c r="I319" s="3">
        <f>METRICS!$C$14 * 0.02</f>
        <v/>
      </c>
      <c r="J319" s="3">
        <f>(G319-F319)*H319</f>
        <v/>
      </c>
      <c r="K319" s="3">
        <f>(G319-F319)/F319*100</f>
        <v/>
      </c>
      <c r="L319" s="3">
        <f>RAW_INPUT!F319</f>
        <v/>
      </c>
      <c r="M319" s="3">
        <f>K319-L319</f>
        <v/>
      </c>
      <c r="N319" s="3">
        <f>IF(J319&gt;0, 1, 0)</f>
        <v/>
      </c>
      <c r="O319" s="3">
        <f>IF(J319&lt;0, 1, 0)</f>
        <v/>
      </c>
      <c r="P319" s="3">
        <f>SUM($J$3:J319)</f>
        <v/>
      </c>
      <c r="Q319" s="3">
        <f>P319/METRICS!$C$14*100</f>
        <v/>
      </c>
      <c r="R319" s="3">
        <f>METRICS!$C$14+P319</f>
        <v/>
      </c>
      <c r="S319" s="3">
        <f>MAX($R$3:R319)</f>
        <v/>
      </c>
      <c r="T319" s="3">
        <f>R319-S319</f>
        <v/>
      </c>
      <c r="U319" s="3">
        <f>(R319-S319)/S319*100</f>
        <v/>
      </c>
      <c r="V319" s="3">
        <f>IF(K319&lt;0, (K319/100)^2, 0)</f>
        <v/>
      </c>
    </row>
    <row r="320">
      <c r="A320" s="3">
        <f>TEXT(318, """T""0000")</f>
        <v/>
      </c>
      <c r="B320" s="3">
        <f>RAW_INPUT!A320</f>
        <v/>
      </c>
      <c r="C320" s="3">
        <f>RAW_INPUT!B320</f>
        <v/>
      </c>
      <c r="D320" s="3">
        <f>RAW_INPUT!D320</f>
        <v/>
      </c>
      <c r="E320" s="3">
        <f>D320-C320</f>
        <v/>
      </c>
      <c r="F320" s="3">
        <f>RAW_INPUT!C320</f>
        <v/>
      </c>
      <c r="G320" s="3">
        <f>RAW_INPUT!E320</f>
        <v/>
      </c>
      <c r="H320" s="3">
        <f>I320/F320</f>
        <v/>
      </c>
      <c r="I320" s="3">
        <f>METRICS!$C$14 * 0.02</f>
        <v/>
      </c>
      <c r="J320" s="3">
        <f>(G320-F320)*H320</f>
        <v/>
      </c>
      <c r="K320" s="3">
        <f>(G320-F320)/F320*100</f>
        <v/>
      </c>
      <c r="L320" s="3">
        <f>RAW_INPUT!F320</f>
        <v/>
      </c>
      <c r="M320" s="3">
        <f>K320-L320</f>
        <v/>
      </c>
      <c r="N320" s="3">
        <f>IF(J320&gt;0, 1, 0)</f>
        <v/>
      </c>
      <c r="O320" s="3">
        <f>IF(J320&lt;0, 1, 0)</f>
        <v/>
      </c>
      <c r="P320" s="3">
        <f>SUM($J$3:J320)</f>
        <v/>
      </c>
      <c r="Q320" s="3">
        <f>P320/METRICS!$C$14*100</f>
        <v/>
      </c>
      <c r="R320" s="3">
        <f>METRICS!$C$14+P320</f>
        <v/>
      </c>
      <c r="S320" s="3">
        <f>MAX($R$3:R320)</f>
        <v/>
      </c>
      <c r="T320" s="3">
        <f>R320-S320</f>
        <v/>
      </c>
      <c r="U320" s="3">
        <f>(R320-S320)/S320*100</f>
        <v/>
      </c>
      <c r="V320" s="3">
        <f>IF(K320&lt;0, (K320/100)^2, 0)</f>
        <v/>
      </c>
    </row>
    <row r="321">
      <c r="A321" s="3">
        <f>TEXT(319, """T""0000")</f>
        <v/>
      </c>
      <c r="B321" s="3">
        <f>RAW_INPUT!A321</f>
        <v/>
      </c>
      <c r="C321" s="3">
        <f>RAW_INPUT!B321</f>
        <v/>
      </c>
      <c r="D321" s="3">
        <f>RAW_INPUT!D321</f>
        <v/>
      </c>
      <c r="E321" s="3">
        <f>D321-C321</f>
        <v/>
      </c>
      <c r="F321" s="3">
        <f>RAW_INPUT!C321</f>
        <v/>
      </c>
      <c r="G321" s="3">
        <f>RAW_INPUT!E321</f>
        <v/>
      </c>
      <c r="H321" s="3">
        <f>I321/F321</f>
        <v/>
      </c>
      <c r="I321" s="3">
        <f>METRICS!$C$14 * 0.02</f>
        <v/>
      </c>
      <c r="J321" s="3">
        <f>(G321-F321)*H321</f>
        <v/>
      </c>
      <c r="K321" s="3">
        <f>(G321-F321)/F321*100</f>
        <v/>
      </c>
      <c r="L321" s="3">
        <f>RAW_INPUT!F321</f>
        <v/>
      </c>
      <c r="M321" s="3">
        <f>K321-L321</f>
        <v/>
      </c>
      <c r="N321" s="3">
        <f>IF(J321&gt;0, 1, 0)</f>
        <v/>
      </c>
      <c r="O321" s="3">
        <f>IF(J321&lt;0, 1, 0)</f>
        <v/>
      </c>
      <c r="P321" s="3">
        <f>SUM($J$3:J321)</f>
        <v/>
      </c>
      <c r="Q321" s="3">
        <f>P321/METRICS!$C$14*100</f>
        <v/>
      </c>
      <c r="R321" s="3">
        <f>METRICS!$C$14+P321</f>
        <v/>
      </c>
      <c r="S321" s="3">
        <f>MAX($R$3:R321)</f>
        <v/>
      </c>
      <c r="T321" s="3">
        <f>R321-S321</f>
        <v/>
      </c>
      <c r="U321" s="3">
        <f>(R321-S321)/S321*100</f>
        <v/>
      </c>
      <c r="V321" s="3">
        <f>IF(K321&lt;0, (K321/100)^2, 0)</f>
        <v/>
      </c>
    </row>
    <row r="322">
      <c r="A322" s="3">
        <f>TEXT(320, """T""0000")</f>
        <v/>
      </c>
      <c r="B322" s="3">
        <f>RAW_INPUT!A322</f>
        <v/>
      </c>
      <c r="C322" s="3">
        <f>RAW_INPUT!B322</f>
        <v/>
      </c>
      <c r="D322" s="3">
        <f>RAW_INPUT!D322</f>
        <v/>
      </c>
      <c r="E322" s="3">
        <f>D322-C322</f>
        <v/>
      </c>
      <c r="F322" s="3">
        <f>RAW_INPUT!C322</f>
        <v/>
      </c>
      <c r="G322" s="3">
        <f>RAW_INPUT!E322</f>
        <v/>
      </c>
      <c r="H322" s="3">
        <f>I322/F322</f>
        <v/>
      </c>
      <c r="I322" s="3">
        <f>METRICS!$C$14 * 0.02</f>
        <v/>
      </c>
      <c r="J322" s="3">
        <f>(G322-F322)*H322</f>
        <v/>
      </c>
      <c r="K322" s="3">
        <f>(G322-F322)/F322*100</f>
        <v/>
      </c>
      <c r="L322" s="3">
        <f>RAW_INPUT!F322</f>
        <v/>
      </c>
      <c r="M322" s="3">
        <f>K322-L322</f>
        <v/>
      </c>
      <c r="N322" s="3">
        <f>IF(J322&gt;0, 1, 0)</f>
        <v/>
      </c>
      <c r="O322" s="3">
        <f>IF(J322&lt;0, 1, 0)</f>
        <v/>
      </c>
      <c r="P322" s="3">
        <f>SUM($J$3:J322)</f>
        <v/>
      </c>
      <c r="Q322" s="3">
        <f>P322/METRICS!$C$14*100</f>
        <v/>
      </c>
      <c r="R322" s="3">
        <f>METRICS!$C$14+P322</f>
        <v/>
      </c>
      <c r="S322" s="3">
        <f>MAX($R$3:R322)</f>
        <v/>
      </c>
      <c r="T322" s="3">
        <f>R322-S322</f>
        <v/>
      </c>
      <c r="U322" s="3">
        <f>(R322-S322)/S322*100</f>
        <v/>
      </c>
      <c r="V322" s="3">
        <f>IF(K322&lt;0, (K322/100)^2, 0)</f>
        <v/>
      </c>
    </row>
    <row r="323">
      <c r="A323" s="3">
        <f>TEXT(321, """T""0000")</f>
        <v/>
      </c>
      <c r="B323" s="3">
        <f>RAW_INPUT!A323</f>
        <v/>
      </c>
      <c r="C323" s="3">
        <f>RAW_INPUT!B323</f>
        <v/>
      </c>
      <c r="D323" s="3">
        <f>RAW_INPUT!D323</f>
        <v/>
      </c>
      <c r="E323" s="3">
        <f>D323-C323</f>
        <v/>
      </c>
      <c r="F323" s="3">
        <f>RAW_INPUT!C323</f>
        <v/>
      </c>
      <c r="G323" s="3">
        <f>RAW_INPUT!E323</f>
        <v/>
      </c>
      <c r="H323" s="3">
        <f>I323/F323</f>
        <v/>
      </c>
      <c r="I323" s="3">
        <f>METRICS!$C$14 * 0.02</f>
        <v/>
      </c>
      <c r="J323" s="3">
        <f>(G323-F323)*H323</f>
        <v/>
      </c>
      <c r="K323" s="3">
        <f>(G323-F323)/F323*100</f>
        <v/>
      </c>
      <c r="L323" s="3">
        <f>RAW_INPUT!F323</f>
        <v/>
      </c>
      <c r="M323" s="3">
        <f>K323-L323</f>
        <v/>
      </c>
      <c r="N323" s="3">
        <f>IF(J323&gt;0, 1, 0)</f>
        <v/>
      </c>
      <c r="O323" s="3">
        <f>IF(J323&lt;0, 1, 0)</f>
        <v/>
      </c>
      <c r="P323" s="3">
        <f>SUM($J$3:J323)</f>
        <v/>
      </c>
      <c r="Q323" s="3">
        <f>P323/METRICS!$C$14*100</f>
        <v/>
      </c>
      <c r="R323" s="3">
        <f>METRICS!$C$14+P323</f>
        <v/>
      </c>
      <c r="S323" s="3">
        <f>MAX($R$3:R323)</f>
        <v/>
      </c>
      <c r="T323" s="3">
        <f>R323-S323</f>
        <v/>
      </c>
      <c r="U323" s="3">
        <f>(R323-S323)/S323*100</f>
        <v/>
      </c>
      <c r="V323" s="3">
        <f>IF(K323&lt;0, (K323/100)^2, 0)</f>
        <v/>
      </c>
    </row>
    <row r="324">
      <c r="A324" s="3">
        <f>TEXT(322, """T""0000")</f>
        <v/>
      </c>
      <c r="B324" s="3">
        <f>RAW_INPUT!A324</f>
        <v/>
      </c>
      <c r="C324" s="3">
        <f>RAW_INPUT!B324</f>
        <v/>
      </c>
      <c r="D324" s="3">
        <f>RAW_INPUT!D324</f>
        <v/>
      </c>
      <c r="E324" s="3">
        <f>D324-C324</f>
        <v/>
      </c>
      <c r="F324" s="3">
        <f>RAW_INPUT!C324</f>
        <v/>
      </c>
      <c r="G324" s="3">
        <f>RAW_INPUT!E324</f>
        <v/>
      </c>
      <c r="H324" s="3">
        <f>I324/F324</f>
        <v/>
      </c>
      <c r="I324" s="3">
        <f>METRICS!$C$14 * 0.02</f>
        <v/>
      </c>
      <c r="J324" s="3">
        <f>(G324-F324)*H324</f>
        <v/>
      </c>
      <c r="K324" s="3">
        <f>(G324-F324)/F324*100</f>
        <v/>
      </c>
      <c r="L324" s="3">
        <f>RAW_INPUT!F324</f>
        <v/>
      </c>
      <c r="M324" s="3">
        <f>K324-L324</f>
        <v/>
      </c>
      <c r="N324" s="3">
        <f>IF(J324&gt;0, 1, 0)</f>
        <v/>
      </c>
      <c r="O324" s="3">
        <f>IF(J324&lt;0, 1, 0)</f>
        <v/>
      </c>
      <c r="P324" s="3">
        <f>SUM($J$3:J324)</f>
        <v/>
      </c>
      <c r="Q324" s="3">
        <f>P324/METRICS!$C$14*100</f>
        <v/>
      </c>
      <c r="R324" s="3">
        <f>METRICS!$C$14+P324</f>
        <v/>
      </c>
      <c r="S324" s="3">
        <f>MAX($R$3:R324)</f>
        <v/>
      </c>
      <c r="T324" s="3">
        <f>R324-S324</f>
        <v/>
      </c>
      <c r="U324" s="3">
        <f>(R324-S324)/S324*100</f>
        <v/>
      </c>
      <c r="V324" s="3">
        <f>IF(K324&lt;0, (K324/100)^2, 0)</f>
        <v/>
      </c>
    </row>
    <row r="325">
      <c r="A325" s="3">
        <f>TEXT(323, """T""0000")</f>
        <v/>
      </c>
      <c r="B325" s="3">
        <f>RAW_INPUT!A325</f>
        <v/>
      </c>
      <c r="C325" s="3">
        <f>RAW_INPUT!B325</f>
        <v/>
      </c>
      <c r="D325" s="3">
        <f>RAW_INPUT!D325</f>
        <v/>
      </c>
      <c r="E325" s="3">
        <f>D325-C325</f>
        <v/>
      </c>
      <c r="F325" s="3">
        <f>RAW_INPUT!C325</f>
        <v/>
      </c>
      <c r="G325" s="3">
        <f>RAW_INPUT!E325</f>
        <v/>
      </c>
      <c r="H325" s="3">
        <f>I325/F325</f>
        <v/>
      </c>
      <c r="I325" s="3">
        <f>METRICS!$C$14 * 0.02</f>
        <v/>
      </c>
      <c r="J325" s="3">
        <f>(G325-F325)*H325</f>
        <v/>
      </c>
      <c r="K325" s="3">
        <f>(G325-F325)/F325*100</f>
        <v/>
      </c>
      <c r="L325" s="3">
        <f>RAW_INPUT!F325</f>
        <v/>
      </c>
      <c r="M325" s="3">
        <f>K325-L325</f>
        <v/>
      </c>
      <c r="N325" s="3">
        <f>IF(J325&gt;0, 1, 0)</f>
        <v/>
      </c>
      <c r="O325" s="3">
        <f>IF(J325&lt;0, 1, 0)</f>
        <v/>
      </c>
      <c r="P325" s="3">
        <f>SUM($J$3:J325)</f>
        <v/>
      </c>
      <c r="Q325" s="3">
        <f>P325/METRICS!$C$14*100</f>
        <v/>
      </c>
      <c r="R325" s="3">
        <f>METRICS!$C$14+P325</f>
        <v/>
      </c>
      <c r="S325" s="3">
        <f>MAX($R$3:R325)</f>
        <v/>
      </c>
      <c r="T325" s="3">
        <f>R325-S325</f>
        <v/>
      </c>
      <c r="U325" s="3">
        <f>(R325-S325)/S325*100</f>
        <v/>
      </c>
      <c r="V325" s="3">
        <f>IF(K325&lt;0, (K325/100)^2, 0)</f>
        <v/>
      </c>
    </row>
    <row r="326">
      <c r="A326" s="3">
        <f>TEXT(324, """T""0000")</f>
        <v/>
      </c>
      <c r="B326" s="3">
        <f>RAW_INPUT!A326</f>
        <v/>
      </c>
      <c r="C326" s="3">
        <f>RAW_INPUT!B326</f>
        <v/>
      </c>
      <c r="D326" s="3">
        <f>RAW_INPUT!D326</f>
        <v/>
      </c>
      <c r="E326" s="3">
        <f>D326-C326</f>
        <v/>
      </c>
      <c r="F326" s="3">
        <f>RAW_INPUT!C326</f>
        <v/>
      </c>
      <c r="G326" s="3">
        <f>RAW_INPUT!E326</f>
        <v/>
      </c>
      <c r="H326" s="3">
        <f>I326/F326</f>
        <v/>
      </c>
      <c r="I326" s="3">
        <f>METRICS!$C$14 * 0.02</f>
        <v/>
      </c>
      <c r="J326" s="3">
        <f>(G326-F326)*H326</f>
        <v/>
      </c>
      <c r="K326" s="3">
        <f>(G326-F326)/F326*100</f>
        <v/>
      </c>
      <c r="L326" s="3">
        <f>RAW_INPUT!F326</f>
        <v/>
      </c>
      <c r="M326" s="3">
        <f>K326-L326</f>
        <v/>
      </c>
      <c r="N326" s="3">
        <f>IF(J326&gt;0, 1, 0)</f>
        <v/>
      </c>
      <c r="O326" s="3">
        <f>IF(J326&lt;0, 1, 0)</f>
        <v/>
      </c>
      <c r="P326" s="3">
        <f>SUM($J$3:J326)</f>
        <v/>
      </c>
      <c r="Q326" s="3">
        <f>P326/METRICS!$C$14*100</f>
        <v/>
      </c>
      <c r="R326" s="3">
        <f>METRICS!$C$14+P326</f>
        <v/>
      </c>
      <c r="S326" s="3">
        <f>MAX($R$3:R326)</f>
        <v/>
      </c>
      <c r="T326" s="3">
        <f>R326-S326</f>
        <v/>
      </c>
      <c r="U326" s="3">
        <f>(R326-S326)/S326*100</f>
        <v/>
      </c>
      <c r="V326" s="3">
        <f>IF(K326&lt;0, (K326/100)^2, 0)</f>
        <v/>
      </c>
    </row>
    <row r="327">
      <c r="A327" s="3">
        <f>TEXT(325, """T""0000")</f>
        <v/>
      </c>
      <c r="B327" s="3">
        <f>RAW_INPUT!A327</f>
        <v/>
      </c>
      <c r="C327" s="3">
        <f>RAW_INPUT!B327</f>
        <v/>
      </c>
      <c r="D327" s="3">
        <f>RAW_INPUT!D327</f>
        <v/>
      </c>
      <c r="E327" s="3">
        <f>D327-C327</f>
        <v/>
      </c>
      <c r="F327" s="3">
        <f>RAW_INPUT!C327</f>
        <v/>
      </c>
      <c r="G327" s="3">
        <f>RAW_INPUT!E327</f>
        <v/>
      </c>
      <c r="H327" s="3">
        <f>I327/F327</f>
        <v/>
      </c>
      <c r="I327" s="3">
        <f>METRICS!$C$14 * 0.02</f>
        <v/>
      </c>
      <c r="J327" s="3">
        <f>(G327-F327)*H327</f>
        <v/>
      </c>
      <c r="K327" s="3">
        <f>(G327-F327)/F327*100</f>
        <v/>
      </c>
      <c r="L327" s="3">
        <f>RAW_INPUT!F327</f>
        <v/>
      </c>
      <c r="M327" s="3">
        <f>K327-L327</f>
        <v/>
      </c>
      <c r="N327" s="3">
        <f>IF(J327&gt;0, 1, 0)</f>
        <v/>
      </c>
      <c r="O327" s="3">
        <f>IF(J327&lt;0, 1, 0)</f>
        <v/>
      </c>
      <c r="P327" s="3">
        <f>SUM($J$3:J327)</f>
        <v/>
      </c>
      <c r="Q327" s="3">
        <f>P327/METRICS!$C$14*100</f>
        <v/>
      </c>
      <c r="R327" s="3">
        <f>METRICS!$C$14+P327</f>
        <v/>
      </c>
      <c r="S327" s="3">
        <f>MAX($R$3:R327)</f>
        <v/>
      </c>
      <c r="T327" s="3">
        <f>R327-S327</f>
        <v/>
      </c>
      <c r="U327" s="3">
        <f>(R327-S327)/S327*100</f>
        <v/>
      </c>
      <c r="V327" s="3">
        <f>IF(K327&lt;0, (K327/100)^2, 0)</f>
        <v/>
      </c>
    </row>
    <row r="328">
      <c r="A328" s="3">
        <f>TEXT(326, """T""0000")</f>
        <v/>
      </c>
      <c r="B328" s="3">
        <f>RAW_INPUT!A328</f>
        <v/>
      </c>
      <c r="C328" s="3">
        <f>RAW_INPUT!B328</f>
        <v/>
      </c>
      <c r="D328" s="3">
        <f>RAW_INPUT!D328</f>
        <v/>
      </c>
      <c r="E328" s="3">
        <f>D328-C328</f>
        <v/>
      </c>
      <c r="F328" s="3">
        <f>RAW_INPUT!C328</f>
        <v/>
      </c>
      <c r="G328" s="3">
        <f>RAW_INPUT!E328</f>
        <v/>
      </c>
      <c r="H328" s="3">
        <f>I328/F328</f>
        <v/>
      </c>
      <c r="I328" s="3">
        <f>METRICS!$C$14 * 0.02</f>
        <v/>
      </c>
      <c r="J328" s="3">
        <f>(G328-F328)*H328</f>
        <v/>
      </c>
      <c r="K328" s="3">
        <f>(G328-F328)/F328*100</f>
        <v/>
      </c>
      <c r="L328" s="3">
        <f>RAW_INPUT!F328</f>
        <v/>
      </c>
      <c r="M328" s="3">
        <f>K328-L328</f>
        <v/>
      </c>
      <c r="N328" s="3">
        <f>IF(J328&gt;0, 1, 0)</f>
        <v/>
      </c>
      <c r="O328" s="3">
        <f>IF(J328&lt;0, 1, 0)</f>
        <v/>
      </c>
      <c r="P328" s="3">
        <f>SUM($J$3:J328)</f>
        <v/>
      </c>
      <c r="Q328" s="3">
        <f>P328/METRICS!$C$14*100</f>
        <v/>
      </c>
      <c r="R328" s="3">
        <f>METRICS!$C$14+P328</f>
        <v/>
      </c>
      <c r="S328" s="3">
        <f>MAX($R$3:R328)</f>
        <v/>
      </c>
      <c r="T328" s="3">
        <f>R328-S328</f>
        <v/>
      </c>
      <c r="U328" s="3">
        <f>(R328-S328)/S328*100</f>
        <v/>
      </c>
      <c r="V328" s="3">
        <f>IF(K328&lt;0, (K328/100)^2, 0)</f>
        <v/>
      </c>
    </row>
    <row r="329">
      <c r="A329" s="3">
        <f>TEXT(327, """T""0000")</f>
        <v/>
      </c>
      <c r="B329" s="3">
        <f>RAW_INPUT!A329</f>
        <v/>
      </c>
      <c r="C329" s="3">
        <f>RAW_INPUT!B329</f>
        <v/>
      </c>
      <c r="D329" s="3">
        <f>RAW_INPUT!D329</f>
        <v/>
      </c>
      <c r="E329" s="3">
        <f>D329-C329</f>
        <v/>
      </c>
      <c r="F329" s="3">
        <f>RAW_INPUT!C329</f>
        <v/>
      </c>
      <c r="G329" s="3">
        <f>RAW_INPUT!E329</f>
        <v/>
      </c>
      <c r="H329" s="3">
        <f>I329/F329</f>
        <v/>
      </c>
      <c r="I329" s="3">
        <f>METRICS!$C$14 * 0.02</f>
        <v/>
      </c>
      <c r="J329" s="3">
        <f>(G329-F329)*H329</f>
        <v/>
      </c>
      <c r="K329" s="3">
        <f>(G329-F329)/F329*100</f>
        <v/>
      </c>
      <c r="L329" s="3">
        <f>RAW_INPUT!F329</f>
        <v/>
      </c>
      <c r="M329" s="3">
        <f>K329-L329</f>
        <v/>
      </c>
      <c r="N329" s="3">
        <f>IF(J329&gt;0, 1, 0)</f>
        <v/>
      </c>
      <c r="O329" s="3">
        <f>IF(J329&lt;0, 1, 0)</f>
        <v/>
      </c>
      <c r="P329" s="3">
        <f>SUM($J$3:J329)</f>
        <v/>
      </c>
      <c r="Q329" s="3">
        <f>P329/METRICS!$C$14*100</f>
        <v/>
      </c>
      <c r="R329" s="3">
        <f>METRICS!$C$14+P329</f>
        <v/>
      </c>
      <c r="S329" s="3">
        <f>MAX($R$3:R329)</f>
        <v/>
      </c>
      <c r="T329" s="3">
        <f>R329-S329</f>
        <v/>
      </c>
      <c r="U329" s="3">
        <f>(R329-S329)/S329*100</f>
        <v/>
      </c>
      <c r="V329" s="3">
        <f>IF(K329&lt;0, (K329/100)^2, 0)</f>
        <v/>
      </c>
    </row>
    <row r="330">
      <c r="A330" s="3">
        <f>TEXT(328, """T""0000")</f>
        <v/>
      </c>
      <c r="B330" s="3">
        <f>RAW_INPUT!A330</f>
        <v/>
      </c>
      <c r="C330" s="3">
        <f>RAW_INPUT!B330</f>
        <v/>
      </c>
      <c r="D330" s="3">
        <f>RAW_INPUT!D330</f>
        <v/>
      </c>
      <c r="E330" s="3">
        <f>D330-C330</f>
        <v/>
      </c>
      <c r="F330" s="3">
        <f>RAW_INPUT!C330</f>
        <v/>
      </c>
      <c r="G330" s="3">
        <f>RAW_INPUT!E330</f>
        <v/>
      </c>
      <c r="H330" s="3">
        <f>I330/F330</f>
        <v/>
      </c>
      <c r="I330" s="3">
        <f>METRICS!$C$14 * 0.02</f>
        <v/>
      </c>
      <c r="J330" s="3">
        <f>(G330-F330)*H330</f>
        <v/>
      </c>
      <c r="K330" s="3">
        <f>(G330-F330)/F330*100</f>
        <v/>
      </c>
      <c r="L330" s="3">
        <f>RAW_INPUT!F330</f>
        <v/>
      </c>
      <c r="M330" s="3">
        <f>K330-L330</f>
        <v/>
      </c>
      <c r="N330" s="3">
        <f>IF(J330&gt;0, 1, 0)</f>
        <v/>
      </c>
      <c r="O330" s="3">
        <f>IF(J330&lt;0, 1, 0)</f>
        <v/>
      </c>
      <c r="P330" s="3">
        <f>SUM($J$3:J330)</f>
        <v/>
      </c>
      <c r="Q330" s="3">
        <f>P330/METRICS!$C$14*100</f>
        <v/>
      </c>
      <c r="R330" s="3">
        <f>METRICS!$C$14+P330</f>
        <v/>
      </c>
      <c r="S330" s="3">
        <f>MAX($R$3:R330)</f>
        <v/>
      </c>
      <c r="T330" s="3">
        <f>R330-S330</f>
        <v/>
      </c>
      <c r="U330" s="3">
        <f>(R330-S330)/S330*100</f>
        <v/>
      </c>
      <c r="V330" s="3">
        <f>IF(K330&lt;0, (K330/100)^2, 0)</f>
        <v/>
      </c>
    </row>
    <row r="331">
      <c r="A331" s="3">
        <f>TEXT(329, """T""0000")</f>
        <v/>
      </c>
      <c r="B331" s="3">
        <f>RAW_INPUT!A331</f>
        <v/>
      </c>
      <c r="C331" s="3">
        <f>RAW_INPUT!B331</f>
        <v/>
      </c>
      <c r="D331" s="3">
        <f>RAW_INPUT!D331</f>
        <v/>
      </c>
      <c r="E331" s="3">
        <f>D331-C331</f>
        <v/>
      </c>
      <c r="F331" s="3">
        <f>RAW_INPUT!C331</f>
        <v/>
      </c>
      <c r="G331" s="3">
        <f>RAW_INPUT!E331</f>
        <v/>
      </c>
      <c r="H331" s="3">
        <f>I331/F331</f>
        <v/>
      </c>
      <c r="I331" s="3">
        <f>METRICS!$C$14 * 0.02</f>
        <v/>
      </c>
      <c r="J331" s="3">
        <f>(G331-F331)*H331</f>
        <v/>
      </c>
      <c r="K331" s="3">
        <f>(G331-F331)/F331*100</f>
        <v/>
      </c>
      <c r="L331" s="3">
        <f>RAW_INPUT!F331</f>
        <v/>
      </c>
      <c r="M331" s="3">
        <f>K331-L331</f>
        <v/>
      </c>
      <c r="N331" s="3">
        <f>IF(J331&gt;0, 1, 0)</f>
        <v/>
      </c>
      <c r="O331" s="3">
        <f>IF(J331&lt;0, 1, 0)</f>
        <v/>
      </c>
      <c r="P331" s="3">
        <f>SUM($J$3:J331)</f>
        <v/>
      </c>
      <c r="Q331" s="3">
        <f>P331/METRICS!$C$14*100</f>
        <v/>
      </c>
      <c r="R331" s="3">
        <f>METRICS!$C$14+P331</f>
        <v/>
      </c>
      <c r="S331" s="3">
        <f>MAX($R$3:R331)</f>
        <v/>
      </c>
      <c r="T331" s="3">
        <f>R331-S331</f>
        <v/>
      </c>
      <c r="U331" s="3">
        <f>(R331-S331)/S331*100</f>
        <v/>
      </c>
      <c r="V331" s="3">
        <f>IF(K331&lt;0, (K331/100)^2, 0)</f>
        <v/>
      </c>
    </row>
    <row r="332">
      <c r="A332" s="3">
        <f>TEXT(330, """T""0000")</f>
        <v/>
      </c>
      <c r="B332" s="3">
        <f>RAW_INPUT!A332</f>
        <v/>
      </c>
      <c r="C332" s="3">
        <f>RAW_INPUT!B332</f>
        <v/>
      </c>
      <c r="D332" s="3">
        <f>RAW_INPUT!D332</f>
        <v/>
      </c>
      <c r="E332" s="3">
        <f>D332-C332</f>
        <v/>
      </c>
      <c r="F332" s="3">
        <f>RAW_INPUT!C332</f>
        <v/>
      </c>
      <c r="G332" s="3">
        <f>RAW_INPUT!E332</f>
        <v/>
      </c>
      <c r="H332" s="3">
        <f>I332/F332</f>
        <v/>
      </c>
      <c r="I332" s="3">
        <f>METRICS!$C$14 * 0.02</f>
        <v/>
      </c>
      <c r="J332" s="3">
        <f>(G332-F332)*H332</f>
        <v/>
      </c>
      <c r="K332" s="3">
        <f>(G332-F332)/F332*100</f>
        <v/>
      </c>
      <c r="L332" s="3">
        <f>RAW_INPUT!F332</f>
        <v/>
      </c>
      <c r="M332" s="3">
        <f>K332-L332</f>
        <v/>
      </c>
      <c r="N332" s="3">
        <f>IF(J332&gt;0, 1, 0)</f>
        <v/>
      </c>
      <c r="O332" s="3">
        <f>IF(J332&lt;0, 1, 0)</f>
        <v/>
      </c>
      <c r="P332" s="3">
        <f>SUM($J$3:J332)</f>
        <v/>
      </c>
      <c r="Q332" s="3">
        <f>P332/METRICS!$C$14*100</f>
        <v/>
      </c>
      <c r="R332" s="3">
        <f>METRICS!$C$14+P332</f>
        <v/>
      </c>
      <c r="S332" s="3">
        <f>MAX($R$3:R332)</f>
        <v/>
      </c>
      <c r="T332" s="3">
        <f>R332-S332</f>
        <v/>
      </c>
      <c r="U332" s="3">
        <f>(R332-S332)/S332*100</f>
        <v/>
      </c>
      <c r="V332" s="3">
        <f>IF(K332&lt;0, (K332/100)^2, 0)</f>
        <v/>
      </c>
    </row>
    <row r="333">
      <c r="A333" s="3">
        <f>TEXT(331, """T""0000")</f>
        <v/>
      </c>
      <c r="B333" s="3">
        <f>RAW_INPUT!A333</f>
        <v/>
      </c>
      <c r="C333" s="3">
        <f>RAW_INPUT!B333</f>
        <v/>
      </c>
      <c r="D333" s="3">
        <f>RAW_INPUT!D333</f>
        <v/>
      </c>
      <c r="E333" s="3">
        <f>D333-C333</f>
        <v/>
      </c>
      <c r="F333" s="3">
        <f>RAW_INPUT!C333</f>
        <v/>
      </c>
      <c r="G333" s="3">
        <f>RAW_INPUT!E333</f>
        <v/>
      </c>
      <c r="H333" s="3">
        <f>I333/F333</f>
        <v/>
      </c>
      <c r="I333" s="3">
        <f>METRICS!$C$14 * 0.02</f>
        <v/>
      </c>
      <c r="J333" s="3">
        <f>(G333-F333)*H333</f>
        <v/>
      </c>
      <c r="K333" s="3">
        <f>(G333-F333)/F333*100</f>
        <v/>
      </c>
      <c r="L333" s="3">
        <f>RAW_INPUT!F333</f>
        <v/>
      </c>
      <c r="M333" s="3">
        <f>K333-L333</f>
        <v/>
      </c>
      <c r="N333" s="3">
        <f>IF(J333&gt;0, 1, 0)</f>
        <v/>
      </c>
      <c r="O333" s="3">
        <f>IF(J333&lt;0, 1, 0)</f>
        <v/>
      </c>
      <c r="P333" s="3">
        <f>SUM($J$3:J333)</f>
        <v/>
      </c>
      <c r="Q333" s="3">
        <f>P333/METRICS!$C$14*100</f>
        <v/>
      </c>
      <c r="R333" s="3">
        <f>METRICS!$C$14+P333</f>
        <v/>
      </c>
      <c r="S333" s="3">
        <f>MAX($R$3:R333)</f>
        <v/>
      </c>
      <c r="T333" s="3">
        <f>R333-S333</f>
        <v/>
      </c>
      <c r="U333" s="3">
        <f>(R333-S333)/S333*100</f>
        <v/>
      </c>
      <c r="V333" s="3">
        <f>IF(K333&lt;0, (K333/100)^2, 0)</f>
        <v/>
      </c>
    </row>
    <row r="334">
      <c r="A334" s="3">
        <f>TEXT(332, """T""0000")</f>
        <v/>
      </c>
      <c r="B334" s="3">
        <f>RAW_INPUT!A334</f>
        <v/>
      </c>
      <c r="C334" s="3">
        <f>RAW_INPUT!B334</f>
        <v/>
      </c>
      <c r="D334" s="3">
        <f>RAW_INPUT!D334</f>
        <v/>
      </c>
      <c r="E334" s="3">
        <f>D334-C334</f>
        <v/>
      </c>
      <c r="F334" s="3">
        <f>RAW_INPUT!C334</f>
        <v/>
      </c>
      <c r="G334" s="3">
        <f>RAW_INPUT!E334</f>
        <v/>
      </c>
      <c r="H334" s="3">
        <f>I334/F334</f>
        <v/>
      </c>
      <c r="I334" s="3">
        <f>METRICS!$C$14 * 0.02</f>
        <v/>
      </c>
      <c r="J334" s="3">
        <f>(G334-F334)*H334</f>
        <v/>
      </c>
      <c r="K334" s="3">
        <f>(G334-F334)/F334*100</f>
        <v/>
      </c>
      <c r="L334" s="3">
        <f>RAW_INPUT!F334</f>
        <v/>
      </c>
      <c r="M334" s="3">
        <f>K334-L334</f>
        <v/>
      </c>
      <c r="N334" s="3">
        <f>IF(J334&gt;0, 1, 0)</f>
        <v/>
      </c>
      <c r="O334" s="3">
        <f>IF(J334&lt;0, 1, 0)</f>
        <v/>
      </c>
      <c r="P334" s="3">
        <f>SUM($J$3:J334)</f>
        <v/>
      </c>
      <c r="Q334" s="3">
        <f>P334/METRICS!$C$14*100</f>
        <v/>
      </c>
      <c r="R334" s="3">
        <f>METRICS!$C$14+P334</f>
        <v/>
      </c>
      <c r="S334" s="3">
        <f>MAX($R$3:R334)</f>
        <v/>
      </c>
      <c r="T334" s="3">
        <f>R334-S334</f>
        <v/>
      </c>
      <c r="U334" s="3">
        <f>(R334-S334)/S334*100</f>
        <v/>
      </c>
      <c r="V334" s="3">
        <f>IF(K334&lt;0, (K334/100)^2, 0)</f>
        <v/>
      </c>
    </row>
    <row r="335">
      <c r="A335" s="3">
        <f>TEXT(333, """T""0000")</f>
        <v/>
      </c>
      <c r="B335" s="3">
        <f>RAW_INPUT!A335</f>
        <v/>
      </c>
      <c r="C335" s="3">
        <f>RAW_INPUT!B335</f>
        <v/>
      </c>
      <c r="D335" s="3">
        <f>RAW_INPUT!D335</f>
        <v/>
      </c>
      <c r="E335" s="3">
        <f>D335-C335</f>
        <v/>
      </c>
      <c r="F335" s="3">
        <f>RAW_INPUT!C335</f>
        <v/>
      </c>
      <c r="G335" s="3">
        <f>RAW_INPUT!E335</f>
        <v/>
      </c>
      <c r="H335" s="3">
        <f>I335/F335</f>
        <v/>
      </c>
      <c r="I335" s="3">
        <f>METRICS!$C$14 * 0.02</f>
        <v/>
      </c>
      <c r="J335" s="3">
        <f>(G335-F335)*H335</f>
        <v/>
      </c>
      <c r="K335" s="3">
        <f>(G335-F335)/F335*100</f>
        <v/>
      </c>
      <c r="L335" s="3">
        <f>RAW_INPUT!F335</f>
        <v/>
      </c>
      <c r="M335" s="3">
        <f>K335-L335</f>
        <v/>
      </c>
      <c r="N335" s="3">
        <f>IF(J335&gt;0, 1, 0)</f>
        <v/>
      </c>
      <c r="O335" s="3">
        <f>IF(J335&lt;0, 1, 0)</f>
        <v/>
      </c>
      <c r="P335" s="3">
        <f>SUM($J$3:J335)</f>
        <v/>
      </c>
      <c r="Q335" s="3">
        <f>P335/METRICS!$C$14*100</f>
        <v/>
      </c>
      <c r="R335" s="3">
        <f>METRICS!$C$14+P335</f>
        <v/>
      </c>
      <c r="S335" s="3">
        <f>MAX($R$3:R335)</f>
        <v/>
      </c>
      <c r="T335" s="3">
        <f>R335-S335</f>
        <v/>
      </c>
      <c r="U335" s="3">
        <f>(R335-S335)/S335*100</f>
        <v/>
      </c>
      <c r="V335" s="3">
        <f>IF(K335&lt;0, (K335/100)^2, 0)</f>
        <v/>
      </c>
    </row>
    <row r="336">
      <c r="A336" s="3">
        <f>TEXT(334, """T""0000")</f>
        <v/>
      </c>
      <c r="B336" s="3">
        <f>RAW_INPUT!A336</f>
        <v/>
      </c>
      <c r="C336" s="3">
        <f>RAW_INPUT!B336</f>
        <v/>
      </c>
      <c r="D336" s="3">
        <f>RAW_INPUT!D336</f>
        <v/>
      </c>
      <c r="E336" s="3">
        <f>D336-C336</f>
        <v/>
      </c>
      <c r="F336" s="3">
        <f>RAW_INPUT!C336</f>
        <v/>
      </c>
      <c r="G336" s="3">
        <f>RAW_INPUT!E336</f>
        <v/>
      </c>
      <c r="H336" s="3">
        <f>I336/F336</f>
        <v/>
      </c>
      <c r="I336" s="3">
        <f>METRICS!$C$14 * 0.02</f>
        <v/>
      </c>
      <c r="J336" s="3">
        <f>(G336-F336)*H336</f>
        <v/>
      </c>
      <c r="K336" s="3">
        <f>(G336-F336)/F336*100</f>
        <v/>
      </c>
      <c r="L336" s="3">
        <f>RAW_INPUT!F336</f>
        <v/>
      </c>
      <c r="M336" s="3">
        <f>K336-L336</f>
        <v/>
      </c>
      <c r="N336" s="3">
        <f>IF(J336&gt;0, 1, 0)</f>
        <v/>
      </c>
      <c r="O336" s="3">
        <f>IF(J336&lt;0, 1, 0)</f>
        <v/>
      </c>
      <c r="P336" s="3">
        <f>SUM($J$3:J336)</f>
        <v/>
      </c>
      <c r="Q336" s="3">
        <f>P336/METRICS!$C$14*100</f>
        <v/>
      </c>
      <c r="R336" s="3">
        <f>METRICS!$C$14+P336</f>
        <v/>
      </c>
      <c r="S336" s="3">
        <f>MAX($R$3:R336)</f>
        <v/>
      </c>
      <c r="T336" s="3">
        <f>R336-S336</f>
        <v/>
      </c>
      <c r="U336" s="3">
        <f>(R336-S336)/S336*100</f>
        <v/>
      </c>
      <c r="V336" s="3">
        <f>IF(K336&lt;0, (K336/100)^2, 0)</f>
        <v/>
      </c>
    </row>
    <row r="337">
      <c r="A337" s="3">
        <f>TEXT(335, """T""0000")</f>
        <v/>
      </c>
      <c r="B337" s="3">
        <f>RAW_INPUT!A337</f>
        <v/>
      </c>
      <c r="C337" s="3">
        <f>RAW_INPUT!B337</f>
        <v/>
      </c>
      <c r="D337" s="3">
        <f>RAW_INPUT!D337</f>
        <v/>
      </c>
      <c r="E337" s="3">
        <f>D337-C337</f>
        <v/>
      </c>
      <c r="F337" s="3">
        <f>RAW_INPUT!C337</f>
        <v/>
      </c>
      <c r="G337" s="3">
        <f>RAW_INPUT!E337</f>
        <v/>
      </c>
      <c r="H337" s="3">
        <f>I337/F337</f>
        <v/>
      </c>
      <c r="I337" s="3">
        <f>METRICS!$C$14 * 0.02</f>
        <v/>
      </c>
      <c r="J337" s="3">
        <f>(G337-F337)*H337</f>
        <v/>
      </c>
      <c r="K337" s="3">
        <f>(G337-F337)/F337*100</f>
        <v/>
      </c>
      <c r="L337" s="3">
        <f>RAW_INPUT!F337</f>
        <v/>
      </c>
      <c r="M337" s="3">
        <f>K337-L337</f>
        <v/>
      </c>
      <c r="N337" s="3">
        <f>IF(J337&gt;0, 1, 0)</f>
        <v/>
      </c>
      <c r="O337" s="3">
        <f>IF(J337&lt;0, 1, 0)</f>
        <v/>
      </c>
      <c r="P337" s="3">
        <f>SUM($J$3:J337)</f>
        <v/>
      </c>
      <c r="Q337" s="3">
        <f>P337/METRICS!$C$14*100</f>
        <v/>
      </c>
      <c r="R337" s="3">
        <f>METRICS!$C$14+P337</f>
        <v/>
      </c>
      <c r="S337" s="3">
        <f>MAX($R$3:R337)</f>
        <v/>
      </c>
      <c r="T337" s="3">
        <f>R337-S337</f>
        <v/>
      </c>
      <c r="U337" s="3">
        <f>(R337-S337)/S337*100</f>
        <v/>
      </c>
      <c r="V337" s="3">
        <f>IF(K337&lt;0, (K337/100)^2, 0)</f>
        <v/>
      </c>
    </row>
    <row r="338">
      <c r="A338" s="3">
        <f>TEXT(336, """T""0000")</f>
        <v/>
      </c>
      <c r="B338" s="3">
        <f>RAW_INPUT!A338</f>
        <v/>
      </c>
      <c r="C338" s="3">
        <f>RAW_INPUT!B338</f>
        <v/>
      </c>
      <c r="D338" s="3">
        <f>RAW_INPUT!D338</f>
        <v/>
      </c>
      <c r="E338" s="3">
        <f>D338-C338</f>
        <v/>
      </c>
      <c r="F338" s="3">
        <f>RAW_INPUT!C338</f>
        <v/>
      </c>
      <c r="G338" s="3">
        <f>RAW_INPUT!E338</f>
        <v/>
      </c>
      <c r="H338" s="3">
        <f>I338/F338</f>
        <v/>
      </c>
      <c r="I338" s="3">
        <f>METRICS!$C$14 * 0.02</f>
        <v/>
      </c>
      <c r="J338" s="3">
        <f>(G338-F338)*H338</f>
        <v/>
      </c>
      <c r="K338" s="3">
        <f>(G338-F338)/F338*100</f>
        <v/>
      </c>
      <c r="L338" s="3">
        <f>RAW_INPUT!F338</f>
        <v/>
      </c>
      <c r="M338" s="3">
        <f>K338-L338</f>
        <v/>
      </c>
      <c r="N338" s="3">
        <f>IF(J338&gt;0, 1, 0)</f>
        <v/>
      </c>
      <c r="O338" s="3">
        <f>IF(J338&lt;0, 1, 0)</f>
        <v/>
      </c>
      <c r="P338" s="3">
        <f>SUM($J$3:J338)</f>
        <v/>
      </c>
      <c r="Q338" s="3">
        <f>P338/METRICS!$C$14*100</f>
        <v/>
      </c>
      <c r="R338" s="3">
        <f>METRICS!$C$14+P338</f>
        <v/>
      </c>
      <c r="S338" s="3">
        <f>MAX($R$3:R338)</f>
        <v/>
      </c>
      <c r="T338" s="3">
        <f>R338-S338</f>
        <v/>
      </c>
      <c r="U338" s="3">
        <f>(R338-S338)/S338*100</f>
        <v/>
      </c>
      <c r="V338" s="3">
        <f>IF(K338&lt;0, (K338/100)^2, 0)</f>
        <v/>
      </c>
    </row>
    <row r="339">
      <c r="A339" s="3">
        <f>TEXT(337, """T""0000")</f>
        <v/>
      </c>
      <c r="B339" s="3">
        <f>RAW_INPUT!A339</f>
        <v/>
      </c>
      <c r="C339" s="3">
        <f>RAW_INPUT!B339</f>
        <v/>
      </c>
      <c r="D339" s="3">
        <f>RAW_INPUT!D339</f>
        <v/>
      </c>
      <c r="E339" s="3">
        <f>D339-C339</f>
        <v/>
      </c>
      <c r="F339" s="3">
        <f>RAW_INPUT!C339</f>
        <v/>
      </c>
      <c r="G339" s="3">
        <f>RAW_INPUT!E339</f>
        <v/>
      </c>
      <c r="H339" s="3">
        <f>I339/F339</f>
        <v/>
      </c>
      <c r="I339" s="3">
        <f>METRICS!$C$14 * 0.02</f>
        <v/>
      </c>
      <c r="J339" s="3">
        <f>(G339-F339)*H339</f>
        <v/>
      </c>
      <c r="K339" s="3">
        <f>(G339-F339)/F339*100</f>
        <v/>
      </c>
      <c r="L339" s="3">
        <f>RAW_INPUT!F339</f>
        <v/>
      </c>
      <c r="M339" s="3">
        <f>K339-L339</f>
        <v/>
      </c>
      <c r="N339" s="3">
        <f>IF(J339&gt;0, 1, 0)</f>
        <v/>
      </c>
      <c r="O339" s="3">
        <f>IF(J339&lt;0, 1, 0)</f>
        <v/>
      </c>
      <c r="P339" s="3">
        <f>SUM($J$3:J339)</f>
        <v/>
      </c>
      <c r="Q339" s="3">
        <f>P339/METRICS!$C$14*100</f>
        <v/>
      </c>
      <c r="R339" s="3">
        <f>METRICS!$C$14+P339</f>
        <v/>
      </c>
      <c r="S339" s="3">
        <f>MAX($R$3:R339)</f>
        <v/>
      </c>
      <c r="T339" s="3">
        <f>R339-S339</f>
        <v/>
      </c>
      <c r="U339" s="3">
        <f>(R339-S339)/S339*100</f>
        <v/>
      </c>
      <c r="V339" s="3">
        <f>IF(K339&lt;0, (K339/100)^2, 0)</f>
        <v/>
      </c>
    </row>
    <row r="340">
      <c r="A340" s="3">
        <f>TEXT(338, """T""0000")</f>
        <v/>
      </c>
      <c r="B340" s="3">
        <f>RAW_INPUT!A340</f>
        <v/>
      </c>
      <c r="C340" s="3">
        <f>RAW_INPUT!B340</f>
        <v/>
      </c>
      <c r="D340" s="3">
        <f>RAW_INPUT!D340</f>
        <v/>
      </c>
      <c r="E340" s="3">
        <f>D340-C340</f>
        <v/>
      </c>
      <c r="F340" s="3">
        <f>RAW_INPUT!C340</f>
        <v/>
      </c>
      <c r="G340" s="3">
        <f>RAW_INPUT!E340</f>
        <v/>
      </c>
      <c r="H340" s="3">
        <f>I340/F340</f>
        <v/>
      </c>
      <c r="I340" s="3">
        <f>METRICS!$C$14 * 0.02</f>
        <v/>
      </c>
      <c r="J340" s="3">
        <f>(G340-F340)*H340</f>
        <v/>
      </c>
      <c r="K340" s="3">
        <f>(G340-F340)/F340*100</f>
        <v/>
      </c>
      <c r="L340" s="3">
        <f>RAW_INPUT!F340</f>
        <v/>
      </c>
      <c r="M340" s="3">
        <f>K340-L340</f>
        <v/>
      </c>
      <c r="N340" s="3">
        <f>IF(J340&gt;0, 1, 0)</f>
        <v/>
      </c>
      <c r="O340" s="3">
        <f>IF(J340&lt;0, 1, 0)</f>
        <v/>
      </c>
      <c r="P340" s="3">
        <f>SUM($J$3:J340)</f>
        <v/>
      </c>
      <c r="Q340" s="3">
        <f>P340/METRICS!$C$14*100</f>
        <v/>
      </c>
      <c r="R340" s="3">
        <f>METRICS!$C$14+P340</f>
        <v/>
      </c>
      <c r="S340" s="3">
        <f>MAX($R$3:R340)</f>
        <v/>
      </c>
      <c r="T340" s="3">
        <f>R340-S340</f>
        <v/>
      </c>
      <c r="U340" s="3">
        <f>(R340-S340)/S340*100</f>
        <v/>
      </c>
      <c r="V340" s="3">
        <f>IF(K340&lt;0, (K340/100)^2, 0)</f>
        <v/>
      </c>
    </row>
    <row r="341">
      <c r="A341" s="3">
        <f>TEXT(339, """T""0000")</f>
        <v/>
      </c>
      <c r="B341" s="3">
        <f>RAW_INPUT!A341</f>
        <v/>
      </c>
      <c r="C341" s="3">
        <f>RAW_INPUT!B341</f>
        <v/>
      </c>
      <c r="D341" s="3">
        <f>RAW_INPUT!D341</f>
        <v/>
      </c>
      <c r="E341" s="3">
        <f>D341-C341</f>
        <v/>
      </c>
      <c r="F341" s="3">
        <f>RAW_INPUT!C341</f>
        <v/>
      </c>
      <c r="G341" s="3">
        <f>RAW_INPUT!E341</f>
        <v/>
      </c>
      <c r="H341" s="3">
        <f>I341/F341</f>
        <v/>
      </c>
      <c r="I341" s="3">
        <f>METRICS!$C$14 * 0.02</f>
        <v/>
      </c>
      <c r="J341" s="3">
        <f>(G341-F341)*H341</f>
        <v/>
      </c>
      <c r="K341" s="3">
        <f>(G341-F341)/F341*100</f>
        <v/>
      </c>
      <c r="L341" s="3">
        <f>RAW_INPUT!F341</f>
        <v/>
      </c>
      <c r="M341" s="3">
        <f>K341-L341</f>
        <v/>
      </c>
      <c r="N341" s="3">
        <f>IF(J341&gt;0, 1, 0)</f>
        <v/>
      </c>
      <c r="O341" s="3">
        <f>IF(J341&lt;0, 1, 0)</f>
        <v/>
      </c>
      <c r="P341" s="3">
        <f>SUM($J$3:J341)</f>
        <v/>
      </c>
      <c r="Q341" s="3">
        <f>P341/METRICS!$C$14*100</f>
        <v/>
      </c>
      <c r="R341" s="3">
        <f>METRICS!$C$14+P341</f>
        <v/>
      </c>
      <c r="S341" s="3">
        <f>MAX($R$3:R341)</f>
        <v/>
      </c>
      <c r="T341" s="3">
        <f>R341-S341</f>
        <v/>
      </c>
      <c r="U341" s="3">
        <f>(R341-S341)/S341*100</f>
        <v/>
      </c>
      <c r="V341" s="3">
        <f>IF(K341&lt;0, (K341/100)^2, 0)</f>
        <v/>
      </c>
    </row>
    <row r="342">
      <c r="A342" s="3">
        <f>TEXT(340, """T""0000")</f>
        <v/>
      </c>
      <c r="B342" s="3">
        <f>RAW_INPUT!A342</f>
        <v/>
      </c>
      <c r="C342" s="3">
        <f>RAW_INPUT!B342</f>
        <v/>
      </c>
      <c r="D342" s="3">
        <f>RAW_INPUT!D342</f>
        <v/>
      </c>
      <c r="E342" s="3">
        <f>D342-C342</f>
        <v/>
      </c>
      <c r="F342" s="3">
        <f>RAW_INPUT!C342</f>
        <v/>
      </c>
      <c r="G342" s="3">
        <f>RAW_INPUT!E342</f>
        <v/>
      </c>
      <c r="H342" s="3">
        <f>I342/F342</f>
        <v/>
      </c>
      <c r="I342" s="3">
        <f>METRICS!$C$14 * 0.02</f>
        <v/>
      </c>
      <c r="J342" s="3">
        <f>(G342-F342)*H342</f>
        <v/>
      </c>
      <c r="K342" s="3">
        <f>(G342-F342)/F342*100</f>
        <v/>
      </c>
      <c r="L342" s="3">
        <f>RAW_INPUT!F342</f>
        <v/>
      </c>
      <c r="M342" s="3">
        <f>K342-L342</f>
        <v/>
      </c>
      <c r="N342" s="3">
        <f>IF(J342&gt;0, 1, 0)</f>
        <v/>
      </c>
      <c r="O342" s="3">
        <f>IF(J342&lt;0, 1, 0)</f>
        <v/>
      </c>
      <c r="P342" s="3">
        <f>SUM($J$3:J342)</f>
        <v/>
      </c>
      <c r="Q342" s="3">
        <f>P342/METRICS!$C$14*100</f>
        <v/>
      </c>
      <c r="R342" s="3">
        <f>METRICS!$C$14+P342</f>
        <v/>
      </c>
      <c r="S342" s="3">
        <f>MAX($R$3:R342)</f>
        <v/>
      </c>
      <c r="T342" s="3">
        <f>R342-S342</f>
        <v/>
      </c>
      <c r="U342" s="3">
        <f>(R342-S342)/S342*100</f>
        <v/>
      </c>
      <c r="V342" s="3">
        <f>IF(K342&lt;0, (K342/100)^2, 0)</f>
        <v/>
      </c>
    </row>
    <row r="343">
      <c r="A343" s="3">
        <f>TEXT(341, """T""0000")</f>
        <v/>
      </c>
      <c r="B343" s="3">
        <f>RAW_INPUT!A343</f>
        <v/>
      </c>
      <c r="C343" s="3">
        <f>RAW_INPUT!B343</f>
        <v/>
      </c>
      <c r="D343" s="3">
        <f>RAW_INPUT!D343</f>
        <v/>
      </c>
      <c r="E343" s="3">
        <f>D343-C343</f>
        <v/>
      </c>
      <c r="F343" s="3">
        <f>RAW_INPUT!C343</f>
        <v/>
      </c>
      <c r="G343" s="3">
        <f>RAW_INPUT!E343</f>
        <v/>
      </c>
      <c r="H343" s="3">
        <f>I343/F343</f>
        <v/>
      </c>
      <c r="I343" s="3">
        <f>METRICS!$C$14 * 0.02</f>
        <v/>
      </c>
      <c r="J343" s="3">
        <f>(G343-F343)*H343</f>
        <v/>
      </c>
      <c r="K343" s="3">
        <f>(G343-F343)/F343*100</f>
        <v/>
      </c>
      <c r="L343" s="3">
        <f>RAW_INPUT!F343</f>
        <v/>
      </c>
      <c r="M343" s="3">
        <f>K343-L343</f>
        <v/>
      </c>
      <c r="N343" s="3">
        <f>IF(J343&gt;0, 1, 0)</f>
        <v/>
      </c>
      <c r="O343" s="3">
        <f>IF(J343&lt;0, 1, 0)</f>
        <v/>
      </c>
      <c r="P343" s="3">
        <f>SUM($J$3:J343)</f>
        <v/>
      </c>
      <c r="Q343" s="3">
        <f>P343/METRICS!$C$14*100</f>
        <v/>
      </c>
      <c r="R343" s="3">
        <f>METRICS!$C$14+P343</f>
        <v/>
      </c>
      <c r="S343" s="3">
        <f>MAX($R$3:R343)</f>
        <v/>
      </c>
      <c r="T343" s="3">
        <f>R343-S343</f>
        <v/>
      </c>
      <c r="U343" s="3">
        <f>(R343-S343)/S343*100</f>
        <v/>
      </c>
      <c r="V343" s="3">
        <f>IF(K343&lt;0, (K343/100)^2, 0)</f>
        <v/>
      </c>
    </row>
    <row r="344">
      <c r="A344" s="3">
        <f>TEXT(342, """T""0000")</f>
        <v/>
      </c>
      <c r="B344" s="3">
        <f>RAW_INPUT!A344</f>
        <v/>
      </c>
      <c r="C344" s="3">
        <f>RAW_INPUT!B344</f>
        <v/>
      </c>
      <c r="D344" s="3">
        <f>RAW_INPUT!D344</f>
        <v/>
      </c>
      <c r="E344" s="3">
        <f>D344-C344</f>
        <v/>
      </c>
      <c r="F344" s="3">
        <f>RAW_INPUT!C344</f>
        <v/>
      </c>
      <c r="G344" s="3">
        <f>RAW_INPUT!E344</f>
        <v/>
      </c>
      <c r="H344" s="3">
        <f>I344/F344</f>
        <v/>
      </c>
      <c r="I344" s="3">
        <f>METRICS!$C$14 * 0.02</f>
        <v/>
      </c>
      <c r="J344" s="3">
        <f>(G344-F344)*H344</f>
        <v/>
      </c>
      <c r="K344" s="3">
        <f>(G344-F344)/F344*100</f>
        <v/>
      </c>
      <c r="L344" s="3">
        <f>RAW_INPUT!F344</f>
        <v/>
      </c>
      <c r="M344" s="3">
        <f>K344-L344</f>
        <v/>
      </c>
      <c r="N344" s="3">
        <f>IF(J344&gt;0, 1, 0)</f>
        <v/>
      </c>
      <c r="O344" s="3">
        <f>IF(J344&lt;0, 1, 0)</f>
        <v/>
      </c>
      <c r="P344" s="3">
        <f>SUM($J$3:J344)</f>
        <v/>
      </c>
      <c r="Q344" s="3">
        <f>P344/METRICS!$C$14*100</f>
        <v/>
      </c>
      <c r="R344" s="3">
        <f>METRICS!$C$14+P344</f>
        <v/>
      </c>
      <c r="S344" s="3">
        <f>MAX($R$3:R344)</f>
        <v/>
      </c>
      <c r="T344" s="3">
        <f>R344-S344</f>
        <v/>
      </c>
      <c r="U344" s="3">
        <f>(R344-S344)/S344*100</f>
        <v/>
      </c>
      <c r="V344" s="3">
        <f>IF(K344&lt;0, (K344/100)^2, 0)</f>
        <v/>
      </c>
    </row>
    <row r="345">
      <c r="A345" s="3">
        <f>TEXT(343, """T""0000")</f>
        <v/>
      </c>
      <c r="B345" s="3">
        <f>RAW_INPUT!A345</f>
        <v/>
      </c>
      <c r="C345" s="3">
        <f>RAW_INPUT!B345</f>
        <v/>
      </c>
      <c r="D345" s="3">
        <f>RAW_INPUT!D345</f>
        <v/>
      </c>
      <c r="E345" s="3">
        <f>D345-C345</f>
        <v/>
      </c>
      <c r="F345" s="3">
        <f>RAW_INPUT!C345</f>
        <v/>
      </c>
      <c r="G345" s="3">
        <f>RAW_INPUT!E345</f>
        <v/>
      </c>
      <c r="H345" s="3">
        <f>I345/F345</f>
        <v/>
      </c>
      <c r="I345" s="3">
        <f>METRICS!$C$14 * 0.02</f>
        <v/>
      </c>
      <c r="J345" s="3">
        <f>(G345-F345)*H345</f>
        <v/>
      </c>
      <c r="K345" s="3">
        <f>(G345-F345)/F345*100</f>
        <v/>
      </c>
      <c r="L345" s="3">
        <f>RAW_INPUT!F345</f>
        <v/>
      </c>
      <c r="M345" s="3">
        <f>K345-L345</f>
        <v/>
      </c>
      <c r="N345" s="3">
        <f>IF(J345&gt;0, 1, 0)</f>
        <v/>
      </c>
      <c r="O345" s="3">
        <f>IF(J345&lt;0, 1, 0)</f>
        <v/>
      </c>
      <c r="P345" s="3">
        <f>SUM($J$3:J345)</f>
        <v/>
      </c>
      <c r="Q345" s="3">
        <f>P345/METRICS!$C$14*100</f>
        <v/>
      </c>
      <c r="R345" s="3">
        <f>METRICS!$C$14+P345</f>
        <v/>
      </c>
      <c r="S345" s="3">
        <f>MAX($R$3:R345)</f>
        <v/>
      </c>
      <c r="T345" s="3">
        <f>R345-S345</f>
        <v/>
      </c>
      <c r="U345" s="3">
        <f>(R345-S345)/S345*100</f>
        <v/>
      </c>
      <c r="V345" s="3">
        <f>IF(K345&lt;0, (K345/100)^2, 0)</f>
        <v/>
      </c>
    </row>
    <row r="346">
      <c r="A346" s="3">
        <f>TEXT(344, """T""0000")</f>
        <v/>
      </c>
      <c r="B346" s="3">
        <f>RAW_INPUT!A346</f>
        <v/>
      </c>
      <c r="C346" s="3">
        <f>RAW_INPUT!B346</f>
        <v/>
      </c>
      <c r="D346" s="3">
        <f>RAW_INPUT!D346</f>
        <v/>
      </c>
      <c r="E346" s="3">
        <f>D346-C346</f>
        <v/>
      </c>
      <c r="F346" s="3">
        <f>RAW_INPUT!C346</f>
        <v/>
      </c>
      <c r="G346" s="3">
        <f>RAW_INPUT!E346</f>
        <v/>
      </c>
      <c r="H346" s="3">
        <f>I346/F346</f>
        <v/>
      </c>
      <c r="I346" s="3">
        <f>METRICS!$C$14 * 0.02</f>
        <v/>
      </c>
      <c r="J346" s="3">
        <f>(G346-F346)*H346</f>
        <v/>
      </c>
      <c r="K346" s="3">
        <f>(G346-F346)/F346*100</f>
        <v/>
      </c>
      <c r="L346" s="3">
        <f>RAW_INPUT!F346</f>
        <v/>
      </c>
      <c r="M346" s="3">
        <f>K346-L346</f>
        <v/>
      </c>
      <c r="N346" s="3">
        <f>IF(J346&gt;0, 1, 0)</f>
        <v/>
      </c>
      <c r="O346" s="3">
        <f>IF(J346&lt;0, 1, 0)</f>
        <v/>
      </c>
      <c r="P346" s="3">
        <f>SUM($J$3:J346)</f>
        <v/>
      </c>
      <c r="Q346" s="3">
        <f>P346/METRICS!$C$14*100</f>
        <v/>
      </c>
      <c r="R346" s="3">
        <f>METRICS!$C$14+P346</f>
        <v/>
      </c>
      <c r="S346" s="3">
        <f>MAX($R$3:R346)</f>
        <v/>
      </c>
      <c r="T346" s="3">
        <f>R346-S346</f>
        <v/>
      </c>
      <c r="U346" s="3">
        <f>(R346-S346)/S346*100</f>
        <v/>
      </c>
      <c r="V346" s="3">
        <f>IF(K346&lt;0, (K346/100)^2, 0)</f>
        <v/>
      </c>
    </row>
    <row r="347">
      <c r="A347" s="3">
        <f>TEXT(345, """T""0000")</f>
        <v/>
      </c>
      <c r="B347" s="3">
        <f>RAW_INPUT!A347</f>
        <v/>
      </c>
      <c r="C347" s="3">
        <f>RAW_INPUT!B347</f>
        <v/>
      </c>
      <c r="D347" s="3">
        <f>RAW_INPUT!D347</f>
        <v/>
      </c>
      <c r="E347" s="3">
        <f>D347-C347</f>
        <v/>
      </c>
      <c r="F347" s="3">
        <f>RAW_INPUT!C347</f>
        <v/>
      </c>
      <c r="G347" s="3">
        <f>RAW_INPUT!E347</f>
        <v/>
      </c>
      <c r="H347" s="3">
        <f>I347/F347</f>
        <v/>
      </c>
      <c r="I347" s="3">
        <f>METRICS!$C$14 * 0.02</f>
        <v/>
      </c>
      <c r="J347" s="3">
        <f>(G347-F347)*H347</f>
        <v/>
      </c>
      <c r="K347" s="3">
        <f>(G347-F347)/F347*100</f>
        <v/>
      </c>
      <c r="L347" s="3">
        <f>RAW_INPUT!F347</f>
        <v/>
      </c>
      <c r="M347" s="3">
        <f>K347-L347</f>
        <v/>
      </c>
      <c r="N347" s="3">
        <f>IF(J347&gt;0, 1, 0)</f>
        <v/>
      </c>
      <c r="O347" s="3">
        <f>IF(J347&lt;0, 1, 0)</f>
        <v/>
      </c>
      <c r="P347" s="3">
        <f>SUM($J$3:J347)</f>
        <v/>
      </c>
      <c r="Q347" s="3">
        <f>P347/METRICS!$C$14*100</f>
        <v/>
      </c>
      <c r="R347" s="3">
        <f>METRICS!$C$14+P347</f>
        <v/>
      </c>
      <c r="S347" s="3">
        <f>MAX($R$3:R347)</f>
        <v/>
      </c>
      <c r="T347" s="3">
        <f>R347-S347</f>
        <v/>
      </c>
      <c r="U347" s="3">
        <f>(R347-S347)/S347*100</f>
        <v/>
      </c>
      <c r="V347" s="3">
        <f>IF(K347&lt;0, (K347/100)^2, 0)</f>
        <v/>
      </c>
    </row>
    <row r="348">
      <c r="A348" s="3">
        <f>TEXT(346, """T""0000")</f>
        <v/>
      </c>
      <c r="B348" s="3">
        <f>RAW_INPUT!A348</f>
        <v/>
      </c>
      <c r="C348" s="3">
        <f>RAW_INPUT!B348</f>
        <v/>
      </c>
      <c r="D348" s="3">
        <f>RAW_INPUT!D348</f>
        <v/>
      </c>
      <c r="E348" s="3">
        <f>D348-C348</f>
        <v/>
      </c>
      <c r="F348" s="3">
        <f>RAW_INPUT!C348</f>
        <v/>
      </c>
      <c r="G348" s="3">
        <f>RAW_INPUT!E348</f>
        <v/>
      </c>
      <c r="H348" s="3">
        <f>I348/F348</f>
        <v/>
      </c>
      <c r="I348" s="3">
        <f>METRICS!$C$14 * 0.02</f>
        <v/>
      </c>
      <c r="J348" s="3">
        <f>(G348-F348)*H348</f>
        <v/>
      </c>
      <c r="K348" s="3">
        <f>(G348-F348)/F348*100</f>
        <v/>
      </c>
      <c r="L348" s="3">
        <f>RAW_INPUT!F348</f>
        <v/>
      </c>
      <c r="M348" s="3">
        <f>K348-L348</f>
        <v/>
      </c>
      <c r="N348" s="3">
        <f>IF(J348&gt;0, 1, 0)</f>
        <v/>
      </c>
      <c r="O348" s="3">
        <f>IF(J348&lt;0, 1, 0)</f>
        <v/>
      </c>
      <c r="P348" s="3">
        <f>SUM($J$3:J348)</f>
        <v/>
      </c>
      <c r="Q348" s="3">
        <f>P348/METRICS!$C$14*100</f>
        <v/>
      </c>
      <c r="R348" s="3">
        <f>METRICS!$C$14+P348</f>
        <v/>
      </c>
      <c r="S348" s="3">
        <f>MAX($R$3:R348)</f>
        <v/>
      </c>
      <c r="T348" s="3">
        <f>R348-S348</f>
        <v/>
      </c>
      <c r="U348" s="3">
        <f>(R348-S348)/S348*100</f>
        <v/>
      </c>
      <c r="V348" s="3">
        <f>IF(K348&lt;0, (K348/100)^2, 0)</f>
        <v/>
      </c>
    </row>
    <row r="349">
      <c r="A349" s="3">
        <f>TEXT(347, """T""0000")</f>
        <v/>
      </c>
      <c r="B349" s="3">
        <f>RAW_INPUT!A349</f>
        <v/>
      </c>
      <c r="C349" s="3">
        <f>RAW_INPUT!B349</f>
        <v/>
      </c>
      <c r="D349" s="3">
        <f>RAW_INPUT!D349</f>
        <v/>
      </c>
      <c r="E349" s="3">
        <f>D349-C349</f>
        <v/>
      </c>
      <c r="F349" s="3">
        <f>RAW_INPUT!C349</f>
        <v/>
      </c>
      <c r="G349" s="3">
        <f>RAW_INPUT!E349</f>
        <v/>
      </c>
      <c r="H349" s="3">
        <f>I349/F349</f>
        <v/>
      </c>
      <c r="I349" s="3">
        <f>METRICS!$C$14 * 0.02</f>
        <v/>
      </c>
      <c r="J349" s="3">
        <f>(G349-F349)*H349</f>
        <v/>
      </c>
      <c r="K349" s="3">
        <f>(G349-F349)/F349*100</f>
        <v/>
      </c>
      <c r="L349" s="3">
        <f>RAW_INPUT!F349</f>
        <v/>
      </c>
      <c r="M349" s="3">
        <f>K349-L349</f>
        <v/>
      </c>
      <c r="N349" s="3">
        <f>IF(J349&gt;0, 1, 0)</f>
        <v/>
      </c>
      <c r="O349" s="3">
        <f>IF(J349&lt;0, 1, 0)</f>
        <v/>
      </c>
      <c r="P349" s="3">
        <f>SUM($J$3:J349)</f>
        <v/>
      </c>
      <c r="Q349" s="3">
        <f>P349/METRICS!$C$14*100</f>
        <v/>
      </c>
      <c r="R349" s="3">
        <f>METRICS!$C$14+P349</f>
        <v/>
      </c>
      <c r="S349" s="3">
        <f>MAX($R$3:R349)</f>
        <v/>
      </c>
      <c r="T349" s="3">
        <f>R349-S349</f>
        <v/>
      </c>
      <c r="U349" s="3">
        <f>(R349-S349)/S349*100</f>
        <v/>
      </c>
      <c r="V349" s="3">
        <f>IF(K349&lt;0, (K349/100)^2, 0)</f>
        <v/>
      </c>
    </row>
    <row r="350">
      <c r="A350" s="3">
        <f>TEXT(348, """T""0000")</f>
        <v/>
      </c>
      <c r="B350" s="3">
        <f>RAW_INPUT!A350</f>
        <v/>
      </c>
      <c r="C350" s="3">
        <f>RAW_INPUT!B350</f>
        <v/>
      </c>
      <c r="D350" s="3">
        <f>RAW_INPUT!D350</f>
        <v/>
      </c>
      <c r="E350" s="3">
        <f>D350-C350</f>
        <v/>
      </c>
      <c r="F350" s="3">
        <f>RAW_INPUT!C350</f>
        <v/>
      </c>
      <c r="G350" s="3">
        <f>RAW_INPUT!E350</f>
        <v/>
      </c>
      <c r="H350" s="3">
        <f>I350/F350</f>
        <v/>
      </c>
      <c r="I350" s="3">
        <f>METRICS!$C$14 * 0.02</f>
        <v/>
      </c>
      <c r="J350" s="3">
        <f>(G350-F350)*H350</f>
        <v/>
      </c>
      <c r="K350" s="3">
        <f>(G350-F350)/F350*100</f>
        <v/>
      </c>
      <c r="L350" s="3">
        <f>RAW_INPUT!F350</f>
        <v/>
      </c>
      <c r="M350" s="3">
        <f>K350-L350</f>
        <v/>
      </c>
      <c r="N350" s="3">
        <f>IF(J350&gt;0, 1, 0)</f>
        <v/>
      </c>
      <c r="O350" s="3">
        <f>IF(J350&lt;0, 1, 0)</f>
        <v/>
      </c>
      <c r="P350" s="3">
        <f>SUM($J$3:J350)</f>
        <v/>
      </c>
      <c r="Q350" s="3">
        <f>P350/METRICS!$C$14*100</f>
        <v/>
      </c>
      <c r="R350" s="3">
        <f>METRICS!$C$14+P350</f>
        <v/>
      </c>
      <c r="S350" s="3">
        <f>MAX($R$3:R350)</f>
        <v/>
      </c>
      <c r="T350" s="3">
        <f>R350-S350</f>
        <v/>
      </c>
      <c r="U350" s="3">
        <f>(R350-S350)/S350*100</f>
        <v/>
      </c>
      <c r="V350" s="3">
        <f>IF(K350&lt;0, (K350/100)^2, 0)</f>
        <v/>
      </c>
    </row>
    <row r="351">
      <c r="A351" s="3">
        <f>TEXT(349, """T""0000")</f>
        <v/>
      </c>
      <c r="B351" s="3">
        <f>RAW_INPUT!A351</f>
        <v/>
      </c>
      <c r="C351" s="3">
        <f>RAW_INPUT!B351</f>
        <v/>
      </c>
      <c r="D351" s="3">
        <f>RAW_INPUT!D351</f>
        <v/>
      </c>
      <c r="E351" s="3">
        <f>D351-C351</f>
        <v/>
      </c>
      <c r="F351" s="3">
        <f>RAW_INPUT!C351</f>
        <v/>
      </c>
      <c r="G351" s="3">
        <f>RAW_INPUT!E351</f>
        <v/>
      </c>
      <c r="H351" s="3">
        <f>I351/F351</f>
        <v/>
      </c>
      <c r="I351" s="3">
        <f>METRICS!$C$14 * 0.02</f>
        <v/>
      </c>
      <c r="J351" s="3">
        <f>(G351-F351)*H351</f>
        <v/>
      </c>
      <c r="K351" s="3">
        <f>(G351-F351)/F351*100</f>
        <v/>
      </c>
      <c r="L351" s="3">
        <f>RAW_INPUT!F351</f>
        <v/>
      </c>
      <c r="M351" s="3">
        <f>K351-L351</f>
        <v/>
      </c>
      <c r="N351" s="3">
        <f>IF(J351&gt;0, 1, 0)</f>
        <v/>
      </c>
      <c r="O351" s="3">
        <f>IF(J351&lt;0, 1, 0)</f>
        <v/>
      </c>
      <c r="P351" s="3">
        <f>SUM($J$3:J351)</f>
        <v/>
      </c>
      <c r="Q351" s="3">
        <f>P351/METRICS!$C$14*100</f>
        <v/>
      </c>
      <c r="R351" s="3">
        <f>METRICS!$C$14+P351</f>
        <v/>
      </c>
      <c r="S351" s="3">
        <f>MAX($R$3:R351)</f>
        <v/>
      </c>
      <c r="T351" s="3">
        <f>R351-S351</f>
        <v/>
      </c>
      <c r="U351" s="3">
        <f>(R351-S351)/S351*100</f>
        <v/>
      </c>
      <c r="V351" s="3">
        <f>IF(K351&lt;0, (K351/100)^2, 0)</f>
        <v/>
      </c>
    </row>
    <row r="352">
      <c r="A352" s="3">
        <f>TEXT(350, """T""0000")</f>
        <v/>
      </c>
      <c r="B352" s="3">
        <f>RAW_INPUT!A352</f>
        <v/>
      </c>
      <c r="C352" s="3">
        <f>RAW_INPUT!B352</f>
        <v/>
      </c>
      <c r="D352" s="3">
        <f>RAW_INPUT!D352</f>
        <v/>
      </c>
      <c r="E352" s="3">
        <f>D352-C352</f>
        <v/>
      </c>
      <c r="F352" s="3">
        <f>RAW_INPUT!C352</f>
        <v/>
      </c>
      <c r="G352" s="3">
        <f>RAW_INPUT!E352</f>
        <v/>
      </c>
      <c r="H352" s="3">
        <f>I352/F352</f>
        <v/>
      </c>
      <c r="I352" s="3">
        <f>METRICS!$C$14 * 0.02</f>
        <v/>
      </c>
      <c r="J352" s="3">
        <f>(G352-F352)*H352</f>
        <v/>
      </c>
      <c r="K352" s="3">
        <f>(G352-F352)/F352*100</f>
        <v/>
      </c>
      <c r="L352" s="3">
        <f>RAW_INPUT!F352</f>
        <v/>
      </c>
      <c r="M352" s="3">
        <f>K352-L352</f>
        <v/>
      </c>
      <c r="N352" s="3">
        <f>IF(J352&gt;0, 1, 0)</f>
        <v/>
      </c>
      <c r="O352" s="3">
        <f>IF(J352&lt;0, 1, 0)</f>
        <v/>
      </c>
      <c r="P352" s="3">
        <f>SUM($J$3:J352)</f>
        <v/>
      </c>
      <c r="Q352" s="3">
        <f>P352/METRICS!$C$14*100</f>
        <v/>
      </c>
      <c r="R352" s="3">
        <f>METRICS!$C$14+P352</f>
        <v/>
      </c>
      <c r="S352" s="3">
        <f>MAX($R$3:R352)</f>
        <v/>
      </c>
      <c r="T352" s="3">
        <f>R352-S352</f>
        <v/>
      </c>
      <c r="U352" s="3">
        <f>(R352-S352)/S352*100</f>
        <v/>
      </c>
      <c r="V352" s="3">
        <f>IF(K352&lt;0, (K352/100)^2, 0)</f>
        <v/>
      </c>
    </row>
    <row r="353">
      <c r="A353" s="3">
        <f>TEXT(351, """T""0000")</f>
        <v/>
      </c>
      <c r="B353" s="3">
        <f>RAW_INPUT!A353</f>
        <v/>
      </c>
      <c r="C353" s="3">
        <f>RAW_INPUT!B353</f>
        <v/>
      </c>
      <c r="D353" s="3">
        <f>RAW_INPUT!D353</f>
        <v/>
      </c>
      <c r="E353" s="3">
        <f>D353-C353</f>
        <v/>
      </c>
      <c r="F353" s="3">
        <f>RAW_INPUT!C353</f>
        <v/>
      </c>
      <c r="G353" s="3">
        <f>RAW_INPUT!E353</f>
        <v/>
      </c>
      <c r="H353" s="3">
        <f>I353/F353</f>
        <v/>
      </c>
      <c r="I353" s="3">
        <f>METRICS!$C$14 * 0.02</f>
        <v/>
      </c>
      <c r="J353" s="3">
        <f>(G353-F353)*H353</f>
        <v/>
      </c>
      <c r="K353" s="3">
        <f>(G353-F353)/F353*100</f>
        <v/>
      </c>
      <c r="L353" s="3">
        <f>RAW_INPUT!F353</f>
        <v/>
      </c>
      <c r="M353" s="3">
        <f>K353-L353</f>
        <v/>
      </c>
      <c r="N353" s="3">
        <f>IF(J353&gt;0, 1, 0)</f>
        <v/>
      </c>
      <c r="O353" s="3">
        <f>IF(J353&lt;0, 1, 0)</f>
        <v/>
      </c>
      <c r="P353" s="3">
        <f>SUM($J$3:J353)</f>
        <v/>
      </c>
      <c r="Q353" s="3">
        <f>P353/METRICS!$C$14*100</f>
        <v/>
      </c>
      <c r="R353" s="3">
        <f>METRICS!$C$14+P353</f>
        <v/>
      </c>
      <c r="S353" s="3">
        <f>MAX($R$3:R353)</f>
        <v/>
      </c>
      <c r="T353" s="3">
        <f>R353-S353</f>
        <v/>
      </c>
      <c r="U353" s="3">
        <f>(R353-S353)/S353*100</f>
        <v/>
      </c>
      <c r="V353" s="3">
        <f>IF(K353&lt;0, (K353/100)^2, 0)</f>
        <v/>
      </c>
    </row>
    <row r="354">
      <c r="A354" s="3">
        <f>TEXT(352, """T""0000")</f>
        <v/>
      </c>
      <c r="B354" s="3">
        <f>RAW_INPUT!A354</f>
        <v/>
      </c>
      <c r="C354" s="3">
        <f>RAW_INPUT!B354</f>
        <v/>
      </c>
      <c r="D354" s="3">
        <f>RAW_INPUT!D354</f>
        <v/>
      </c>
      <c r="E354" s="3">
        <f>D354-C354</f>
        <v/>
      </c>
      <c r="F354" s="3">
        <f>RAW_INPUT!C354</f>
        <v/>
      </c>
      <c r="G354" s="3">
        <f>RAW_INPUT!E354</f>
        <v/>
      </c>
      <c r="H354" s="3">
        <f>I354/F354</f>
        <v/>
      </c>
      <c r="I354" s="3">
        <f>METRICS!$C$14 * 0.02</f>
        <v/>
      </c>
      <c r="J354" s="3">
        <f>(G354-F354)*H354</f>
        <v/>
      </c>
      <c r="K354" s="3">
        <f>(G354-F354)/F354*100</f>
        <v/>
      </c>
      <c r="L354" s="3">
        <f>RAW_INPUT!F354</f>
        <v/>
      </c>
      <c r="M354" s="3">
        <f>K354-L354</f>
        <v/>
      </c>
      <c r="N354" s="3">
        <f>IF(J354&gt;0, 1, 0)</f>
        <v/>
      </c>
      <c r="O354" s="3">
        <f>IF(J354&lt;0, 1, 0)</f>
        <v/>
      </c>
      <c r="P354" s="3">
        <f>SUM($J$3:J354)</f>
        <v/>
      </c>
      <c r="Q354" s="3">
        <f>P354/METRICS!$C$14*100</f>
        <v/>
      </c>
      <c r="R354" s="3">
        <f>METRICS!$C$14+P354</f>
        <v/>
      </c>
      <c r="S354" s="3">
        <f>MAX($R$3:R354)</f>
        <v/>
      </c>
      <c r="T354" s="3">
        <f>R354-S354</f>
        <v/>
      </c>
      <c r="U354" s="3">
        <f>(R354-S354)/S354*100</f>
        <v/>
      </c>
      <c r="V354" s="3">
        <f>IF(K354&lt;0, (K354/100)^2, 0)</f>
        <v/>
      </c>
    </row>
    <row r="355">
      <c r="A355" s="3">
        <f>TEXT(353, """T""0000")</f>
        <v/>
      </c>
      <c r="B355" s="3">
        <f>RAW_INPUT!A355</f>
        <v/>
      </c>
      <c r="C355" s="3">
        <f>RAW_INPUT!B355</f>
        <v/>
      </c>
      <c r="D355" s="3">
        <f>RAW_INPUT!D355</f>
        <v/>
      </c>
      <c r="E355" s="3">
        <f>D355-C355</f>
        <v/>
      </c>
      <c r="F355" s="3">
        <f>RAW_INPUT!C355</f>
        <v/>
      </c>
      <c r="G355" s="3">
        <f>RAW_INPUT!E355</f>
        <v/>
      </c>
      <c r="H355" s="3">
        <f>I355/F355</f>
        <v/>
      </c>
      <c r="I355" s="3">
        <f>METRICS!$C$14 * 0.02</f>
        <v/>
      </c>
      <c r="J355" s="3">
        <f>(G355-F355)*H355</f>
        <v/>
      </c>
      <c r="K355" s="3">
        <f>(G355-F355)/F355*100</f>
        <v/>
      </c>
      <c r="L355" s="3">
        <f>RAW_INPUT!F355</f>
        <v/>
      </c>
      <c r="M355" s="3">
        <f>K355-L355</f>
        <v/>
      </c>
      <c r="N355" s="3">
        <f>IF(J355&gt;0, 1, 0)</f>
        <v/>
      </c>
      <c r="O355" s="3">
        <f>IF(J355&lt;0, 1, 0)</f>
        <v/>
      </c>
      <c r="P355" s="3">
        <f>SUM($J$3:J355)</f>
        <v/>
      </c>
      <c r="Q355" s="3">
        <f>P355/METRICS!$C$14*100</f>
        <v/>
      </c>
      <c r="R355" s="3">
        <f>METRICS!$C$14+P355</f>
        <v/>
      </c>
      <c r="S355" s="3">
        <f>MAX($R$3:R355)</f>
        <v/>
      </c>
      <c r="T355" s="3">
        <f>R355-S355</f>
        <v/>
      </c>
      <c r="U355" s="3">
        <f>(R355-S355)/S355*100</f>
        <v/>
      </c>
      <c r="V355" s="3">
        <f>IF(K355&lt;0, (K355/100)^2, 0)</f>
        <v/>
      </c>
    </row>
    <row r="356">
      <c r="A356" s="3">
        <f>TEXT(354, """T""0000")</f>
        <v/>
      </c>
      <c r="B356" s="3">
        <f>RAW_INPUT!A356</f>
        <v/>
      </c>
      <c r="C356" s="3">
        <f>RAW_INPUT!B356</f>
        <v/>
      </c>
      <c r="D356" s="3">
        <f>RAW_INPUT!D356</f>
        <v/>
      </c>
      <c r="E356" s="3">
        <f>D356-C356</f>
        <v/>
      </c>
      <c r="F356" s="3">
        <f>RAW_INPUT!C356</f>
        <v/>
      </c>
      <c r="G356" s="3">
        <f>RAW_INPUT!E356</f>
        <v/>
      </c>
      <c r="H356" s="3">
        <f>I356/F356</f>
        <v/>
      </c>
      <c r="I356" s="3">
        <f>METRICS!$C$14 * 0.02</f>
        <v/>
      </c>
      <c r="J356" s="3">
        <f>(G356-F356)*H356</f>
        <v/>
      </c>
      <c r="K356" s="3">
        <f>(G356-F356)/F356*100</f>
        <v/>
      </c>
      <c r="L356" s="3">
        <f>RAW_INPUT!F356</f>
        <v/>
      </c>
      <c r="M356" s="3">
        <f>K356-L356</f>
        <v/>
      </c>
      <c r="N356" s="3">
        <f>IF(J356&gt;0, 1, 0)</f>
        <v/>
      </c>
      <c r="O356" s="3">
        <f>IF(J356&lt;0, 1, 0)</f>
        <v/>
      </c>
      <c r="P356" s="3">
        <f>SUM($J$3:J356)</f>
        <v/>
      </c>
      <c r="Q356" s="3">
        <f>P356/METRICS!$C$14*100</f>
        <v/>
      </c>
      <c r="R356" s="3">
        <f>METRICS!$C$14+P356</f>
        <v/>
      </c>
      <c r="S356" s="3">
        <f>MAX($R$3:R356)</f>
        <v/>
      </c>
      <c r="T356" s="3">
        <f>R356-S356</f>
        <v/>
      </c>
      <c r="U356" s="3">
        <f>(R356-S356)/S356*100</f>
        <v/>
      </c>
      <c r="V356" s="3">
        <f>IF(K356&lt;0, (K356/100)^2, 0)</f>
        <v/>
      </c>
    </row>
    <row r="357">
      <c r="A357" s="3">
        <f>TEXT(355, """T""0000")</f>
        <v/>
      </c>
      <c r="B357" s="3">
        <f>RAW_INPUT!A357</f>
        <v/>
      </c>
      <c r="C357" s="3">
        <f>RAW_INPUT!B357</f>
        <v/>
      </c>
      <c r="D357" s="3">
        <f>RAW_INPUT!D357</f>
        <v/>
      </c>
      <c r="E357" s="3">
        <f>D357-C357</f>
        <v/>
      </c>
      <c r="F357" s="3">
        <f>RAW_INPUT!C357</f>
        <v/>
      </c>
      <c r="G357" s="3">
        <f>RAW_INPUT!E357</f>
        <v/>
      </c>
      <c r="H357" s="3">
        <f>I357/F357</f>
        <v/>
      </c>
      <c r="I357" s="3">
        <f>METRICS!$C$14 * 0.02</f>
        <v/>
      </c>
      <c r="J357" s="3">
        <f>(G357-F357)*H357</f>
        <v/>
      </c>
      <c r="K357" s="3">
        <f>(G357-F357)/F357*100</f>
        <v/>
      </c>
      <c r="L357" s="3">
        <f>RAW_INPUT!F357</f>
        <v/>
      </c>
      <c r="M357" s="3">
        <f>K357-L357</f>
        <v/>
      </c>
      <c r="N357" s="3">
        <f>IF(J357&gt;0, 1, 0)</f>
        <v/>
      </c>
      <c r="O357" s="3">
        <f>IF(J357&lt;0, 1, 0)</f>
        <v/>
      </c>
      <c r="P357" s="3">
        <f>SUM($J$3:J357)</f>
        <v/>
      </c>
      <c r="Q357" s="3">
        <f>P357/METRICS!$C$14*100</f>
        <v/>
      </c>
      <c r="R357" s="3">
        <f>METRICS!$C$14+P357</f>
        <v/>
      </c>
      <c r="S357" s="3">
        <f>MAX($R$3:R357)</f>
        <v/>
      </c>
      <c r="T357" s="3">
        <f>R357-S357</f>
        <v/>
      </c>
      <c r="U357" s="3">
        <f>(R357-S357)/S357*100</f>
        <v/>
      </c>
      <c r="V357" s="3">
        <f>IF(K357&lt;0, (K357/100)^2, 0)</f>
        <v/>
      </c>
    </row>
    <row r="358">
      <c r="A358" s="3">
        <f>TEXT(356, """T""0000")</f>
        <v/>
      </c>
      <c r="B358" s="3">
        <f>RAW_INPUT!A358</f>
        <v/>
      </c>
      <c r="C358" s="3">
        <f>RAW_INPUT!B358</f>
        <v/>
      </c>
      <c r="D358" s="3">
        <f>RAW_INPUT!D358</f>
        <v/>
      </c>
      <c r="E358" s="3">
        <f>D358-C358</f>
        <v/>
      </c>
      <c r="F358" s="3">
        <f>RAW_INPUT!C358</f>
        <v/>
      </c>
      <c r="G358" s="3">
        <f>RAW_INPUT!E358</f>
        <v/>
      </c>
      <c r="H358" s="3">
        <f>I358/F358</f>
        <v/>
      </c>
      <c r="I358" s="3">
        <f>METRICS!$C$14 * 0.02</f>
        <v/>
      </c>
      <c r="J358" s="3">
        <f>(G358-F358)*H358</f>
        <v/>
      </c>
      <c r="K358" s="3">
        <f>(G358-F358)/F358*100</f>
        <v/>
      </c>
      <c r="L358" s="3">
        <f>RAW_INPUT!F358</f>
        <v/>
      </c>
      <c r="M358" s="3">
        <f>K358-L358</f>
        <v/>
      </c>
      <c r="N358" s="3">
        <f>IF(J358&gt;0, 1, 0)</f>
        <v/>
      </c>
      <c r="O358" s="3">
        <f>IF(J358&lt;0, 1, 0)</f>
        <v/>
      </c>
      <c r="P358" s="3">
        <f>SUM($J$3:J358)</f>
        <v/>
      </c>
      <c r="Q358" s="3">
        <f>P358/METRICS!$C$14*100</f>
        <v/>
      </c>
      <c r="R358" s="3">
        <f>METRICS!$C$14+P358</f>
        <v/>
      </c>
      <c r="S358" s="3">
        <f>MAX($R$3:R358)</f>
        <v/>
      </c>
      <c r="T358" s="3">
        <f>R358-S358</f>
        <v/>
      </c>
      <c r="U358" s="3">
        <f>(R358-S358)/S358*100</f>
        <v/>
      </c>
      <c r="V358" s="3">
        <f>IF(K358&lt;0, (K358/100)^2, 0)</f>
        <v/>
      </c>
    </row>
    <row r="359">
      <c r="A359" s="3">
        <f>TEXT(357, """T""0000")</f>
        <v/>
      </c>
      <c r="B359" s="3">
        <f>RAW_INPUT!A359</f>
        <v/>
      </c>
      <c r="C359" s="3">
        <f>RAW_INPUT!B359</f>
        <v/>
      </c>
      <c r="D359" s="3">
        <f>RAW_INPUT!D359</f>
        <v/>
      </c>
      <c r="E359" s="3">
        <f>D359-C359</f>
        <v/>
      </c>
      <c r="F359" s="3">
        <f>RAW_INPUT!C359</f>
        <v/>
      </c>
      <c r="G359" s="3">
        <f>RAW_INPUT!E359</f>
        <v/>
      </c>
      <c r="H359" s="3">
        <f>I359/F359</f>
        <v/>
      </c>
      <c r="I359" s="3">
        <f>METRICS!$C$14 * 0.02</f>
        <v/>
      </c>
      <c r="J359" s="3">
        <f>(G359-F359)*H359</f>
        <v/>
      </c>
      <c r="K359" s="3">
        <f>(G359-F359)/F359*100</f>
        <v/>
      </c>
      <c r="L359" s="3">
        <f>RAW_INPUT!F359</f>
        <v/>
      </c>
      <c r="M359" s="3">
        <f>K359-L359</f>
        <v/>
      </c>
      <c r="N359" s="3">
        <f>IF(J359&gt;0, 1, 0)</f>
        <v/>
      </c>
      <c r="O359" s="3">
        <f>IF(J359&lt;0, 1, 0)</f>
        <v/>
      </c>
      <c r="P359" s="3">
        <f>SUM($J$3:J359)</f>
        <v/>
      </c>
      <c r="Q359" s="3">
        <f>P359/METRICS!$C$14*100</f>
        <v/>
      </c>
      <c r="R359" s="3">
        <f>METRICS!$C$14+P359</f>
        <v/>
      </c>
      <c r="S359" s="3">
        <f>MAX($R$3:R359)</f>
        <v/>
      </c>
      <c r="T359" s="3">
        <f>R359-S359</f>
        <v/>
      </c>
      <c r="U359" s="3">
        <f>(R359-S359)/S359*100</f>
        <v/>
      </c>
      <c r="V359" s="3">
        <f>IF(K359&lt;0, (K359/100)^2, 0)</f>
        <v/>
      </c>
    </row>
    <row r="360">
      <c r="A360" s="3">
        <f>TEXT(358, """T""0000")</f>
        <v/>
      </c>
      <c r="B360" s="3">
        <f>RAW_INPUT!A360</f>
        <v/>
      </c>
      <c r="C360" s="3">
        <f>RAW_INPUT!B360</f>
        <v/>
      </c>
      <c r="D360" s="3">
        <f>RAW_INPUT!D360</f>
        <v/>
      </c>
      <c r="E360" s="3">
        <f>D360-C360</f>
        <v/>
      </c>
      <c r="F360" s="3">
        <f>RAW_INPUT!C360</f>
        <v/>
      </c>
      <c r="G360" s="3">
        <f>RAW_INPUT!E360</f>
        <v/>
      </c>
      <c r="H360" s="3">
        <f>I360/F360</f>
        <v/>
      </c>
      <c r="I360" s="3">
        <f>METRICS!$C$14 * 0.02</f>
        <v/>
      </c>
      <c r="J360" s="3">
        <f>(G360-F360)*H360</f>
        <v/>
      </c>
      <c r="K360" s="3">
        <f>(G360-F360)/F360*100</f>
        <v/>
      </c>
      <c r="L360" s="3">
        <f>RAW_INPUT!F360</f>
        <v/>
      </c>
      <c r="M360" s="3">
        <f>K360-L360</f>
        <v/>
      </c>
      <c r="N360" s="3">
        <f>IF(J360&gt;0, 1, 0)</f>
        <v/>
      </c>
      <c r="O360" s="3">
        <f>IF(J360&lt;0, 1, 0)</f>
        <v/>
      </c>
      <c r="P360" s="3">
        <f>SUM($J$3:J360)</f>
        <v/>
      </c>
      <c r="Q360" s="3">
        <f>P360/METRICS!$C$14*100</f>
        <v/>
      </c>
      <c r="R360" s="3">
        <f>METRICS!$C$14+P360</f>
        <v/>
      </c>
      <c r="S360" s="3">
        <f>MAX($R$3:R360)</f>
        <v/>
      </c>
      <c r="T360" s="3">
        <f>R360-S360</f>
        <v/>
      </c>
      <c r="U360" s="3">
        <f>(R360-S360)/S360*100</f>
        <v/>
      </c>
      <c r="V360" s="3">
        <f>IF(K360&lt;0, (K360/100)^2, 0)</f>
        <v/>
      </c>
    </row>
    <row r="361">
      <c r="A361" s="3">
        <f>TEXT(359, """T""0000")</f>
        <v/>
      </c>
      <c r="B361" s="3">
        <f>RAW_INPUT!A361</f>
        <v/>
      </c>
      <c r="C361" s="3">
        <f>RAW_INPUT!B361</f>
        <v/>
      </c>
      <c r="D361" s="3">
        <f>RAW_INPUT!D361</f>
        <v/>
      </c>
      <c r="E361" s="3">
        <f>D361-C361</f>
        <v/>
      </c>
      <c r="F361" s="3">
        <f>RAW_INPUT!C361</f>
        <v/>
      </c>
      <c r="G361" s="3">
        <f>RAW_INPUT!E361</f>
        <v/>
      </c>
      <c r="H361" s="3">
        <f>I361/F361</f>
        <v/>
      </c>
      <c r="I361" s="3">
        <f>METRICS!$C$14 * 0.02</f>
        <v/>
      </c>
      <c r="J361" s="3">
        <f>(G361-F361)*H361</f>
        <v/>
      </c>
      <c r="K361" s="3">
        <f>(G361-F361)/F361*100</f>
        <v/>
      </c>
      <c r="L361" s="3">
        <f>RAW_INPUT!F361</f>
        <v/>
      </c>
      <c r="M361" s="3">
        <f>K361-L361</f>
        <v/>
      </c>
      <c r="N361" s="3">
        <f>IF(J361&gt;0, 1, 0)</f>
        <v/>
      </c>
      <c r="O361" s="3">
        <f>IF(J361&lt;0, 1, 0)</f>
        <v/>
      </c>
      <c r="P361" s="3">
        <f>SUM($J$3:J361)</f>
        <v/>
      </c>
      <c r="Q361" s="3">
        <f>P361/METRICS!$C$14*100</f>
        <v/>
      </c>
      <c r="R361" s="3">
        <f>METRICS!$C$14+P361</f>
        <v/>
      </c>
      <c r="S361" s="3">
        <f>MAX($R$3:R361)</f>
        <v/>
      </c>
      <c r="T361" s="3">
        <f>R361-S361</f>
        <v/>
      </c>
      <c r="U361" s="3">
        <f>(R361-S361)/S361*100</f>
        <v/>
      </c>
      <c r="V361" s="3">
        <f>IF(K361&lt;0, (K361/100)^2, 0)</f>
        <v/>
      </c>
    </row>
    <row r="362">
      <c r="A362" s="3">
        <f>TEXT(360, """T""0000")</f>
        <v/>
      </c>
      <c r="B362" s="3">
        <f>RAW_INPUT!A362</f>
        <v/>
      </c>
      <c r="C362" s="3">
        <f>RAW_INPUT!B362</f>
        <v/>
      </c>
      <c r="D362" s="3">
        <f>RAW_INPUT!D362</f>
        <v/>
      </c>
      <c r="E362" s="3">
        <f>D362-C362</f>
        <v/>
      </c>
      <c r="F362" s="3">
        <f>RAW_INPUT!C362</f>
        <v/>
      </c>
      <c r="G362" s="3">
        <f>RAW_INPUT!E362</f>
        <v/>
      </c>
      <c r="H362" s="3">
        <f>I362/F362</f>
        <v/>
      </c>
      <c r="I362" s="3">
        <f>METRICS!$C$14 * 0.02</f>
        <v/>
      </c>
      <c r="J362" s="3">
        <f>(G362-F362)*H362</f>
        <v/>
      </c>
      <c r="K362" s="3">
        <f>(G362-F362)/F362*100</f>
        <v/>
      </c>
      <c r="L362" s="3">
        <f>RAW_INPUT!F362</f>
        <v/>
      </c>
      <c r="M362" s="3">
        <f>K362-L362</f>
        <v/>
      </c>
      <c r="N362" s="3">
        <f>IF(J362&gt;0, 1, 0)</f>
        <v/>
      </c>
      <c r="O362" s="3">
        <f>IF(J362&lt;0, 1, 0)</f>
        <v/>
      </c>
      <c r="P362" s="3">
        <f>SUM($J$3:J362)</f>
        <v/>
      </c>
      <c r="Q362" s="3">
        <f>P362/METRICS!$C$14*100</f>
        <v/>
      </c>
      <c r="R362" s="3">
        <f>METRICS!$C$14+P362</f>
        <v/>
      </c>
      <c r="S362" s="3">
        <f>MAX($R$3:R362)</f>
        <v/>
      </c>
      <c r="T362" s="3">
        <f>R362-S362</f>
        <v/>
      </c>
      <c r="U362" s="3">
        <f>(R362-S362)/S362*100</f>
        <v/>
      </c>
      <c r="V362" s="3">
        <f>IF(K362&lt;0, (K362/100)^2, 0)</f>
        <v/>
      </c>
    </row>
    <row r="363">
      <c r="A363" s="3">
        <f>TEXT(361, """T""0000")</f>
        <v/>
      </c>
      <c r="B363" s="3">
        <f>RAW_INPUT!A363</f>
        <v/>
      </c>
      <c r="C363" s="3">
        <f>RAW_INPUT!B363</f>
        <v/>
      </c>
      <c r="D363" s="3">
        <f>RAW_INPUT!D363</f>
        <v/>
      </c>
      <c r="E363" s="3">
        <f>D363-C363</f>
        <v/>
      </c>
      <c r="F363" s="3">
        <f>RAW_INPUT!C363</f>
        <v/>
      </c>
      <c r="G363" s="3">
        <f>RAW_INPUT!E363</f>
        <v/>
      </c>
      <c r="H363" s="3">
        <f>I363/F363</f>
        <v/>
      </c>
      <c r="I363" s="3">
        <f>METRICS!$C$14 * 0.02</f>
        <v/>
      </c>
      <c r="J363" s="3">
        <f>(G363-F363)*H363</f>
        <v/>
      </c>
      <c r="K363" s="3">
        <f>(G363-F363)/F363*100</f>
        <v/>
      </c>
      <c r="L363" s="3">
        <f>RAW_INPUT!F363</f>
        <v/>
      </c>
      <c r="M363" s="3">
        <f>K363-L363</f>
        <v/>
      </c>
      <c r="N363" s="3">
        <f>IF(J363&gt;0, 1, 0)</f>
        <v/>
      </c>
      <c r="O363" s="3">
        <f>IF(J363&lt;0, 1, 0)</f>
        <v/>
      </c>
      <c r="P363" s="3">
        <f>SUM($J$3:J363)</f>
        <v/>
      </c>
      <c r="Q363" s="3">
        <f>P363/METRICS!$C$14*100</f>
        <v/>
      </c>
      <c r="R363" s="3">
        <f>METRICS!$C$14+P363</f>
        <v/>
      </c>
      <c r="S363" s="3">
        <f>MAX($R$3:R363)</f>
        <v/>
      </c>
      <c r="T363" s="3">
        <f>R363-S363</f>
        <v/>
      </c>
      <c r="U363" s="3">
        <f>(R363-S363)/S363*100</f>
        <v/>
      </c>
      <c r="V363" s="3">
        <f>IF(K363&lt;0, (K363/100)^2, 0)</f>
        <v/>
      </c>
    </row>
    <row r="364">
      <c r="A364" s="3">
        <f>TEXT(362, """T""0000")</f>
        <v/>
      </c>
      <c r="B364" s="3">
        <f>RAW_INPUT!A364</f>
        <v/>
      </c>
      <c r="C364" s="3">
        <f>RAW_INPUT!B364</f>
        <v/>
      </c>
      <c r="D364" s="3">
        <f>RAW_INPUT!D364</f>
        <v/>
      </c>
      <c r="E364" s="3">
        <f>D364-C364</f>
        <v/>
      </c>
      <c r="F364" s="3">
        <f>RAW_INPUT!C364</f>
        <v/>
      </c>
      <c r="G364" s="3">
        <f>RAW_INPUT!E364</f>
        <v/>
      </c>
      <c r="H364" s="3">
        <f>I364/F364</f>
        <v/>
      </c>
      <c r="I364" s="3">
        <f>METRICS!$C$14 * 0.02</f>
        <v/>
      </c>
      <c r="J364" s="3">
        <f>(G364-F364)*H364</f>
        <v/>
      </c>
      <c r="K364" s="3">
        <f>(G364-F364)/F364*100</f>
        <v/>
      </c>
      <c r="L364" s="3">
        <f>RAW_INPUT!F364</f>
        <v/>
      </c>
      <c r="M364" s="3">
        <f>K364-L364</f>
        <v/>
      </c>
      <c r="N364" s="3">
        <f>IF(J364&gt;0, 1, 0)</f>
        <v/>
      </c>
      <c r="O364" s="3">
        <f>IF(J364&lt;0, 1, 0)</f>
        <v/>
      </c>
      <c r="P364" s="3">
        <f>SUM($J$3:J364)</f>
        <v/>
      </c>
      <c r="Q364" s="3">
        <f>P364/METRICS!$C$14*100</f>
        <v/>
      </c>
      <c r="R364" s="3">
        <f>METRICS!$C$14+P364</f>
        <v/>
      </c>
      <c r="S364" s="3">
        <f>MAX($R$3:R364)</f>
        <v/>
      </c>
      <c r="T364" s="3">
        <f>R364-S364</f>
        <v/>
      </c>
      <c r="U364" s="3">
        <f>(R364-S364)/S364*100</f>
        <v/>
      </c>
      <c r="V364" s="3">
        <f>IF(K364&lt;0, (K364/100)^2, 0)</f>
        <v/>
      </c>
    </row>
    <row r="365">
      <c r="A365" s="3">
        <f>TEXT(363, """T""0000")</f>
        <v/>
      </c>
      <c r="B365" s="3">
        <f>RAW_INPUT!A365</f>
        <v/>
      </c>
      <c r="C365" s="3">
        <f>RAW_INPUT!B365</f>
        <v/>
      </c>
      <c r="D365" s="3">
        <f>RAW_INPUT!D365</f>
        <v/>
      </c>
      <c r="E365" s="3">
        <f>D365-C365</f>
        <v/>
      </c>
      <c r="F365" s="3">
        <f>RAW_INPUT!C365</f>
        <v/>
      </c>
      <c r="G365" s="3">
        <f>RAW_INPUT!E365</f>
        <v/>
      </c>
      <c r="H365" s="3">
        <f>I365/F365</f>
        <v/>
      </c>
      <c r="I365" s="3">
        <f>METRICS!$C$14 * 0.02</f>
        <v/>
      </c>
      <c r="J365" s="3">
        <f>(G365-F365)*H365</f>
        <v/>
      </c>
      <c r="K365" s="3">
        <f>(G365-F365)/F365*100</f>
        <v/>
      </c>
      <c r="L365" s="3">
        <f>RAW_INPUT!F365</f>
        <v/>
      </c>
      <c r="M365" s="3">
        <f>K365-L365</f>
        <v/>
      </c>
      <c r="N365" s="3">
        <f>IF(J365&gt;0, 1, 0)</f>
        <v/>
      </c>
      <c r="O365" s="3">
        <f>IF(J365&lt;0, 1, 0)</f>
        <v/>
      </c>
      <c r="P365" s="3">
        <f>SUM($J$3:J365)</f>
        <v/>
      </c>
      <c r="Q365" s="3">
        <f>P365/METRICS!$C$14*100</f>
        <v/>
      </c>
      <c r="R365" s="3">
        <f>METRICS!$C$14+P365</f>
        <v/>
      </c>
      <c r="S365" s="3">
        <f>MAX($R$3:R365)</f>
        <v/>
      </c>
      <c r="T365" s="3">
        <f>R365-S365</f>
        <v/>
      </c>
      <c r="U365" s="3">
        <f>(R365-S365)/S365*100</f>
        <v/>
      </c>
      <c r="V365" s="3">
        <f>IF(K365&lt;0, (K365/100)^2, 0)</f>
        <v/>
      </c>
    </row>
    <row r="366">
      <c r="A366" s="3">
        <f>TEXT(364, """T""0000")</f>
        <v/>
      </c>
      <c r="B366" s="3">
        <f>RAW_INPUT!A366</f>
        <v/>
      </c>
      <c r="C366" s="3">
        <f>RAW_INPUT!B366</f>
        <v/>
      </c>
      <c r="D366" s="3">
        <f>RAW_INPUT!D366</f>
        <v/>
      </c>
      <c r="E366" s="3">
        <f>D366-C366</f>
        <v/>
      </c>
      <c r="F366" s="3">
        <f>RAW_INPUT!C366</f>
        <v/>
      </c>
      <c r="G366" s="3">
        <f>RAW_INPUT!E366</f>
        <v/>
      </c>
      <c r="H366" s="3">
        <f>I366/F366</f>
        <v/>
      </c>
      <c r="I366" s="3">
        <f>METRICS!$C$14 * 0.02</f>
        <v/>
      </c>
      <c r="J366" s="3">
        <f>(G366-F366)*H366</f>
        <v/>
      </c>
      <c r="K366" s="3">
        <f>(G366-F366)/F366*100</f>
        <v/>
      </c>
      <c r="L366" s="3">
        <f>RAW_INPUT!F366</f>
        <v/>
      </c>
      <c r="M366" s="3">
        <f>K366-L366</f>
        <v/>
      </c>
      <c r="N366" s="3">
        <f>IF(J366&gt;0, 1, 0)</f>
        <v/>
      </c>
      <c r="O366" s="3">
        <f>IF(J366&lt;0, 1, 0)</f>
        <v/>
      </c>
      <c r="P366" s="3">
        <f>SUM($J$3:J366)</f>
        <v/>
      </c>
      <c r="Q366" s="3">
        <f>P366/METRICS!$C$14*100</f>
        <v/>
      </c>
      <c r="R366" s="3">
        <f>METRICS!$C$14+P366</f>
        <v/>
      </c>
      <c r="S366" s="3">
        <f>MAX($R$3:R366)</f>
        <v/>
      </c>
      <c r="T366" s="3">
        <f>R366-S366</f>
        <v/>
      </c>
      <c r="U366" s="3">
        <f>(R366-S366)/S366*100</f>
        <v/>
      </c>
      <c r="V366" s="3">
        <f>IF(K366&lt;0, (K366/100)^2, 0)</f>
        <v/>
      </c>
    </row>
    <row r="367">
      <c r="A367" s="3">
        <f>TEXT(365, """T""0000")</f>
        <v/>
      </c>
      <c r="B367" s="3">
        <f>RAW_INPUT!A367</f>
        <v/>
      </c>
      <c r="C367" s="3">
        <f>RAW_INPUT!B367</f>
        <v/>
      </c>
      <c r="D367" s="3">
        <f>RAW_INPUT!D367</f>
        <v/>
      </c>
      <c r="E367" s="3">
        <f>D367-C367</f>
        <v/>
      </c>
      <c r="F367" s="3">
        <f>RAW_INPUT!C367</f>
        <v/>
      </c>
      <c r="G367" s="3">
        <f>RAW_INPUT!E367</f>
        <v/>
      </c>
      <c r="H367" s="3">
        <f>I367/F367</f>
        <v/>
      </c>
      <c r="I367" s="3">
        <f>METRICS!$C$14 * 0.02</f>
        <v/>
      </c>
      <c r="J367" s="3">
        <f>(G367-F367)*H367</f>
        <v/>
      </c>
      <c r="K367" s="3">
        <f>(G367-F367)/F367*100</f>
        <v/>
      </c>
      <c r="L367" s="3">
        <f>RAW_INPUT!F367</f>
        <v/>
      </c>
      <c r="M367" s="3">
        <f>K367-L367</f>
        <v/>
      </c>
      <c r="N367" s="3">
        <f>IF(J367&gt;0, 1, 0)</f>
        <v/>
      </c>
      <c r="O367" s="3">
        <f>IF(J367&lt;0, 1, 0)</f>
        <v/>
      </c>
      <c r="P367" s="3">
        <f>SUM($J$3:J367)</f>
        <v/>
      </c>
      <c r="Q367" s="3">
        <f>P367/METRICS!$C$14*100</f>
        <v/>
      </c>
      <c r="R367" s="3">
        <f>METRICS!$C$14+P367</f>
        <v/>
      </c>
      <c r="S367" s="3">
        <f>MAX($R$3:R367)</f>
        <v/>
      </c>
      <c r="T367" s="3">
        <f>R367-S367</f>
        <v/>
      </c>
      <c r="U367" s="3">
        <f>(R367-S367)/S367*100</f>
        <v/>
      </c>
      <c r="V367" s="3">
        <f>IF(K367&lt;0, (K367/100)^2, 0)</f>
        <v/>
      </c>
    </row>
    <row r="368">
      <c r="A368" s="3">
        <f>TEXT(366, """T""0000")</f>
        <v/>
      </c>
      <c r="B368" s="3">
        <f>RAW_INPUT!A368</f>
        <v/>
      </c>
      <c r="C368" s="3">
        <f>RAW_INPUT!B368</f>
        <v/>
      </c>
      <c r="D368" s="3">
        <f>RAW_INPUT!D368</f>
        <v/>
      </c>
      <c r="E368" s="3">
        <f>D368-C368</f>
        <v/>
      </c>
      <c r="F368" s="3">
        <f>RAW_INPUT!C368</f>
        <v/>
      </c>
      <c r="G368" s="3">
        <f>RAW_INPUT!E368</f>
        <v/>
      </c>
      <c r="H368" s="3">
        <f>I368/F368</f>
        <v/>
      </c>
      <c r="I368" s="3">
        <f>METRICS!$C$14 * 0.02</f>
        <v/>
      </c>
      <c r="J368" s="3">
        <f>(G368-F368)*H368</f>
        <v/>
      </c>
      <c r="K368" s="3">
        <f>(G368-F368)/F368*100</f>
        <v/>
      </c>
      <c r="L368" s="3">
        <f>RAW_INPUT!F368</f>
        <v/>
      </c>
      <c r="M368" s="3">
        <f>K368-L368</f>
        <v/>
      </c>
      <c r="N368" s="3">
        <f>IF(J368&gt;0, 1, 0)</f>
        <v/>
      </c>
      <c r="O368" s="3">
        <f>IF(J368&lt;0, 1, 0)</f>
        <v/>
      </c>
      <c r="P368" s="3">
        <f>SUM($J$3:J368)</f>
        <v/>
      </c>
      <c r="Q368" s="3">
        <f>P368/METRICS!$C$14*100</f>
        <v/>
      </c>
      <c r="R368" s="3">
        <f>METRICS!$C$14+P368</f>
        <v/>
      </c>
      <c r="S368" s="3">
        <f>MAX($R$3:R368)</f>
        <v/>
      </c>
      <c r="T368" s="3">
        <f>R368-S368</f>
        <v/>
      </c>
      <c r="U368" s="3">
        <f>(R368-S368)/S368*100</f>
        <v/>
      </c>
      <c r="V368" s="3">
        <f>IF(K368&lt;0, (K368/100)^2, 0)</f>
        <v/>
      </c>
    </row>
    <row r="369">
      <c r="A369" s="3">
        <f>TEXT(367, """T""0000")</f>
        <v/>
      </c>
      <c r="B369" s="3">
        <f>RAW_INPUT!A369</f>
        <v/>
      </c>
      <c r="C369" s="3">
        <f>RAW_INPUT!B369</f>
        <v/>
      </c>
      <c r="D369" s="3">
        <f>RAW_INPUT!D369</f>
        <v/>
      </c>
      <c r="E369" s="3">
        <f>D369-C369</f>
        <v/>
      </c>
      <c r="F369" s="3">
        <f>RAW_INPUT!C369</f>
        <v/>
      </c>
      <c r="G369" s="3">
        <f>RAW_INPUT!E369</f>
        <v/>
      </c>
      <c r="H369" s="3">
        <f>I369/F369</f>
        <v/>
      </c>
      <c r="I369" s="3">
        <f>METRICS!$C$14 * 0.02</f>
        <v/>
      </c>
      <c r="J369" s="3">
        <f>(G369-F369)*H369</f>
        <v/>
      </c>
      <c r="K369" s="3">
        <f>(G369-F369)/F369*100</f>
        <v/>
      </c>
      <c r="L369" s="3">
        <f>RAW_INPUT!F369</f>
        <v/>
      </c>
      <c r="M369" s="3">
        <f>K369-L369</f>
        <v/>
      </c>
      <c r="N369" s="3">
        <f>IF(J369&gt;0, 1, 0)</f>
        <v/>
      </c>
      <c r="O369" s="3">
        <f>IF(J369&lt;0, 1, 0)</f>
        <v/>
      </c>
      <c r="P369" s="3">
        <f>SUM($J$3:J369)</f>
        <v/>
      </c>
      <c r="Q369" s="3">
        <f>P369/METRICS!$C$14*100</f>
        <v/>
      </c>
      <c r="R369" s="3">
        <f>METRICS!$C$14+P369</f>
        <v/>
      </c>
      <c r="S369" s="3">
        <f>MAX($R$3:R369)</f>
        <v/>
      </c>
      <c r="T369" s="3">
        <f>R369-S369</f>
        <v/>
      </c>
      <c r="U369" s="3">
        <f>(R369-S369)/S369*100</f>
        <v/>
      </c>
      <c r="V369" s="3">
        <f>IF(K369&lt;0, (K369/100)^2, 0)</f>
        <v/>
      </c>
    </row>
    <row r="370">
      <c r="A370" s="3">
        <f>TEXT(368, """T""0000")</f>
        <v/>
      </c>
      <c r="B370" s="3">
        <f>RAW_INPUT!A370</f>
        <v/>
      </c>
      <c r="C370" s="3">
        <f>RAW_INPUT!B370</f>
        <v/>
      </c>
      <c r="D370" s="3">
        <f>RAW_INPUT!D370</f>
        <v/>
      </c>
      <c r="E370" s="3">
        <f>D370-C370</f>
        <v/>
      </c>
      <c r="F370" s="3">
        <f>RAW_INPUT!C370</f>
        <v/>
      </c>
      <c r="G370" s="3">
        <f>RAW_INPUT!E370</f>
        <v/>
      </c>
      <c r="H370" s="3">
        <f>I370/F370</f>
        <v/>
      </c>
      <c r="I370" s="3">
        <f>METRICS!$C$14 * 0.02</f>
        <v/>
      </c>
      <c r="J370" s="3">
        <f>(G370-F370)*H370</f>
        <v/>
      </c>
      <c r="K370" s="3">
        <f>(G370-F370)/F370*100</f>
        <v/>
      </c>
      <c r="L370" s="3">
        <f>RAW_INPUT!F370</f>
        <v/>
      </c>
      <c r="M370" s="3">
        <f>K370-L370</f>
        <v/>
      </c>
      <c r="N370" s="3">
        <f>IF(J370&gt;0, 1, 0)</f>
        <v/>
      </c>
      <c r="O370" s="3">
        <f>IF(J370&lt;0, 1, 0)</f>
        <v/>
      </c>
      <c r="P370" s="3">
        <f>SUM($J$3:J370)</f>
        <v/>
      </c>
      <c r="Q370" s="3">
        <f>P370/METRICS!$C$14*100</f>
        <v/>
      </c>
      <c r="R370" s="3">
        <f>METRICS!$C$14+P370</f>
        <v/>
      </c>
      <c r="S370" s="3">
        <f>MAX($R$3:R370)</f>
        <v/>
      </c>
      <c r="T370" s="3">
        <f>R370-S370</f>
        <v/>
      </c>
      <c r="U370" s="3">
        <f>(R370-S370)/S370*100</f>
        <v/>
      </c>
      <c r="V370" s="3">
        <f>IF(K370&lt;0, (K370/100)^2, 0)</f>
        <v/>
      </c>
    </row>
    <row r="371">
      <c r="A371" s="3">
        <f>TEXT(369, """T""0000")</f>
        <v/>
      </c>
      <c r="B371" s="3">
        <f>RAW_INPUT!A371</f>
        <v/>
      </c>
      <c r="C371" s="3">
        <f>RAW_INPUT!B371</f>
        <v/>
      </c>
      <c r="D371" s="3">
        <f>RAW_INPUT!D371</f>
        <v/>
      </c>
      <c r="E371" s="3">
        <f>D371-C371</f>
        <v/>
      </c>
      <c r="F371" s="3">
        <f>RAW_INPUT!C371</f>
        <v/>
      </c>
      <c r="G371" s="3">
        <f>RAW_INPUT!E371</f>
        <v/>
      </c>
      <c r="H371" s="3">
        <f>I371/F371</f>
        <v/>
      </c>
      <c r="I371" s="3">
        <f>METRICS!$C$14 * 0.02</f>
        <v/>
      </c>
      <c r="J371" s="3">
        <f>(G371-F371)*H371</f>
        <v/>
      </c>
      <c r="K371" s="3">
        <f>(G371-F371)/F371*100</f>
        <v/>
      </c>
      <c r="L371" s="3">
        <f>RAW_INPUT!F371</f>
        <v/>
      </c>
      <c r="M371" s="3">
        <f>K371-L371</f>
        <v/>
      </c>
      <c r="N371" s="3">
        <f>IF(J371&gt;0, 1, 0)</f>
        <v/>
      </c>
      <c r="O371" s="3">
        <f>IF(J371&lt;0, 1, 0)</f>
        <v/>
      </c>
      <c r="P371" s="3">
        <f>SUM($J$3:J371)</f>
        <v/>
      </c>
      <c r="Q371" s="3">
        <f>P371/METRICS!$C$14*100</f>
        <v/>
      </c>
      <c r="R371" s="3">
        <f>METRICS!$C$14+P371</f>
        <v/>
      </c>
      <c r="S371" s="3">
        <f>MAX($R$3:R371)</f>
        <v/>
      </c>
      <c r="T371" s="3">
        <f>R371-S371</f>
        <v/>
      </c>
      <c r="U371" s="3">
        <f>(R371-S371)/S371*100</f>
        <v/>
      </c>
      <c r="V371" s="3">
        <f>IF(K371&lt;0, (K371/100)^2, 0)</f>
        <v/>
      </c>
    </row>
    <row r="372">
      <c r="A372" s="3">
        <f>TEXT(370, """T""0000")</f>
        <v/>
      </c>
      <c r="B372" s="3">
        <f>RAW_INPUT!A372</f>
        <v/>
      </c>
      <c r="C372" s="3">
        <f>RAW_INPUT!B372</f>
        <v/>
      </c>
      <c r="D372" s="3">
        <f>RAW_INPUT!D372</f>
        <v/>
      </c>
      <c r="E372" s="3">
        <f>D372-C372</f>
        <v/>
      </c>
      <c r="F372" s="3">
        <f>RAW_INPUT!C372</f>
        <v/>
      </c>
      <c r="G372" s="3">
        <f>RAW_INPUT!E372</f>
        <v/>
      </c>
      <c r="H372" s="3">
        <f>I372/F372</f>
        <v/>
      </c>
      <c r="I372" s="3">
        <f>METRICS!$C$14 * 0.02</f>
        <v/>
      </c>
      <c r="J372" s="3">
        <f>(G372-F372)*H372</f>
        <v/>
      </c>
      <c r="K372" s="3">
        <f>(G372-F372)/F372*100</f>
        <v/>
      </c>
      <c r="L372" s="3">
        <f>RAW_INPUT!F372</f>
        <v/>
      </c>
      <c r="M372" s="3">
        <f>K372-L372</f>
        <v/>
      </c>
      <c r="N372" s="3">
        <f>IF(J372&gt;0, 1, 0)</f>
        <v/>
      </c>
      <c r="O372" s="3">
        <f>IF(J372&lt;0, 1, 0)</f>
        <v/>
      </c>
      <c r="P372" s="3">
        <f>SUM($J$3:J372)</f>
        <v/>
      </c>
      <c r="Q372" s="3">
        <f>P372/METRICS!$C$14*100</f>
        <v/>
      </c>
      <c r="R372" s="3">
        <f>METRICS!$C$14+P372</f>
        <v/>
      </c>
      <c r="S372" s="3">
        <f>MAX($R$3:R372)</f>
        <v/>
      </c>
      <c r="T372" s="3">
        <f>R372-S372</f>
        <v/>
      </c>
      <c r="U372" s="3">
        <f>(R372-S372)/S372*100</f>
        <v/>
      </c>
      <c r="V372" s="3">
        <f>IF(K372&lt;0, (K372/100)^2, 0)</f>
        <v/>
      </c>
    </row>
    <row r="373">
      <c r="A373" s="3">
        <f>TEXT(371, """T""0000")</f>
        <v/>
      </c>
      <c r="B373" s="3">
        <f>RAW_INPUT!A373</f>
        <v/>
      </c>
      <c r="C373" s="3">
        <f>RAW_INPUT!B373</f>
        <v/>
      </c>
      <c r="D373" s="3">
        <f>RAW_INPUT!D373</f>
        <v/>
      </c>
      <c r="E373" s="3">
        <f>D373-C373</f>
        <v/>
      </c>
      <c r="F373" s="3">
        <f>RAW_INPUT!C373</f>
        <v/>
      </c>
      <c r="G373" s="3">
        <f>RAW_INPUT!E373</f>
        <v/>
      </c>
      <c r="H373" s="3">
        <f>I373/F373</f>
        <v/>
      </c>
      <c r="I373" s="3">
        <f>METRICS!$C$14 * 0.02</f>
        <v/>
      </c>
      <c r="J373" s="3">
        <f>(G373-F373)*H373</f>
        <v/>
      </c>
      <c r="K373" s="3">
        <f>(G373-F373)/F373*100</f>
        <v/>
      </c>
      <c r="L373" s="3">
        <f>RAW_INPUT!F373</f>
        <v/>
      </c>
      <c r="M373" s="3">
        <f>K373-L373</f>
        <v/>
      </c>
      <c r="N373" s="3">
        <f>IF(J373&gt;0, 1, 0)</f>
        <v/>
      </c>
      <c r="O373" s="3">
        <f>IF(J373&lt;0, 1, 0)</f>
        <v/>
      </c>
      <c r="P373" s="3">
        <f>SUM($J$3:J373)</f>
        <v/>
      </c>
      <c r="Q373" s="3">
        <f>P373/METRICS!$C$14*100</f>
        <v/>
      </c>
      <c r="R373" s="3">
        <f>METRICS!$C$14+P373</f>
        <v/>
      </c>
      <c r="S373" s="3">
        <f>MAX($R$3:R373)</f>
        <v/>
      </c>
      <c r="T373" s="3">
        <f>R373-S373</f>
        <v/>
      </c>
      <c r="U373" s="3">
        <f>(R373-S373)/S373*100</f>
        <v/>
      </c>
      <c r="V373" s="3">
        <f>IF(K373&lt;0, (K373/100)^2, 0)</f>
        <v/>
      </c>
    </row>
    <row r="374">
      <c r="A374" s="3">
        <f>TEXT(372, """T""0000")</f>
        <v/>
      </c>
      <c r="B374" s="3">
        <f>RAW_INPUT!A374</f>
        <v/>
      </c>
      <c r="C374" s="3">
        <f>RAW_INPUT!B374</f>
        <v/>
      </c>
      <c r="D374" s="3">
        <f>RAW_INPUT!D374</f>
        <v/>
      </c>
      <c r="E374" s="3">
        <f>D374-C374</f>
        <v/>
      </c>
      <c r="F374" s="3">
        <f>RAW_INPUT!C374</f>
        <v/>
      </c>
      <c r="G374" s="3">
        <f>RAW_INPUT!E374</f>
        <v/>
      </c>
      <c r="H374" s="3">
        <f>I374/F374</f>
        <v/>
      </c>
      <c r="I374" s="3">
        <f>METRICS!$C$14 * 0.02</f>
        <v/>
      </c>
      <c r="J374" s="3">
        <f>(G374-F374)*H374</f>
        <v/>
      </c>
      <c r="K374" s="3">
        <f>(G374-F374)/F374*100</f>
        <v/>
      </c>
      <c r="L374" s="3">
        <f>RAW_INPUT!F374</f>
        <v/>
      </c>
      <c r="M374" s="3">
        <f>K374-L374</f>
        <v/>
      </c>
      <c r="N374" s="3">
        <f>IF(J374&gt;0, 1, 0)</f>
        <v/>
      </c>
      <c r="O374" s="3">
        <f>IF(J374&lt;0, 1, 0)</f>
        <v/>
      </c>
      <c r="P374" s="3">
        <f>SUM($J$3:J374)</f>
        <v/>
      </c>
      <c r="Q374" s="3">
        <f>P374/METRICS!$C$14*100</f>
        <v/>
      </c>
      <c r="R374" s="3">
        <f>METRICS!$C$14+P374</f>
        <v/>
      </c>
      <c r="S374" s="3">
        <f>MAX($R$3:R374)</f>
        <v/>
      </c>
      <c r="T374" s="3">
        <f>R374-S374</f>
        <v/>
      </c>
      <c r="U374" s="3">
        <f>(R374-S374)/S374*100</f>
        <v/>
      </c>
      <c r="V374" s="3">
        <f>IF(K374&lt;0, (K374/100)^2, 0)</f>
        <v/>
      </c>
    </row>
    <row r="375">
      <c r="A375" s="3">
        <f>TEXT(373, """T""0000")</f>
        <v/>
      </c>
      <c r="B375" s="3">
        <f>RAW_INPUT!A375</f>
        <v/>
      </c>
      <c r="C375" s="3">
        <f>RAW_INPUT!B375</f>
        <v/>
      </c>
      <c r="D375" s="3">
        <f>RAW_INPUT!D375</f>
        <v/>
      </c>
      <c r="E375" s="3">
        <f>D375-C375</f>
        <v/>
      </c>
      <c r="F375" s="3">
        <f>RAW_INPUT!C375</f>
        <v/>
      </c>
      <c r="G375" s="3">
        <f>RAW_INPUT!E375</f>
        <v/>
      </c>
      <c r="H375" s="3">
        <f>I375/F375</f>
        <v/>
      </c>
      <c r="I375" s="3">
        <f>METRICS!$C$14 * 0.02</f>
        <v/>
      </c>
      <c r="J375" s="3">
        <f>(G375-F375)*H375</f>
        <v/>
      </c>
      <c r="K375" s="3">
        <f>(G375-F375)/F375*100</f>
        <v/>
      </c>
      <c r="L375" s="3">
        <f>RAW_INPUT!F375</f>
        <v/>
      </c>
      <c r="M375" s="3">
        <f>K375-L375</f>
        <v/>
      </c>
      <c r="N375" s="3">
        <f>IF(J375&gt;0, 1, 0)</f>
        <v/>
      </c>
      <c r="O375" s="3">
        <f>IF(J375&lt;0, 1, 0)</f>
        <v/>
      </c>
      <c r="P375" s="3">
        <f>SUM($J$3:J375)</f>
        <v/>
      </c>
      <c r="Q375" s="3">
        <f>P375/METRICS!$C$14*100</f>
        <v/>
      </c>
      <c r="R375" s="3">
        <f>METRICS!$C$14+P375</f>
        <v/>
      </c>
      <c r="S375" s="3">
        <f>MAX($R$3:R375)</f>
        <v/>
      </c>
      <c r="T375" s="3">
        <f>R375-S375</f>
        <v/>
      </c>
      <c r="U375" s="3">
        <f>(R375-S375)/S375*100</f>
        <v/>
      </c>
      <c r="V375" s="3">
        <f>IF(K375&lt;0, (K375/100)^2, 0)</f>
        <v/>
      </c>
    </row>
    <row r="376">
      <c r="A376" s="3">
        <f>TEXT(374, """T""0000")</f>
        <v/>
      </c>
      <c r="B376" s="3">
        <f>RAW_INPUT!A376</f>
        <v/>
      </c>
      <c r="C376" s="3">
        <f>RAW_INPUT!B376</f>
        <v/>
      </c>
      <c r="D376" s="3">
        <f>RAW_INPUT!D376</f>
        <v/>
      </c>
      <c r="E376" s="3">
        <f>D376-C376</f>
        <v/>
      </c>
      <c r="F376" s="3">
        <f>RAW_INPUT!C376</f>
        <v/>
      </c>
      <c r="G376" s="3">
        <f>RAW_INPUT!E376</f>
        <v/>
      </c>
      <c r="H376" s="3">
        <f>I376/F376</f>
        <v/>
      </c>
      <c r="I376" s="3">
        <f>METRICS!$C$14 * 0.02</f>
        <v/>
      </c>
      <c r="J376" s="3">
        <f>(G376-F376)*H376</f>
        <v/>
      </c>
      <c r="K376" s="3">
        <f>(G376-F376)/F376*100</f>
        <v/>
      </c>
      <c r="L376" s="3">
        <f>RAW_INPUT!F376</f>
        <v/>
      </c>
      <c r="M376" s="3">
        <f>K376-L376</f>
        <v/>
      </c>
      <c r="N376" s="3">
        <f>IF(J376&gt;0, 1, 0)</f>
        <v/>
      </c>
      <c r="O376" s="3">
        <f>IF(J376&lt;0, 1, 0)</f>
        <v/>
      </c>
      <c r="P376" s="3">
        <f>SUM($J$3:J376)</f>
        <v/>
      </c>
      <c r="Q376" s="3">
        <f>P376/METRICS!$C$14*100</f>
        <v/>
      </c>
      <c r="R376" s="3">
        <f>METRICS!$C$14+P376</f>
        <v/>
      </c>
      <c r="S376" s="3">
        <f>MAX($R$3:R376)</f>
        <v/>
      </c>
      <c r="T376" s="3">
        <f>R376-S376</f>
        <v/>
      </c>
      <c r="U376" s="3">
        <f>(R376-S376)/S376*100</f>
        <v/>
      </c>
      <c r="V376" s="3">
        <f>IF(K376&lt;0, (K376/100)^2, 0)</f>
        <v/>
      </c>
    </row>
    <row r="377">
      <c r="A377" s="3">
        <f>TEXT(375, """T""0000")</f>
        <v/>
      </c>
      <c r="B377" s="3">
        <f>RAW_INPUT!A377</f>
        <v/>
      </c>
      <c r="C377" s="3">
        <f>RAW_INPUT!B377</f>
        <v/>
      </c>
      <c r="D377" s="3">
        <f>RAW_INPUT!D377</f>
        <v/>
      </c>
      <c r="E377" s="3">
        <f>D377-C377</f>
        <v/>
      </c>
      <c r="F377" s="3">
        <f>RAW_INPUT!C377</f>
        <v/>
      </c>
      <c r="G377" s="3">
        <f>RAW_INPUT!E377</f>
        <v/>
      </c>
      <c r="H377" s="3">
        <f>I377/F377</f>
        <v/>
      </c>
      <c r="I377" s="3">
        <f>METRICS!$C$14 * 0.02</f>
        <v/>
      </c>
      <c r="J377" s="3">
        <f>(G377-F377)*H377</f>
        <v/>
      </c>
      <c r="K377" s="3">
        <f>(G377-F377)/F377*100</f>
        <v/>
      </c>
      <c r="L377" s="3">
        <f>RAW_INPUT!F377</f>
        <v/>
      </c>
      <c r="M377" s="3">
        <f>K377-L377</f>
        <v/>
      </c>
      <c r="N377" s="3">
        <f>IF(J377&gt;0, 1, 0)</f>
        <v/>
      </c>
      <c r="O377" s="3">
        <f>IF(J377&lt;0, 1, 0)</f>
        <v/>
      </c>
      <c r="P377" s="3">
        <f>SUM($J$3:J377)</f>
        <v/>
      </c>
      <c r="Q377" s="3">
        <f>P377/METRICS!$C$14*100</f>
        <v/>
      </c>
      <c r="R377" s="3">
        <f>METRICS!$C$14+P377</f>
        <v/>
      </c>
      <c r="S377" s="3">
        <f>MAX($R$3:R377)</f>
        <v/>
      </c>
      <c r="T377" s="3">
        <f>R377-S377</f>
        <v/>
      </c>
      <c r="U377" s="3">
        <f>(R377-S377)/S377*100</f>
        <v/>
      </c>
      <c r="V377" s="3">
        <f>IF(K377&lt;0, (K377/100)^2, 0)</f>
        <v/>
      </c>
    </row>
    <row r="378">
      <c r="A378" s="3">
        <f>TEXT(376, """T""0000")</f>
        <v/>
      </c>
      <c r="B378" s="3">
        <f>RAW_INPUT!A378</f>
        <v/>
      </c>
      <c r="C378" s="3">
        <f>RAW_INPUT!B378</f>
        <v/>
      </c>
      <c r="D378" s="3">
        <f>RAW_INPUT!D378</f>
        <v/>
      </c>
      <c r="E378" s="3">
        <f>D378-C378</f>
        <v/>
      </c>
      <c r="F378" s="3">
        <f>RAW_INPUT!C378</f>
        <v/>
      </c>
      <c r="G378" s="3">
        <f>RAW_INPUT!E378</f>
        <v/>
      </c>
      <c r="H378" s="3">
        <f>I378/F378</f>
        <v/>
      </c>
      <c r="I378" s="3">
        <f>METRICS!$C$14 * 0.02</f>
        <v/>
      </c>
      <c r="J378" s="3">
        <f>(G378-F378)*H378</f>
        <v/>
      </c>
      <c r="K378" s="3">
        <f>(G378-F378)/F378*100</f>
        <v/>
      </c>
      <c r="L378" s="3">
        <f>RAW_INPUT!F378</f>
        <v/>
      </c>
      <c r="M378" s="3">
        <f>K378-L378</f>
        <v/>
      </c>
      <c r="N378" s="3">
        <f>IF(J378&gt;0, 1, 0)</f>
        <v/>
      </c>
      <c r="O378" s="3">
        <f>IF(J378&lt;0, 1, 0)</f>
        <v/>
      </c>
      <c r="P378" s="3">
        <f>SUM($J$3:J378)</f>
        <v/>
      </c>
      <c r="Q378" s="3">
        <f>P378/METRICS!$C$14*100</f>
        <v/>
      </c>
      <c r="R378" s="3">
        <f>METRICS!$C$14+P378</f>
        <v/>
      </c>
      <c r="S378" s="3">
        <f>MAX($R$3:R378)</f>
        <v/>
      </c>
      <c r="T378" s="3">
        <f>R378-S378</f>
        <v/>
      </c>
      <c r="U378" s="3">
        <f>(R378-S378)/S378*100</f>
        <v/>
      </c>
      <c r="V378" s="3">
        <f>IF(K378&lt;0, (K378/100)^2, 0)</f>
        <v/>
      </c>
    </row>
    <row r="379">
      <c r="A379" s="3">
        <f>TEXT(377, """T""0000")</f>
        <v/>
      </c>
      <c r="B379" s="3">
        <f>RAW_INPUT!A379</f>
        <v/>
      </c>
      <c r="C379" s="3">
        <f>RAW_INPUT!B379</f>
        <v/>
      </c>
      <c r="D379" s="3">
        <f>RAW_INPUT!D379</f>
        <v/>
      </c>
      <c r="E379" s="3">
        <f>D379-C379</f>
        <v/>
      </c>
      <c r="F379" s="3">
        <f>RAW_INPUT!C379</f>
        <v/>
      </c>
      <c r="G379" s="3">
        <f>RAW_INPUT!E379</f>
        <v/>
      </c>
      <c r="H379" s="3">
        <f>I379/F379</f>
        <v/>
      </c>
      <c r="I379" s="3">
        <f>METRICS!$C$14 * 0.02</f>
        <v/>
      </c>
      <c r="J379" s="3">
        <f>(G379-F379)*H379</f>
        <v/>
      </c>
      <c r="K379" s="3">
        <f>(G379-F379)/F379*100</f>
        <v/>
      </c>
      <c r="L379" s="3">
        <f>RAW_INPUT!F379</f>
        <v/>
      </c>
      <c r="M379" s="3">
        <f>K379-L379</f>
        <v/>
      </c>
      <c r="N379" s="3">
        <f>IF(J379&gt;0, 1, 0)</f>
        <v/>
      </c>
      <c r="O379" s="3">
        <f>IF(J379&lt;0, 1, 0)</f>
        <v/>
      </c>
      <c r="P379" s="3">
        <f>SUM($J$3:J379)</f>
        <v/>
      </c>
      <c r="Q379" s="3">
        <f>P379/METRICS!$C$14*100</f>
        <v/>
      </c>
      <c r="R379" s="3">
        <f>METRICS!$C$14+P379</f>
        <v/>
      </c>
      <c r="S379" s="3">
        <f>MAX($R$3:R379)</f>
        <v/>
      </c>
      <c r="T379" s="3">
        <f>R379-S379</f>
        <v/>
      </c>
      <c r="U379" s="3">
        <f>(R379-S379)/S379*100</f>
        <v/>
      </c>
      <c r="V379" s="3">
        <f>IF(K379&lt;0, (K379/100)^2, 0)</f>
        <v/>
      </c>
    </row>
    <row r="380">
      <c r="A380" s="3">
        <f>TEXT(378, """T""0000")</f>
        <v/>
      </c>
      <c r="B380" s="3">
        <f>RAW_INPUT!A380</f>
        <v/>
      </c>
      <c r="C380" s="3">
        <f>RAW_INPUT!B380</f>
        <v/>
      </c>
      <c r="D380" s="3">
        <f>RAW_INPUT!D380</f>
        <v/>
      </c>
      <c r="E380" s="3">
        <f>D380-C380</f>
        <v/>
      </c>
      <c r="F380" s="3">
        <f>RAW_INPUT!C380</f>
        <v/>
      </c>
      <c r="G380" s="3">
        <f>RAW_INPUT!E380</f>
        <v/>
      </c>
      <c r="H380" s="3">
        <f>I380/F380</f>
        <v/>
      </c>
      <c r="I380" s="3">
        <f>METRICS!$C$14 * 0.02</f>
        <v/>
      </c>
      <c r="J380" s="3">
        <f>(G380-F380)*H380</f>
        <v/>
      </c>
      <c r="K380" s="3">
        <f>(G380-F380)/F380*100</f>
        <v/>
      </c>
      <c r="L380" s="3">
        <f>RAW_INPUT!F380</f>
        <v/>
      </c>
      <c r="M380" s="3">
        <f>K380-L380</f>
        <v/>
      </c>
      <c r="N380" s="3">
        <f>IF(J380&gt;0, 1, 0)</f>
        <v/>
      </c>
      <c r="O380" s="3">
        <f>IF(J380&lt;0, 1, 0)</f>
        <v/>
      </c>
      <c r="P380" s="3">
        <f>SUM($J$3:J380)</f>
        <v/>
      </c>
      <c r="Q380" s="3">
        <f>P380/METRICS!$C$14*100</f>
        <v/>
      </c>
      <c r="R380" s="3">
        <f>METRICS!$C$14+P380</f>
        <v/>
      </c>
      <c r="S380" s="3">
        <f>MAX($R$3:R380)</f>
        <v/>
      </c>
      <c r="T380" s="3">
        <f>R380-S380</f>
        <v/>
      </c>
      <c r="U380" s="3">
        <f>(R380-S380)/S380*100</f>
        <v/>
      </c>
      <c r="V380" s="3">
        <f>IF(K380&lt;0, (K380/100)^2, 0)</f>
        <v/>
      </c>
    </row>
    <row r="381">
      <c r="A381" s="3">
        <f>TEXT(379, """T""0000")</f>
        <v/>
      </c>
      <c r="B381" s="3">
        <f>RAW_INPUT!A381</f>
        <v/>
      </c>
      <c r="C381" s="3">
        <f>RAW_INPUT!B381</f>
        <v/>
      </c>
      <c r="D381" s="3">
        <f>RAW_INPUT!D381</f>
        <v/>
      </c>
      <c r="E381" s="3">
        <f>D381-C381</f>
        <v/>
      </c>
      <c r="F381" s="3">
        <f>RAW_INPUT!C381</f>
        <v/>
      </c>
      <c r="G381" s="3">
        <f>RAW_INPUT!E381</f>
        <v/>
      </c>
      <c r="H381" s="3">
        <f>I381/F381</f>
        <v/>
      </c>
      <c r="I381" s="3">
        <f>METRICS!$C$14 * 0.02</f>
        <v/>
      </c>
      <c r="J381" s="3">
        <f>(G381-F381)*H381</f>
        <v/>
      </c>
      <c r="K381" s="3">
        <f>(G381-F381)/F381*100</f>
        <v/>
      </c>
      <c r="L381" s="3">
        <f>RAW_INPUT!F381</f>
        <v/>
      </c>
      <c r="M381" s="3">
        <f>K381-L381</f>
        <v/>
      </c>
      <c r="N381" s="3">
        <f>IF(J381&gt;0, 1, 0)</f>
        <v/>
      </c>
      <c r="O381" s="3">
        <f>IF(J381&lt;0, 1, 0)</f>
        <v/>
      </c>
      <c r="P381" s="3">
        <f>SUM($J$3:J381)</f>
        <v/>
      </c>
      <c r="Q381" s="3">
        <f>P381/METRICS!$C$14*100</f>
        <v/>
      </c>
      <c r="R381" s="3">
        <f>METRICS!$C$14+P381</f>
        <v/>
      </c>
      <c r="S381" s="3">
        <f>MAX($R$3:R381)</f>
        <v/>
      </c>
      <c r="T381" s="3">
        <f>R381-S381</f>
        <v/>
      </c>
      <c r="U381" s="3">
        <f>(R381-S381)/S381*100</f>
        <v/>
      </c>
      <c r="V381" s="3">
        <f>IF(K381&lt;0, (K381/100)^2, 0)</f>
        <v/>
      </c>
    </row>
    <row r="382">
      <c r="A382" s="3">
        <f>TEXT(380, """T""0000")</f>
        <v/>
      </c>
      <c r="B382" s="3">
        <f>RAW_INPUT!A382</f>
        <v/>
      </c>
      <c r="C382" s="3">
        <f>RAW_INPUT!B382</f>
        <v/>
      </c>
      <c r="D382" s="3">
        <f>RAW_INPUT!D382</f>
        <v/>
      </c>
      <c r="E382" s="3">
        <f>D382-C382</f>
        <v/>
      </c>
      <c r="F382" s="3">
        <f>RAW_INPUT!C382</f>
        <v/>
      </c>
      <c r="G382" s="3">
        <f>RAW_INPUT!E382</f>
        <v/>
      </c>
      <c r="H382" s="3">
        <f>I382/F382</f>
        <v/>
      </c>
      <c r="I382" s="3">
        <f>METRICS!$C$14 * 0.02</f>
        <v/>
      </c>
      <c r="J382" s="3">
        <f>(G382-F382)*H382</f>
        <v/>
      </c>
      <c r="K382" s="3">
        <f>(G382-F382)/F382*100</f>
        <v/>
      </c>
      <c r="L382" s="3">
        <f>RAW_INPUT!F382</f>
        <v/>
      </c>
      <c r="M382" s="3">
        <f>K382-L382</f>
        <v/>
      </c>
      <c r="N382" s="3">
        <f>IF(J382&gt;0, 1, 0)</f>
        <v/>
      </c>
      <c r="O382" s="3">
        <f>IF(J382&lt;0, 1, 0)</f>
        <v/>
      </c>
      <c r="P382" s="3">
        <f>SUM($J$3:J382)</f>
        <v/>
      </c>
      <c r="Q382" s="3">
        <f>P382/METRICS!$C$14*100</f>
        <v/>
      </c>
      <c r="R382" s="3">
        <f>METRICS!$C$14+P382</f>
        <v/>
      </c>
      <c r="S382" s="3">
        <f>MAX($R$3:R382)</f>
        <v/>
      </c>
      <c r="T382" s="3">
        <f>R382-S382</f>
        <v/>
      </c>
      <c r="U382" s="3">
        <f>(R382-S382)/S382*100</f>
        <v/>
      </c>
      <c r="V382" s="3">
        <f>IF(K382&lt;0, (K382/100)^2, 0)</f>
        <v/>
      </c>
    </row>
    <row r="383">
      <c r="A383" s="3">
        <f>TEXT(381, """T""0000")</f>
        <v/>
      </c>
      <c r="B383" s="3">
        <f>RAW_INPUT!A383</f>
        <v/>
      </c>
      <c r="C383" s="3">
        <f>RAW_INPUT!B383</f>
        <v/>
      </c>
      <c r="D383" s="3">
        <f>RAW_INPUT!D383</f>
        <v/>
      </c>
      <c r="E383" s="3">
        <f>D383-C383</f>
        <v/>
      </c>
      <c r="F383" s="3">
        <f>RAW_INPUT!C383</f>
        <v/>
      </c>
      <c r="G383" s="3">
        <f>RAW_INPUT!E383</f>
        <v/>
      </c>
      <c r="H383" s="3">
        <f>I383/F383</f>
        <v/>
      </c>
      <c r="I383" s="3">
        <f>METRICS!$C$14 * 0.02</f>
        <v/>
      </c>
      <c r="J383" s="3">
        <f>(G383-F383)*H383</f>
        <v/>
      </c>
      <c r="K383" s="3">
        <f>(G383-F383)/F383*100</f>
        <v/>
      </c>
      <c r="L383" s="3">
        <f>RAW_INPUT!F383</f>
        <v/>
      </c>
      <c r="M383" s="3">
        <f>K383-L383</f>
        <v/>
      </c>
      <c r="N383" s="3">
        <f>IF(J383&gt;0, 1, 0)</f>
        <v/>
      </c>
      <c r="O383" s="3">
        <f>IF(J383&lt;0, 1, 0)</f>
        <v/>
      </c>
      <c r="P383" s="3">
        <f>SUM($J$3:J383)</f>
        <v/>
      </c>
      <c r="Q383" s="3">
        <f>P383/METRICS!$C$14*100</f>
        <v/>
      </c>
      <c r="R383" s="3">
        <f>METRICS!$C$14+P383</f>
        <v/>
      </c>
      <c r="S383" s="3">
        <f>MAX($R$3:R383)</f>
        <v/>
      </c>
      <c r="T383" s="3">
        <f>R383-S383</f>
        <v/>
      </c>
      <c r="U383" s="3">
        <f>(R383-S383)/S383*100</f>
        <v/>
      </c>
      <c r="V383" s="3">
        <f>IF(K383&lt;0, (K383/100)^2, 0)</f>
        <v/>
      </c>
    </row>
    <row r="384">
      <c r="A384" s="3">
        <f>TEXT(382, """T""0000")</f>
        <v/>
      </c>
      <c r="B384" s="3">
        <f>RAW_INPUT!A384</f>
        <v/>
      </c>
      <c r="C384" s="3">
        <f>RAW_INPUT!B384</f>
        <v/>
      </c>
      <c r="D384" s="3">
        <f>RAW_INPUT!D384</f>
        <v/>
      </c>
      <c r="E384" s="3">
        <f>D384-C384</f>
        <v/>
      </c>
      <c r="F384" s="3">
        <f>RAW_INPUT!C384</f>
        <v/>
      </c>
      <c r="G384" s="3">
        <f>RAW_INPUT!E384</f>
        <v/>
      </c>
      <c r="H384" s="3">
        <f>I384/F384</f>
        <v/>
      </c>
      <c r="I384" s="3">
        <f>METRICS!$C$14 * 0.02</f>
        <v/>
      </c>
      <c r="J384" s="3">
        <f>(G384-F384)*H384</f>
        <v/>
      </c>
      <c r="K384" s="3">
        <f>(G384-F384)/F384*100</f>
        <v/>
      </c>
      <c r="L384" s="3">
        <f>RAW_INPUT!F384</f>
        <v/>
      </c>
      <c r="M384" s="3">
        <f>K384-L384</f>
        <v/>
      </c>
      <c r="N384" s="3">
        <f>IF(J384&gt;0, 1, 0)</f>
        <v/>
      </c>
      <c r="O384" s="3">
        <f>IF(J384&lt;0, 1, 0)</f>
        <v/>
      </c>
      <c r="P384" s="3">
        <f>SUM($J$3:J384)</f>
        <v/>
      </c>
      <c r="Q384" s="3">
        <f>P384/METRICS!$C$14*100</f>
        <v/>
      </c>
      <c r="R384" s="3">
        <f>METRICS!$C$14+P384</f>
        <v/>
      </c>
      <c r="S384" s="3">
        <f>MAX($R$3:R384)</f>
        <v/>
      </c>
      <c r="T384" s="3">
        <f>R384-S384</f>
        <v/>
      </c>
      <c r="U384" s="3">
        <f>(R384-S384)/S384*100</f>
        <v/>
      </c>
      <c r="V384" s="3">
        <f>IF(K384&lt;0, (K384/100)^2, 0)</f>
        <v/>
      </c>
    </row>
    <row r="385">
      <c r="A385" s="3">
        <f>TEXT(383, """T""0000")</f>
        <v/>
      </c>
      <c r="B385" s="3">
        <f>RAW_INPUT!A385</f>
        <v/>
      </c>
      <c r="C385" s="3">
        <f>RAW_INPUT!B385</f>
        <v/>
      </c>
      <c r="D385" s="3">
        <f>RAW_INPUT!D385</f>
        <v/>
      </c>
      <c r="E385" s="3">
        <f>D385-C385</f>
        <v/>
      </c>
      <c r="F385" s="3">
        <f>RAW_INPUT!C385</f>
        <v/>
      </c>
      <c r="G385" s="3">
        <f>RAW_INPUT!E385</f>
        <v/>
      </c>
      <c r="H385" s="3">
        <f>I385/F385</f>
        <v/>
      </c>
      <c r="I385" s="3">
        <f>METRICS!$C$14 * 0.02</f>
        <v/>
      </c>
      <c r="J385" s="3">
        <f>(G385-F385)*H385</f>
        <v/>
      </c>
      <c r="K385" s="3">
        <f>(G385-F385)/F385*100</f>
        <v/>
      </c>
      <c r="L385" s="3">
        <f>RAW_INPUT!F385</f>
        <v/>
      </c>
      <c r="M385" s="3">
        <f>K385-L385</f>
        <v/>
      </c>
      <c r="N385" s="3">
        <f>IF(J385&gt;0, 1, 0)</f>
        <v/>
      </c>
      <c r="O385" s="3">
        <f>IF(J385&lt;0, 1, 0)</f>
        <v/>
      </c>
      <c r="P385" s="3">
        <f>SUM($J$3:J385)</f>
        <v/>
      </c>
      <c r="Q385" s="3">
        <f>P385/METRICS!$C$14*100</f>
        <v/>
      </c>
      <c r="R385" s="3">
        <f>METRICS!$C$14+P385</f>
        <v/>
      </c>
      <c r="S385" s="3">
        <f>MAX($R$3:R385)</f>
        <v/>
      </c>
      <c r="T385" s="3">
        <f>R385-S385</f>
        <v/>
      </c>
      <c r="U385" s="3">
        <f>(R385-S385)/S385*100</f>
        <v/>
      </c>
      <c r="V385" s="3">
        <f>IF(K385&lt;0, (K385/100)^2, 0)</f>
        <v/>
      </c>
    </row>
    <row r="386">
      <c r="A386" s="3">
        <f>TEXT(384, """T""0000")</f>
        <v/>
      </c>
      <c r="B386" s="3">
        <f>RAW_INPUT!A386</f>
        <v/>
      </c>
      <c r="C386" s="3">
        <f>RAW_INPUT!B386</f>
        <v/>
      </c>
      <c r="D386" s="3">
        <f>RAW_INPUT!D386</f>
        <v/>
      </c>
      <c r="E386" s="3">
        <f>D386-C386</f>
        <v/>
      </c>
      <c r="F386" s="3">
        <f>RAW_INPUT!C386</f>
        <v/>
      </c>
      <c r="G386" s="3">
        <f>RAW_INPUT!E386</f>
        <v/>
      </c>
      <c r="H386" s="3">
        <f>I386/F386</f>
        <v/>
      </c>
      <c r="I386" s="3">
        <f>METRICS!$C$14 * 0.02</f>
        <v/>
      </c>
      <c r="J386" s="3">
        <f>(G386-F386)*H386</f>
        <v/>
      </c>
      <c r="K386" s="3">
        <f>(G386-F386)/F386*100</f>
        <v/>
      </c>
      <c r="L386" s="3">
        <f>RAW_INPUT!F386</f>
        <v/>
      </c>
      <c r="M386" s="3">
        <f>K386-L386</f>
        <v/>
      </c>
      <c r="N386" s="3">
        <f>IF(J386&gt;0, 1, 0)</f>
        <v/>
      </c>
      <c r="O386" s="3">
        <f>IF(J386&lt;0, 1, 0)</f>
        <v/>
      </c>
      <c r="P386" s="3">
        <f>SUM($J$3:J386)</f>
        <v/>
      </c>
      <c r="Q386" s="3">
        <f>P386/METRICS!$C$14*100</f>
        <v/>
      </c>
      <c r="R386" s="3">
        <f>METRICS!$C$14+P386</f>
        <v/>
      </c>
      <c r="S386" s="3">
        <f>MAX($R$3:R386)</f>
        <v/>
      </c>
      <c r="T386" s="3">
        <f>R386-S386</f>
        <v/>
      </c>
      <c r="U386" s="3">
        <f>(R386-S386)/S386*100</f>
        <v/>
      </c>
      <c r="V386" s="3">
        <f>IF(K386&lt;0, (K386/100)^2, 0)</f>
        <v/>
      </c>
    </row>
    <row r="387">
      <c r="A387" s="3">
        <f>TEXT(385, """T""0000")</f>
        <v/>
      </c>
      <c r="B387" s="3">
        <f>RAW_INPUT!A387</f>
        <v/>
      </c>
      <c r="C387" s="3">
        <f>RAW_INPUT!B387</f>
        <v/>
      </c>
      <c r="D387" s="3">
        <f>RAW_INPUT!D387</f>
        <v/>
      </c>
      <c r="E387" s="3">
        <f>D387-C387</f>
        <v/>
      </c>
      <c r="F387" s="3">
        <f>RAW_INPUT!C387</f>
        <v/>
      </c>
      <c r="G387" s="3">
        <f>RAW_INPUT!E387</f>
        <v/>
      </c>
      <c r="H387" s="3">
        <f>I387/F387</f>
        <v/>
      </c>
      <c r="I387" s="3">
        <f>METRICS!$C$14 * 0.02</f>
        <v/>
      </c>
      <c r="J387" s="3">
        <f>(G387-F387)*H387</f>
        <v/>
      </c>
      <c r="K387" s="3">
        <f>(G387-F387)/F387*100</f>
        <v/>
      </c>
      <c r="L387" s="3">
        <f>RAW_INPUT!F387</f>
        <v/>
      </c>
      <c r="M387" s="3">
        <f>K387-L387</f>
        <v/>
      </c>
      <c r="N387" s="3">
        <f>IF(J387&gt;0, 1, 0)</f>
        <v/>
      </c>
      <c r="O387" s="3">
        <f>IF(J387&lt;0, 1, 0)</f>
        <v/>
      </c>
      <c r="P387" s="3">
        <f>SUM($J$3:J387)</f>
        <v/>
      </c>
      <c r="Q387" s="3">
        <f>P387/METRICS!$C$14*100</f>
        <v/>
      </c>
      <c r="R387" s="3">
        <f>METRICS!$C$14+P387</f>
        <v/>
      </c>
      <c r="S387" s="3">
        <f>MAX($R$3:R387)</f>
        <v/>
      </c>
      <c r="T387" s="3">
        <f>R387-S387</f>
        <v/>
      </c>
      <c r="U387" s="3">
        <f>(R387-S387)/S387*100</f>
        <v/>
      </c>
      <c r="V387" s="3">
        <f>IF(K387&lt;0, (K387/100)^2, 0)</f>
        <v/>
      </c>
    </row>
    <row r="388">
      <c r="A388" s="3">
        <f>TEXT(386, """T""0000")</f>
        <v/>
      </c>
      <c r="B388" s="3">
        <f>RAW_INPUT!A388</f>
        <v/>
      </c>
      <c r="C388" s="3">
        <f>RAW_INPUT!B388</f>
        <v/>
      </c>
      <c r="D388" s="3">
        <f>RAW_INPUT!D388</f>
        <v/>
      </c>
      <c r="E388" s="3">
        <f>D388-C388</f>
        <v/>
      </c>
      <c r="F388" s="3">
        <f>RAW_INPUT!C388</f>
        <v/>
      </c>
      <c r="G388" s="3">
        <f>RAW_INPUT!E388</f>
        <v/>
      </c>
      <c r="H388" s="3">
        <f>I388/F388</f>
        <v/>
      </c>
      <c r="I388" s="3">
        <f>METRICS!$C$14 * 0.02</f>
        <v/>
      </c>
      <c r="J388" s="3">
        <f>(G388-F388)*H388</f>
        <v/>
      </c>
      <c r="K388" s="3">
        <f>(G388-F388)/F388*100</f>
        <v/>
      </c>
      <c r="L388" s="3">
        <f>RAW_INPUT!F388</f>
        <v/>
      </c>
      <c r="M388" s="3">
        <f>K388-L388</f>
        <v/>
      </c>
      <c r="N388" s="3">
        <f>IF(J388&gt;0, 1, 0)</f>
        <v/>
      </c>
      <c r="O388" s="3">
        <f>IF(J388&lt;0, 1, 0)</f>
        <v/>
      </c>
      <c r="P388" s="3">
        <f>SUM($J$3:J388)</f>
        <v/>
      </c>
      <c r="Q388" s="3">
        <f>P388/METRICS!$C$14*100</f>
        <v/>
      </c>
      <c r="R388" s="3">
        <f>METRICS!$C$14+P388</f>
        <v/>
      </c>
      <c r="S388" s="3">
        <f>MAX($R$3:R388)</f>
        <v/>
      </c>
      <c r="T388" s="3">
        <f>R388-S388</f>
        <v/>
      </c>
      <c r="U388" s="3">
        <f>(R388-S388)/S388*100</f>
        <v/>
      </c>
      <c r="V388" s="3">
        <f>IF(K388&lt;0, (K388/100)^2, 0)</f>
        <v/>
      </c>
    </row>
    <row r="389">
      <c r="A389" s="3">
        <f>TEXT(387, """T""0000")</f>
        <v/>
      </c>
      <c r="B389" s="3">
        <f>RAW_INPUT!A389</f>
        <v/>
      </c>
      <c r="C389" s="3">
        <f>RAW_INPUT!B389</f>
        <v/>
      </c>
      <c r="D389" s="3">
        <f>RAW_INPUT!D389</f>
        <v/>
      </c>
      <c r="E389" s="3">
        <f>D389-C389</f>
        <v/>
      </c>
      <c r="F389" s="3">
        <f>RAW_INPUT!C389</f>
        <v/>
      </c>
      <c r="G389" s="3">
        <f>RAW_INPUT!E389</f>
        <v/>
      </c>
      <c r="H389" s="3">
        <f>I389/F389</f>
        <v/>
      </c>
      <c r="I389" s="3">
        <f>METRICS!$C$14 * 0.02</f>
        <v/>
      </c>
      <c r="J389" s="3">
        <f>(G389-F389)*H389</f>
        <v/>
      </c>
      <c r="K389" s="3">
        <f>(G389-F389)/F389*100</f>
        <v/>
      </c>
      <c r="L389" s="3">
        <f>RAW_INPUT!F389</f>
        <v/>
      </c>
      <c r="M389" s="3">
        <f>K389-L389</f>
        <v/>
      </c>
      <c r="N389" s="3">
        <f>IF(J389&gt;0, 1, 0)</f>
        <v/>
      </c>
      <c r="O389" s="3">
        <f>IF(J389&lt;0, 1, 0)</f>
        <v/>
      </c>
      <c r="P389" s="3">
        <f>SUM($J$3:J389)</f>
        <v/>
      </c>
      <c r="Q389" s="3">
        <f>P389/METRICS!$C$14*100</f>
        <v/>
      </c>
      <c r="R389" s="3">
        <f>METRICS!$C$14+P389</f>
        <v/>
      </c>
      <c r="S389" s="3">
        <f>MAX($R$3:R389)</f>
        <v/>
      </c>
      <c r="T389" s="3">
        <f>R389-S389</f>
        <v/>
      </c>
      <c r="U389" s="3">
        <f>(R389-S389)/S389*100</f>
        <v/>
      </c>
      <c r="V389" s="3">
        <f>IF(K389&lt;0, (K389/100)^2, 0)</f>
        <v/>
      </c>
    </row>
    <row r="390">
      <c r="A390" s="3">
        <f>TEXT(388, """T""0000")</f>
        <v/>
      </c>
      <c r="B390" s="3">
        <f>RAW_INPUT!A390</f>
        <v/>
      </c>
      <c r="C390" s="3">
        <f>RAW_INPUT!B390</f>
        <v/>
      </c>
      <c r="D390" s="3">
        <f>RAW_INPUT!D390</f>
        <v/>
      </c>
      <c r="E390" s="3">
        <f>D390-C390</f>
        <v/>
      </c>
      <c r="F390" s="3">
        <f>RAW_INPUT!C390</f>
        <v/>
      </c>
      <c r="G390" s="3">
        <f>RAW_INPUT!E390</f>
        <v/>
      </c>
      <c r="H390" s="3">
        <f>I390/F390</f>
        <v/>
      </c>
      <c r="I390" s="3">
        <f>METRICS!$C$14 * 0.02</f>
        <v/>
      </c>
      <c r="J390" s="3">
        <f>(G390-F390)*H390</f>
        <v/>
      </c>
      <c r="K390" s="3">
        <f>(G390-F390)/F390*100</f>
        <v/>
      </c>
      <c r="L390" s="3">
        <f>RAW_INPUT!F390</f>
        <v/>
      </c>
      <c r="M390" s="3">
        <f>K390-L390</f>
        <v/>
      </c>
      <c r="N390" s="3">
        <f>IF(J390&gt;0, 1, 0)</f>
        <v/>
      </c>
      <c r="O390" s="3">
        <f>IF(J390&lt;0, 1, 0)</f>
        <v/>
      </c>
      <c r="P390" s="3">
        <f>SUM($J$3:J390)</f>
        <v/>
      </c>
      <c r="Q390" s="3">
        <f>P390/METRICS!$C$14*100</f>
        <v/>
      </c>
      <c r="R390" s="3">
        <f>METRICS!$C$14+P390</f>
        <v/>
      </c>
      <c r="S390" s="3">
        <f>MAX($R$3:R390)</f>
        <v/>
      </c>
      <c r="T390" s="3">
        <f>R390-S390</f>
        <v/>
      </c>
      <c r="U390" s="3">
        <f>(R390-S390)/S390*100</f>
        <v/>
      </c>
      <c r="V390" s="3">
        <f>IF(K390&lt;0, (K390/100)^2, 0)</f>
        <v/>
      </c>
    </row>
    <row r="391">
      <c r="A391" s="3">
        <f>TEXT(389, """T""0000")</f>
        <v/>
      </c>
      <c r="B391" s="3">
        <f>RAW_INPUT!A391</f>
        <v/>
      </c>
      <c r="C391" s="3">
        <f>RAW_INPUT!B391</f>
        <v/>
      </c>
      <c r="D391" s="3">
        <f>RAW_INPUT!D391</f>
        <v/>
      </c>
      <c r="E391" s="3">
        <f>D391-C391</f>
        <v/>
      </c>
      <c r="F391" s="3">
        <f>RAW_INPUT!C391</f>
        <v/>
      </c>
      <c r="G391" s="3">
        <f>RAW_INPUT!E391</f>
        <v/>
      </c>
      <c r="H391" s="3">
        <f>I391/F391</f>
        <v/>
      </c>
      <c r="I391" s="3">
        <f>METRICS!$C$14 * 0.02</f>
        <v/>
      </c>
      <c r="J391" s="3">
        <f>(G391-F391)*H391</f>
        <v/>
      </c>
      <c r="K391" s="3">
        <f>(G391-F391)/F391*100</f>
        <v/>
      </c>
      <c r="L391" s="3">
        <f>RAW_INPUT!F391</f>
        <v/>
      </c>
      <c r="M391" s="3">
        <f>K391-L391</f>
        <v/>
      </c>
      <c r="N391" s="3">
        <f>IF(J391&gt;0, 1, 0)</f>
        <v/>
      </c>
      <c r="O391" s="3">
        <f>IF(J391&lt;0, 1, 0)</f>
        <v/>
      </c>
      <c r="P391" s="3">
        <f>SUM($J$3:J391)</f>
        <v/>
      </c>
      <c r="Q391" s="3">
        <f>P391/METRICS!$C$14*100</f>
        <v/>
      </c>
      <c r="R391" s="3">
        <f>METRICS!$C$14+P391</f>
        <v/>
      </c>
      <c r="S391" s="3">
        <f>MAX($R$3:R391)</f>
        <v/>
      </c>
      <c r="T391" s="3">
        <f>R391-S391</f>
        <v/>
      </c>
      <c r="U391" s="3">
        <f>(R391-S391)/S391*100</f>
        <v/>
      </c>
      <c r="V391" s="3">
        <f>IF(K391&lt;0, (K391/100)^2, 0)</f>
        <v/>
      </c>
    </row>
    <row r="392">
      <c r="A392" s="3">
        <f>TEXT(390, """T""0000")</f>
        <v/>
      </c>
      <c r="B392" s="3">
        <f>RAW_INPUT!A392</f>
        <v/>
      </c>
      <c r="C392" s="3">
        <f>RAW_INPUT!B392</f>
        <v/>
      </c>
      <c r="D392" s="3">
        <f>RAW_INPUT!D392</f>
        <v/>
      </c>
      <c r="E392" s="3">
        <f>D392-C392</f>
        <v/>
      </c>
      <c r="F392" s="3">
        <f>RAW_INPUT!C392</f>
        <v/>
      </c>
      <c r="G392" s="3">
        <f>RAW_INPUT!E392</f>
        <v/>
      </c>
      <c r="H392" s="3">
        <f>I392/F392</f>
        <v/>
      </c>
      <c r="I392" s="3">
        <f>METRICS!$C$14 * 0.02</f>
        <v/>
      </c>
      <c r="J392" s="3">
        <f>(G392-F392)*H392</f>
        <v/>
      </c>
      <c r="K392" s="3">
        <f>(G392-F392)/F392*100</f>
        <v/>
      </c>
      <c r="L392" s="3">
        <f>RAW_INPUT!F392</f>
        <v/>
      </c>
      <c r="M392" s="3">
        <f>K392-L392</f>
        <v/>
      </c>
      <c r="N392" s="3">
        <f>IF(J392&gt;0, 1, 0)</f>
        <v/>
      </c>
      <c r="O392" s="3">
        <f>IF(J392&lt;0, 1, 0)</f>
        <v/>
      </c>
      <c r="P392" s="3">
        <f>SUM($J$3:J392)</f>
        <v/>
      </c>
      <c r="Q392" s="3">
        <f>P392/METRICS!$C$14*100</f>
        <v/>
      </c>
      <c r="R392" s="3">
        <f>METRICS!$C$14+P392</f>
        <v/>
      </c>
      <c r="S392" s="3">
        <f>MAX($R$3:R392)</f>
        <v/>
      </c>
      <c r="T392" s="3">
        <f>R392-S392</f>
        <v/>
      </c>
      <c r="U392" s="3">
        <f>(R392-S392)/S392*100</f>
        <v/>
      </c>
      <c r="V392" s="3">
        <f>IF(K392&lt;0, (K392/100)^2, 0)</f>
        <v/>
      </c>
    </row>
    <row r="393">
      <c r="A393" s="3">
        <f>TEXT(391, """T""0000")</f>
        <v/>
      </c>
      <c r="B393" s="3">
        <f>RAW_INPUT!A393</f>
        <v/>
      </c>
      <c r="C393" s="3">
        <f>RAW_INPUT!B393</f>
        <v/>
      </c>
      <c r="D393" s="3">
        <f>RAW_INPUT!D393</f>
        <v/>
      </c>
      <c r="E393" s="3">
        <f>D393-C393</f>
        <v/>
      </c>
      <c r="F393" s="3">
        <f>RAW_INPUT!C393</f>
        <v/>
      </c>
      <c r="G393" s="3">
        <f>RAW_INPUT!E393</f>
        <v/>
      </c>
      <c r="H393" s="3">
        <f>I393/F393</f>
        <v/>
      </c>
      <c r="I393" s="3">
        <f>METRICS!$C$14 * 0.02</f>
        <v/>
      </c>
      <c r="J393" s="3">
        <f>(G393-F393)*H393</f>
        <v/>
      </c>
      <c r="K393" s="3">
        <f>(G393-F393)/F393*100</f>
        <v/>
      </c>
      <c r="L393" s="3">
        <f>RAW_INPUT!F393</f>
        <v/>
      </c>
      <c r="M393" s="3">
        <f>K393-L393</f>
        <v/>
      </c>
      <c r="N393" s="3">
        <f>IF(J393&gt;0, 1, 0)</f>
        <v/>
      </c>
      <c r="O393" s="3">
        <f>IF(J393&lt;0, 1, 0)</f>
        <v/>
      </c>
      <c r="P393" s="3">
        <f>SUM($J$3:J393)</f>
        <v/>
      </c>
      <c r="Q393" s="3">
        <f>P393/METRICS!$C$14*100</f>
        <v/>
      </c>
      <c r="R393" s="3">
        <f>METRICS!$C$14+P393</f>
        <v/>
      </c>
      <c r="S393" s="3">
        <f>MAX($R$3:R393)</f>
        <v/>
      </c>
      <c r="T393" s="3">
        <f>R393-S393</f>
        <v/>
      </c>
      <c r="U393" s="3">
        <f>(R393-S393)/S393*100</f>
        <v/>
      </c>
      <c r="V393" s="3">
        <f>IF(K393&lt;0, (K393/100)^2, 0)</f>
        <v/>
      </c>
    </row>
    <row r="394">
      <c r="A394" s="3">
        <f>TEXT(392, """T""0000")</f>
        <v/>
      </c>
      <c r="B394" s="3">
        <f>RAW_INPUT!A394</f>
        <v/>
      </c>
      <c r="C394" s="3">
        <f>RAW_INPUT!B394</f>
        <v/>
      </c>
      <c r="D394" s="3">
        <f>RAW_INPUT!D394</f>
        <v/>
      </c>
      <c r="E394" s="3">
        <f>D394-C394</f>
        <v/>
      </c>
      <c r="F394" s="3">
        <f>RAW_INPUT!C394</f>
        <v/>
      </c>
      <c r="G394" s="3">
        <f>RAW_INPUT!E394</f>
        <v/>
      </c>
      <c r="H394" s="3">
        <f>I394/F394</f>
        <v/>
      </c>
      <c r="I394" s="3">
        <f>METRICS!$C$14 * 0.02</f>
        <v/>
      </c>
      <c r="J394" s="3">
        <f>(G394-F394)*H394</f>
        <v/>
      </c>
      <c r="K394" s="3">
        <f>(G394-F394)/F394*100</f>
        <v/>
      </c>
      <c r="L394" s="3">
        <f>RAW_INPUT!F394</f>
        <v/>
      </c>
      <c r="M394" s="3">
        <f>K394-L394</f>
        <v/>
      </c>
      <c r="N394" s="3">
        <f>IF(J394&gt;0, 1, 0)</f>
        <v/>
      </c>
      <c r="O394" s="3">
        <f>IF(J394&lt;0, 1, 0)</f>
        <v/>
      </c>
      <c r="P394" s="3">
        <f>SUM($J$3:J394)</f>
        <v/>
      </c>
      <c r="Q394" s="3">
        <f>P394/METRICS!$C$14*100</f>
        <v/>
      </c>
      <c r="R394" s="3">
        <f>METRICS!$C$14+P394</f>
        <v/>
      </c>
      <c r="S394" s="3">
        <f>MAX($R$3:R394)</f>
        <v/>
      </c>
      <c r="T394" s="3">
        <f>R394-S394</f>
        <v/>
      </c>
      <c r="U394" s="3">
        <f>(R394-S394)/S394*100</f>
        <v/>
      </c>
      <c r="V394" s="3">
        <f>IF(K394&lt;0, (K394/100)^2, 0)</f>
        <v/>
      </c>
    </row>
    <row r="395">
      <c r="A395" s="3">
        <f>TEXT(393, """T""0000")</f>
        <v/>
      </c>
      <c r="B395" s="3">
        <f>RAW_INPUT!A395</f>
        <v/>
      </c>
      <c r="C395" s="3">
        <f>RAW_INPUT!B395</f>
        <v/>
      </c>
      <c r="D395" s="3">
        <f>RAW_INPUT!D395</f>
        <v/>
      </c>
      <c r="E395" s="3">
        <f>D395-C395</f>
        <v/>
      </c>
      <c r="F395" s="3">
        <f>RAW_INPUT!C395</f>
        <v/>
      </c>
      <c r="G395" s="3">
        <f>RAW_INPUT!E395</f>
        <v/>
      </c>
      <c r="H395" s="3">
        <f>I395/F395</f>
        <v/>
      </c>
      <c r="I395" s="3">
        <f>METRICS!$C$14 * 0.02</f>
        <v/>
      </c>
      <c r="J395" s="3">
        <f>(G395-F395)*H395</f>
        <v/>
      </c>
      <c r="K395" s="3">
        <f>(G395-F395)/F395*100</f>
        <v/>
      </c>
      <c r="L395" s="3">
        <f>RAW_INPUT!F395</f>
        <v/>
      </c>
      <c r="M395" s="3">
        <f>K395-L395</f>
        <v/>
      </c>
      <c r="N395" s="3">
        <f>IF(J395&gt;0, 1, 0)</f>
        <v/>
      </c>
      <c r="O395" s="3">
        <f>IF(J395&lt;0, 1, 0)</f>
        <v/>
      </c>
      <c r="P395" s="3">
        <f>SUM($J$3:J395)</f>
        <v/>
      </c>
      <c r="Q395" s="3">
        <f>P395/METRICS!$C$14*100</f>
        <v/>
      </c>
      <c r="R395" s="3">
        <f>METRICS!$C$14+P395</f>
        <v/>
      </c>
      <c r="S395" s="3">
        <f>MAX($R$3:R395)</f>
        <v/>
      </c>
      <c r="T395" s="3">
        <f>R395-S395</f>
        <v/>
      </c>
      <c r="U395" s="3">
        <f>(R395-S395)/S395*100</f>
        <v/>
      </c>
      <c r="V395" s="3">
        <f>IF(K395&lt;0, (K395/100)^2, 0)</f>
        <v/>
      </c>
    </row>
    <row r="396">
      <c r="A396" s="3">
        <f>TEXT(394, """T""0000")</f>
        <v/>
      </c>
      <c r="B396" s="3">
        <f>RAW_INPUT!A396</f>
        <v/>
      </c>
      <c r="C396" s="3">
        <f>RAW_INPUT!B396</f>
        <v/>
      </c>
      <c r="D396" s="3">
        <f>RAW_INPUT!D396</f>
        <v/>
      </c>
      <c r="E396" s="3">
        <f>D396-C396</f>
        <v/>
      </c>
      <c r="F396" s="3">
        <f>RAW_INPUT!C396</f>
        <v/>
      </c>
      <c r="G396" s="3">
        <f>RAW_INPUT!E396</f>
        <v/>
      </c>
      <c r="H396" s="3">
        <f>I396/F396</f>
        <v/>
      </c>
      <c r="I396" s="3">
        <f>METRICS!$C$14 * 0.02</f>
        <v/>
      </c>
      <c r="J396" s="3">
        <f>(G396-F396)*H396</f>
        <v/>
      </c>
      <c r="K396" s="3">
        <f>(G396-F396)/F396*100</f>
        <v/>
      </c>
      <c r="L396" s="3">
        <f>RAW_INPUT!F396</f>
        <v/>
      </c>
      <c r="M396" s="3">
        <f>K396-L396</f>
        <v/>
      </c>
      <c r="N396" s="3">
        <f>IF(J396&gt;0, 1, 0)</f>
        <v/>
      </c>
      <c r="O396" s="3">
        <f>IF(J396&lt;0, 1, 0)</f>
        <v/>
      </c>
      <c r="P396" s="3">
        <f>SUM($J$3:J396)</f>
        <v/>
      </c>
      <c r="Q396" s="3">
        <f>P396/METRICS!$C$14*100</f>
        <v/>
      </c>
      <c r="R396" s="3">
        <f>METRICS!$C$14+P396</f>
        <v/>
      </c>
      <c r="S396" s="3">
        <f>MAX($R$3:R396)</f>
        <v/>
      </c>
      <c r="T396" s="3">
        <f>R396-S396</f>
        <v/>
      </c>
      <c r="U396" s="3">
        <f>(R396-S396)/S396*100</f>
        <v/>
      </c>
      <c r="V396" s="3">
        <f>IF(K396&lt;0, (K396/100)^2, 0)</f>
        <v/>
      </c>
    </row>
    <row r="397">
      <c r="A397" s="3">
        <f>TEXT(395, """T""0000")</f>
        <v/>
      </c>
      <c r="B397" s="3">
        <f>RAW_INPUT!A397</f>
        <v/>
      </c>
      <c r="C397" s="3">
        <f>RAW_INPUT!B397</f>
        <v/>
      </c>
      <c r="D397" s="3">
        <f>RAW_INPUT!D397</f>
        <v/>
      </c>
      <c r="E397" s="3">
        <f>D397-C397</f>
        <v/>
      </c>
      <c r="F397" s="3">
        <f>RAW_INPUT!C397</f>
        <v/>
      </c>
      <c r="G397" s="3">
        <f>RAW_INPUT!E397</f>
        <v/>
      </c>
      <c r="H397" s="3">
        <f>I397/F397</f>
        <v/>
      </c>
      <c r="I397" s="3">
        <f>METRICS!$C$14 * 0.02</f>
        <v/>
      </c>
      <c r="J397" s="3">
        <f>(G397-F397)*H397</f>
        <v/>
      </c>
      <c r="K397" s="3">
        <f>(G397-F397)/F397*100</f>
        <v/>
      </c>
      <c r="L397" s="3">
        <f>RAW_INPUT!F397</f>
        <v/>
      </c>
      <c r="M397" s="3">
        <f>K397-L397</f>
        <v/>
      </c>
      <c r="N397" s="3">
        <f>IF(J397&gt;0, 1, 0)</f>
        <v/>
      </c>
      <c r="O397" s="3">
        <f>IF(J397&lt;0, 1, 0)</f>
        <v/>
      </c>
      <c r="P397" s="3">
        <f>SUM($J$3:J397)</f>
        <v/>
      </c>
      <c r="Q397" s="3">
        <f>P397/METRICS!$C$14*100</f>
        <v/>
      </c>
      <c r="R397" s="3">
        <f>METRICS!$C$14+P397</f>
        <v/>
      </c>
      <c r="S397" s="3">
        <f>MAX($R$3:R397)</f>
        <v/>
      </c>
      <c r="T397" s="3">
        <f>R397-S397</f>
        <v/>
      </c>
      <c r="U397" s="3">
        <f>(R397-S397)/S397*100</f>
        <v/>
      </c>
      <c r="V397" s="3">
        <f>IF(K397&lt;0, (K397/100)^2, 0)</f>
        <v/>
      </c>
    </row>
    <row r="398">
      <c r="A398" s="3">
        <f>TEXT(396, """T""0000")</f>
        <v/>
      </c>
      <c r="B398" s="3">
        <f>RAW_INPUT!A398</f>
        <v/>
      </c>
      <c r="C398" s="3">
        <f>RAW_INPUT!B398</f>
        <v/>
      </c>
      <c r="D398" s="3">
        <f>RAW_INPUT!D398</f>
        <v/>
      </c>
      <c r="E398" s="3">
        <f>D398-C398</f>
        <v/>
      </c>
      <c r="F398" s="3">
        <f>RAW_INPUT!C398</f>
        <v/>
      </c>
      <c r="G398" s="3">
        <f>RAW_INPUT!E398</f>
        <v/>
      </c>
      <c r="H398" s="3">
        <f>I398/F398</f>
        <v/>
      </c>
      <c r="I398" s="3">
        <f>METRICS!$C$14 * 0.02</f>
        <v/>
      </c>
      <c r="J398" s="3">
        <f>(G398-F398)*H398</f>
        <v/>
      </c>
      <c r="K398" s="3">
        <f>(G398-F398)/F398*100</f>
        <v/>
      </c>
      <c r="L398" s="3">
        <f>RAW_INPUT!F398</f>
        <v/>
      </c>
      <c r="M398" s="3">
        <f>K398-L398</f>
        <v/>
      </c>
      <c r="N398" s="3">
        <f>IF(J398&gt;0, 1, 0)</f>
        <v/>
      </c>
      <c r="O398" s="3">
        <f>IF(J398&lt;0, 1, 0)</f>
        <v/>
      </c>
      <c r="P398" s="3">
        <f>SUM($J$3:J398)</f>
        <v/>
      </c>
      <c r="Q398" s="3">
        <f>P398/METRICS!$C$14*100</f>
        <v/>
      </c>
      <c r="R398" s="3">
        <f>METRICS!$C$14+P398</f>
        <v/>
      </c>
      <c r="S398" s="3">
        <f>MAX($R$3:R398)</f>
        <v/>
      </c>
      <c r="T398" s="3">
        <f>R398-S398</f>
        <v/>
      </c>
      <c r="U398" s="3">
        <f>(R398-S398)/S398*100</f>
        <v/>
      </c>
      <c r="V398" s="3">
        <f>IF(K398&lt;0, (K398/100)^2, 0)</f>
        <v/>
      </c>
    </row>
    <row r="399">
      <c r="A399" s="3">
        <f>TEXT(397, """T""0000")</f>
        <v/>
      </c>
      <c r="B399" s="3">
        <f>RAW_INPUT!A399</f>
        <v/>
      </c>
      <c r="C399" s="3">
        <f>RAW_INPUT!B399</f>
        <v/>
      </c>
      <c r="D399" s="3">
        <f>RAW_INPUT!D399</f>
        <v/>
      </c>
      <c r="E399" s="3">
        <f>D399-C399</f>
        <v/>
      </c>
      <c r="F399" s="3">
        <f>RAW_INPUT!C399</f>
        <v/>
      </c>
      <c r="G399" s="3">
        <f>RAW_INPUT!E399</f>
        <v/>
      </c>
      <c r="H399" s="3">
        <f>I399/F399</f>
        <v/>
      </c>
      <c r="I399" s="3">
        <f>METRICS!$C$14 * 0.02</f>
        <v/>
      </c>
      <c r="J399" s="3">
        <f>(G399-F399)*H399</f>
        <v/>
      </c>
      <c r="K399" s="3">
        <f>(G399-F399)/F399*100</f>
        <v/>
      </c>
      <c r="L399" s="3">
        <f>RAW_INPUT!F399</f>
        <v/>
      </c>
      <c r="M399" s="3">
        <f>K399-L399</f>
        <v/>
      </c>
      <c r="N399" s="3">
        <f>IF(J399&gt;0, 1, 0)</f>
        <v/>
      </c>
      <c r="O399" s="3">
        <f>IF(J399&lt;0, 1, 0)</f>
        <v/>
      </c>
      <c r="P399" s="3">
        <f>SUM($J$3:J399)</f>
        <v/>
      </c>
      <c r="Q399" s="3">
        <f>P399/METRICS!$C$14*100</f>
        <v/>
      </c>
      <c r="R399" s="3">
        <f>METRICS!$C$14+P399</f>
        <v/>
      </c>
      <c r="S399" s="3">
        <f>MAX($R$3:R399)</f>
        <v/>
      </c>
      <c r="T399" s="3">
        <f>R399-S399</f>
        <v/>
      </c>
      <c r="U399" s="3">
        <f>(R399-S399)/S399*100</f>
        <v/>
      </c>
      <c r="V399" s="3">
        <f>IF(K399&lt;0, (K399/100)^2, 0)</f>
        <v/>
      </c>
    </row>
    <row r="400">
      <c r="A400" s="3">
        <f>TEXT(398, """T""0000")</f>
        <v/>
      </c>
      <c r="B400" s="3">
        <f>RAW_INPUT!A400</f>
        <v/>
      </c>
      <c r="C400" s="3">
        <f>RAW_INPUT!B400</f>
        <v/>
      </c>
      <c r="D400" s="3">
        <f>RAW_INPUT!D400</f>
        <v/>
      </c>
      <c r="E400" s="3">
        <f>D400-C400</f>
        <v/>
      </c>
      <c r="F400" s="3">
        <f>RAW_INPUT!C400</f>
        <v/>
      </c>
      <c r="G400" s="3">
        <f>RAW_INPUT!E400</f>
        <v/>
      </c>
      <c r="H400" s="3">
        <f>I400/F400</f>
        <v/>
      </c>
      <c r="I400" s="3">
        <f>METRICS!$C$14 * 0.02</f>
        <v/>
      </c>
      <c r="J400" s="3">
        <f>(G400-F400)*H400</f>
        <v/>
      </c>
      <c r="K400" s="3">
        <f>(G400-F400)/F400*100</f>
        <v/>
      </c>
      <c r="L400" s="3">
        <f>RAW_INPUT!F400</f>
        <v/>
      </c>
      <c r="M400" s="3">
        <f>K400-L400</f>
        <v/>
      </c>
      <c r="N400" s="3">
        <f>IF(J400&gt;0, 1, 0)</f>
        <v/>
      </c>
      <c r="O400" s="3">
        <f>IF(J400&lt;0, 1, 0)</f>
        <v/>
      </c>
      <c r="P400" s="3">
        <f>SUM($J$3:J400)</f>
        <v/>
      </c>
      <c r="Q400" s="3">
        <f>P400/METRICS!$C$14*100</f>
        <v/>
      </c>
      <c r="R400" s="3">
        <f>METRICS!$C$14+P400</f>
        <v/>
      </c>
      <c r="S400" s="3">
        <f>MAX($R$3:R400)</f>
        <v/>
      </c>
      <c r="T400" s="3">
        <f>R400-S400</f>
        <v/>
      </c>
      <c r="U400" s="3">
        <f>(R400-S400)/S400*100</f>
        <v/>
      </c>
      <c r="V400" s="3">
        <f>IF(K400&lt;0, (K400/100)^2, 0)</f>
        <v/>
      </c>
    </row>
    <row r="401">
      <c r="A401" s="3">
        <f>TEXT(399, """T""0000")</f>
        <v/>
      </c>
      <c r="B401" s="3">
        <f>RAW_INPUT!A401</f>
        <v/>
      </c>
      <c r="C401" s="3">
        <f>RAW_INPUT!B401</f>
        <v/>
      </c>
      <c r="D401" s="3">
        <f>RAW_INPUT!D401</f>
        <v/>
      </c>
      <c r="E401" s="3">
        <f>D401-C401</f>
        <v/>
      </c>
      <c r="F401" s="3">
        <f>RAW_INPUT!C401</f>
        <v/>
      </c>
      <c r="G401" s="3">
        <f>RAW_INPUT!E401</f>
        <v/>
      </c>
      <c r="H401" s="3">
        <f>I401/F401</f>
        <v/>
      </c>
      <c r="I401" s="3">
        <f>METRICS!$C$14 * 0.02</f>
        <v/>
      </c>
      <c r="J401" s="3">
        <f>(G401-F401)*H401</f>
        <v/>
      </c>
      <c r="K401" s="3">
        <f>(G401-F401)/F401*100</f>
        <v/>
      </c>
      <c r="L401" s="3">
        <f>RAW_INPUT!F401</f>
        <v/>
      </c>
      <c r="M401" s="3">
        <f>K401-L401</f>
        <v/>
      </c>
      <c r="N401" s="3">
        <f>IF(J401&gt;0, 1, 0)</f>
        <v/>
      </c>
      <c r="O401" s="3">
        <f>IF(J401&lt;0, 1, 0)</f>
        <v/>
      </c>
      <c r="P401" s="3">
        <f>SUM($J$3:J401)</f>
        <v/>
      </c>
      <c r="Q401" s="3">
        <f>P401/METRICS!$C$14*100</f>
        <v/>
      </c>
      <c r="R401" s="3">
        <f>METRICS!$C$14+P401</f>
        <v/>
      </c>
      <c r="S401" s="3">
        <f>MAX($R$3:R401)</f>
        <v/>
      </c>
      <c r="T401" s="3">
        <f>R401-S401</f>
        <v/>
      </c>
      <c r="U401" s="3">
        <f>(R401-S401)/S401*100</f>
        <v/>
      </c>
      <c r="V401" s="3">
        <f>IF(K401&lt;0, (K401/100)^2, 0)</f>
        <v/>
      </c>
    </row>
    <row r="402">
      <c r="A402" s="3">
        <f>TEXT(400, """T""0000")</f>
        <v/>
      </c>
      <c r="B402" s="3">
        <f>RAW_INPUT!A402</f>
        <v/>
      </c>
      <c r="C402" s="3">
        <f>RAW_INPUT!B402</f>
        <v/>
      </c>
      <c r="D402" s="3">
        <f>RAW_INPUT!D402</f>
        <v/>
      </c>
      <c r="E402" s="3">
        <f>D402-C402</f>
        <v/>
      </c>
      <c r="F402" s="3">
        <f>RAW_INPUT!C402</f>
        <v/>
      </c>
      <c r="G402" s="3">
        <f>RAW_INPUT!E402</f>
        <v/>
      </c>
      <c r="H402" s="3">
        <f>I402/F402</f>
        <v/>
      </c>
      <c r="I402" s="3">
        <f>METRICS!$C$14 * 0.02</f>
        <v/>
      </c>
      <c r="J402" s="3">
        <f>(G402-F402)*H402</f>
        <v/>
      </c>
      <c r="K402" s="3">
        <f>(G402-F402)/F402*100</f>
        <v/>
      </c>
      <c r="L402" s="3">
        <f>RAW_INPUT!F402</f>
        <v/>
      </c>
      <c r="M402" s="3">
        <f>K402-L402</f>
        <v/>
      </c>
      <c r="N402" s="3">
        <f>IF(J402&gt;0, 1, 0)</f>
        <v/>
      </c>
      <c r="O402" s="3">
        <f>IF(J402&lt;0, 1, 0)</f>
        <v/>
      </c>
      <c r="P402" s="3">
        <f>SUM($J$3:J402)</f>
        <v/>
      </c>
      <c r="Q402" s="3">
        <f>P402/METRICS!$C$14*100</f>
        <v/>
      </c>
      <c r="R402" s="3">
        <f>METRICS!$C$14+P402</f>
        <v/>
      </c>
      <c r="S402" s="3">
        <f>MAX($R$3:R402)</f>
        <v/>
      </c>
      <c r="T402" s="3">
        <f>R402-S402</f>
        <v/>
      </c>
      <c r="U402" s="3">
        <f>(R402-S402)/S402*100</f>
        <v/>
      </c>
      <c r="V402" s="3">
        <f>IF(K402&lt;0, (K402/100)^2, 0)</f>
        <v/>
      </c>
    </row>
    <row r="403">
      <c r="A403" s="3">
        <f>TEXT(401, """T""0000")</f>
        <v/>
      </c>
      <c r="B403" s="3">
        <f>RAW_INPUT!A403</f>
        <v/>
      </c>
      <c r="C403" s="3">
        <f>RAW_INPUT!B403</f>
        <v/>
      </c>
      <c r="D403" s="3">
        <f>RAW_INPUT!D403</f>
        <v/>
      </c>
      <c r="E403" s="3">
        <f>D403-C403</f>
        <v/>
      </c>
      <c r="F403" s="3">
        <f>RAW_INPUT!C403</f>
        <v/>
      </c>
      <c r="G403" s="3">
        <f>RAW_INPUT!E403</f>
        <v/>
      </c>
      <c r="H403" s="3">
        <f>I403/F403</f>
        <v/>
      </c>
      <c r="I403" s="3">
        <f>METRICS!$C$14 * 0.02</f>
        <v/>
      </c>
      <c r="J403" s="3">
        <f>(G403-F403)*H403</f>
        <v/>
      </c>
      <c r="K403" s="3">
        <f>(G403-F403)/F403*100</f>
        <v/>
      </c>
      <c r="L403" s="3">
        <f>RAW_INPUT!F403</f>
        <v/>
      </c>
      <c r="M403" s="3">
        <f>K403-L403</f>
        <v/>
      </c>
      <c r="N403" s="3">
        <f>IF(J403&gt;0, 1, 0)</f>
        <v/>
      </c>
      <c r="O403" s="3">
        <f>IF(J403&lt;0, 1, 0)</f>
        <v/>
      </c>
      <c r="P403" s="3">
        <f>SUM($J$3:J403)</f>
        <v/>
      </c>
      <c r="Q403" s="3">
        <f>P403/METRICS!$C$14*100</f>
        <v/>
      </c>
      <c r="R403" s="3">
        <f>METRICS!$C$14+P403</f>
        <v/>
      </c>
      <c r="S403" s="3">
        <f>MAX($R$3:R403)</f>
        <v/>
      </c>
      <c r="T403" s="3">
        <f>R403-S403</f>
        <v/>
      </c>
      <c r="U403" s="3">
        <f>(R403-S403)/S403*100</f>
        <v/>
      </c>
      <c r="V403" s="3">
        <f>IF(K403&lt;0, (K403/100)^2, 0)</f>
        <v/>
      </c>
    </row>
    <row r="404">
      <c r="A404" s="3">
        <f>TEXT(402, """T""0000")</f>
        <v/>
      </c>
      <c r="B404" s="3">
        <f>RAW_INPUT!A404</f>
        <v/>
      </c>
      <c r="C404" s="3">
        <f>RAW_INPUT!B404</f>
        <v/>
      </c>
      <c r="D404" s="3">
        <f>RAW_INPUT!D404</f>
        <v/>
      </c>
      <c r="E404" s="3">
        <f>D404-C404</f>
        <v/>
      </c>
      <c r="F404" s="3">
        <f>RAW_INPUT!C404</f>
        <v/>
      </c>
      <c r="G404" s="3">
        <f>RAW_INPUT!E404</f>
        <v/>
      </c>
      <c r="H404" s="3">
        <f>I404/F404</f>
        <v/>
      </c>
      <c r="I404" s="3">
        <f>METRICS!$C$14 * 0.02</f>
        <v/>
      </c>
      <c r="J404" s="3">
        <f>(G404-F404)*H404</f>
        <v/>
      </c>
      <c r="K404" s="3">
        <f>(G404-F404)/F404*100</f>
        <v/>
      </c>
      <c r="L404" s="3">
        <f>RAW_INPUT!F404</f>
        <v/>
      </c>
      <c r="M404" s="3">
        <f>K404-L404</f>
        <v/>
      </c>
      <c r="N404" s="3">
        <f>IF(J404&gt;0, 1, 0)</f>
        <v/>
      </c>
      <c r="O404" s="3">
        <f>IF(J404&lt;0, 1, 0)</f>
        <v/>
      </c>
      <c r="P404" s="3">
        <f>SUM($J$3:J404)</f>
        <v/>
      </c>
      <c r="Q404" s="3">
        <f>P404/METRICS!$C$14*100</f>
        <v/>
      </c>
      <c r="R404" s="3">
        <f>METRICS!$C$14+P404</f>
        <v/>
      </c>
      <c r="S404" s="3">
        <f>MAX($R$3:R404)</f>
        <v/>
      </c>
      <c r="T404" s="3">
        <f>R404-S404</f>
        <v/>
      </c>
      <c r="U404" s="3">
        <f>(R404-S404)/S404*100</f>
        <v/>
      </c>
      <c r="V404" s="3">
        <f>IF(K404&lt;0, (K404/100)^2, 0)</f>
        <v/>
      </c>
    </row>
    <row r="405">
      <c r="A405" s="3">
        <f>TEXT(403, """T""0000")</f>
        <v/>
      </c>
      <c r="B405" s="3">
        <f>RAW_INPUT!A405</f>
        <v/>
      </c>
      <c r="C405" s="3">
        <f>RAW_INPUT!B405</f>
        <v/>
      </c>
      <c r="D405" s="3">
        <f>RAW_INPUT!D405</f>
        <v/>
      </c>
      <c r="E405" s="3">
        <f>D405-C405</f>
        <v/>
      </c>
      <c r="F405" s="3">
        <f>RAW_INPUT!C405</f>
        <v/>
      </c>
      <c r="G405" s="3">
        <f>RAW_INPUT!E405</f>
        <v/>
      </c>
      <c r="H405" s="3">
        <f>I405/F405</f>
        <v/>
      </c>
      <c r="I405" s="3">
        <f>METRICS!$C$14 * 0.02</f>
        <v/>
      </c>
      <c r="J405" s="3">
        <f>(G405-F405)*H405</f>
        <v/>
      </c>
      <c r="K405" s="3">
        <f>(G405-F405)/F405*100</f>
        <v/>
      </c>
      <c r="L405" s="3">
        <f>RAW_INPUT!F405</f>
        <v/>
      </c>
      <c r="M405" s="3">
        <f>K405-L405</f>
        <v/>
      </c>
      <c r="N405" s="3">
        <f>IF(J405&gt;0, 1, 0)</f>
        <v/>
      </c>
      <c r="O405" s="3">
        <f>IF(J405&lt;0, 1, 0)</f>
        <v/>
      </c>
      <c r="P405" s="3">
        <f>SUM($J$3:J405)</f>
        <v/>
      </c>
      <c r="Q405" s="3">
        <f>P405/METRICS!$C$14*100</f>
        <v/>
      </c>
      <c r="R405" s="3">
        <f>METRICS!$C$14+P405</f>
        <v/>
      </c>
      <c r="S405" s="3">
        <f>MAX($R$3:R405)</f>
        <v/>
      </c>
      <c r="T405" s="3">
        <f>R405-S405</f>
        <v/>
      </c>
      <c r="U405" s="3">
        <f>(R405-S405)/S405*100</f>
        <v/>
      </c>
      <c r="V405" s="3">
        <f>IF(K405&lt;0, (K405/100)^2, 0)</f>
        <v/>
      </c>
    </row>
    <row r="406">
      <c r="A406" s="3">
        <f>TEXT(404, """T""0000")</f>
        <v/>
      </c>
      <c r="B406" s="3">
        <f>RAW_INPUT!A406</f>
        <v/>
      </c>
      <c r="C406" s="3">
        <f>RAW_INPUT!B406</f>
        <v/>
      </c>
      <c r="D406" s="3">
        <f>RAW_INPUT!D406</f>
        <v/>
      </c>
      <c r="E406" s="3">
        <f>D406-C406</f>
        <v/>
      </c>
      <c r="F406" s="3">
        <f>RAW_INPUT!C406</f>
        <v/>
      </c>
      <c r="G406" s="3">
        <f>RAW_INPUT!E406</f>
        <v/>
      </c>
      <c r="H406" s="3">
        <f>I406/F406</f>
        <v/>
      </c>
      <c r="I406" s="3">
        <f>METRICS!$C$14 * 0.02</f>
        <v/>
      </c>
      <c r="J406" s="3">
        <f>(G406-F406)*H406</f>
        <v/>
      </c>
      <c r="K406" s="3">
        <f>(G406-F406)/F406*100</f>
        <v/>
      </c>
      <c r="L406" s="3">
        <f>RAW_INPUT!F406</f>
        <v/>
      </c>
      <c r="M406" s="3">
        <f>K406-L406</f>
        <v/>
      </c>
      <c r="N406" s="3">
        <f>IF(J406&gt;0, 1, 0)</f>
        <v/>
      </c>
      <c r="O406" s="3">
        <f>IF(J406&lt;0, 1, 0)</f>
        <v/>
      </c>
      <c r="P406" s="3">
        <f>SUM($J$3:J406)</f>
        <v/>
      </c>
      <c r="Q406" s="3">
        <f>P406/METRICS!$C$14*100</f>
        <v/>
      </c>
      <c r="R406" s="3">
        <f>METRICS!$C$14+P406</f>
        <v/>
      </c>
      <c r="S406" s="3">
        <f>MAX($R$3:R406)</f>
        <v/>
      </c>
      <c r="T406" s="3">
        <f>R406-S406</f>
        <v/>
      </c>
      <c r="U406" s="3">
        <f>(R406-S406)/S406*100</f>
        <v/>
      </c>
      <c r="V406" s="3">
        <f>IF(K406&lt;0, (K406/100)^2, 0)</f>
        <v/>
      </c>
    </row>
    <row r="407">
      <c r="A407" s="3">
        <f>TEXT(405, """T""0000")</f>
        <v/>
      </c>
      <c r="B407" s="3">
        <f>RAW_INPUT!A407</f>
        <v/>
      </c>
      <c r="C407" s="3">
        <f>RAW_INPUT!B407</f>
        <v/>
      </c>
      <c r="D407" s="3">
        <f>RAW_INPUT!D407</f>
        <v/>
      </c>
      <c r="E407" s="3">
        <f>D407-C407</f>
        <v/>
      </c>
      <c r="F407" s="3">
        <f>RAW_INPUT!C407</f>
        <v/>
      </c>
      <c r="G407" s="3">
        <f>RAW_INPUT!E407</f>
        <v/>
      </c>
      <c r="H407" s="3">
        <f>I407/F407</f>
        <v/>
      </c>
      <c r="I407" s="3">
        <f>METRICS!$C$14 * 0.02</f>
        <v/>
      </c>
      <c r="J407" s="3">
        <f>(G407-F407)*H407</f>
        <v/>
      </c>
      <c r="K407" s="3">
        <f>(G407-F407)/F407*100</f>
        <v/>
      </c>
      <c r="L407" s="3">
        <f>RAW_INPUT!F407</f>
        <v/>
      </c>
      <c r="M407" s="3">
        <f>K407-L407</f>
        <v/>
      </c>
      <c r="N407" s="3">
        <f>IF(J407&gt;0, 1, 0)</f>
        <v/>
      </c>
      <c r="O407" s="3">
        <f>IF(J407&lt;0, 1, 0)</f>
        <v/>
      </c>
      <c r="P407" s="3">
        <f>SUM($J$3:J407)</f>
        <v/>
      </c>
      <c r="Q407" s="3">
        <f>P407/METRICS!$C$14*100</f>
        <v/>
      </c>
      <c r="R407" s="3">
        <f>METRICS!$C$14+P407</f>
        <v/>
      </c>
      <c r="S407" s="3">
        <f>MAX($R$3:R407)</f>
        <v/>
      </c>
      <c r="T407" s="3">
        <f>R407-S407</f>
        <v/>
      </c>
      <c r="U407" s="3">
        <f>(R407-S407)/S407*100</f>
        <v/>
      </c>
      <c r="V407" s="3">
        <f>IF(K407&lt;0, (K407/100)^2, 0)</f>
        <v/>
      </c>
    </row>
    <row r="408">
      <c r="A408" s="3">
        <f>TEXT(406, """T""0000")</f>
        <v/>
      </c>
      <c r="B408" s="3">
        <f>RAW_INPUT!A408</f>
        <v/>
      </c>
      <c r="C408" s="3">
        <f>RAW_INPUT!B408</f>
        <v/>
      </c>
      <c r="D408" s="3">
        <f>RAW_INPUT!D408</f>
        <v/>
      </c>
      <c r="E408" s="3">
        <f>D408-C408</f>
        <v/>
      </c>
      <c r="F408" s="3">
        <f>RAW_INPUT!C408</f>
        <v/>
      </c>
      <c r="G408" s="3">
        <f>RAW_INPUT!E408</f>
        <v/>
      </c>
      <c r="H408" s="3">
        <f>I408/F408</f>
        <v/>
      </c>
      <c r="I408" s="3">
        <f>METRICS!$C$14 * 0.02</f>
        <v/>
      </c>
      <c r="J408" s="3">
        <f>(G408-F408)*H408</f>
        <v/>
      </c>
      <c r="K408" s="3">
        <f>(G408-F408)/F408*100</f>
        <v/>
      </c>
      <c r="L408" s="3">
        <f>RAW_INPUT!F408</f>
        <v/>
      </c>
      <c r="M408" s="3">
        <f>K408-L408</f>
        <v/>
      </c>
      <c r="N408" s="3">
        <f>IF(J408&gt;0, 1, 0)</f>
        <v/>
      </c>
      <c r="O408" s="3">
        <f>IF(J408&lt;0, 1, 0)</f>
        <v/>
      </c>
      <c r="P408" s="3">
        <f>SUM($J$3:J408)</f>
        <v/>
      </c>
      <c r="Q408" s="3">
        <f>P408/METRICS!$C$14*100</f>
        <v/>
      </c>
      <c r="R408" s="3">
        <f>METRICS!$C$14+P408</f>
        <v/>
      </c>
      <c r="S408" s="3">
        <f>MAX($R$3:R408)</f>
        <v/>
      </c>
      <c r="T408" s="3">
        <f>R408-S408</f>
        <v/>
      </c>
      <c r="U408" s="3">
        <f>(R408-S408)/S408*100</f>
        <v/>
      </c>
      <c r="V408" s="3">
        <f>IF(K408&lt;0, (K408/100)^2, 0)</f>
        <v/>
      </c>
    </row>
    <row r="409">
      <c r="A409" s="3">
        <f>TEXT(407, """T""0000")</f>
        <v/>
      </c>
      <c r="B409" s="3">
        <f>RAW_INPUT!A409</f>
        <v/>
      </c>
      <c r="C409" s="3">
        <f>RAW_INPUT!B409</f>
        <v/>
      </c>
      <c r="D409" s="3">
        <f>RAW_INPUT!D409</f>
        <v/>
      </c>
      <c r="E409" s="3">
        <f>D409-C409</f>
        <v/>
      </c>
      <c r="F409" s="3">
        <f>RAW_INPUT!C409</f>
        <v/>
      </c>
      <c r="G409" s="3">
        <f>RAW_INPUT!E409</f>
        <v/>
      </c>
      <c r="H409" s="3">
        <f>I409/F409</f>
        <v/>
      </c>
      <c r="I409" s="3">
        <f>METRICS!$C$14 * 0.02</f>
        <v/>
      </c>
      <c r="J409" s="3">
        <f>(G409-F409)*H409</f>
        <v/>
      </c>
      <c r="K409" s="3">
        <f>(G409-F409)/F409*100</f>
        <v/>
      </c>
      <c r="L409" s="3">
        <f>RAW_INPUT!F409</f>
        <v/>
      </c>
      <c r="M409" s="3">
        <f>K409-L409</f>
        <v/>
      </c>
      <c r="N409" s="3">
        <f>IF(J409&gt;0, 1, 0)</f>
        <v/>
      </c>
      <c r="O409" s="3">
        <f>IF(J409&lt;0, 1, 0)</f>
        <v/>
      </c>
      <c r="P409" s="3">
        <f>SUM($J$3:J409)</f>
        <v/>
      </c>
      <c r="Q409" s="3">
        <f>P409/METRICS!$C$14*100</f>
        <v/>
      </c>
      <c r="R409" s="3">
        <f>METRICS!$C$14+P409</f>
        <v/>
      </c>
      <c r="S409" s="3">
        <f>MAX($R$3:R409)</f>
        <v/>
      </c>
      <c r="T409" s="3">
        <f>R409-S409</f>
        <v/>
      </c>
      <c r="U409" s="3">
        <f>(R409-S409)/S409*100</f>
        <v/>
      </c>
      <c r="V409" s="3">
        <f>IF(K409&lt;0, (K409/100)^2, 0)</f>
        <v/>
      </c>
    </row>
    <row r="410">
      <c r="A410" s="3">
        <f>TEXT(408, """T""0000")</f>
        <v/>
      </c>
      <c r="B410" s="3">
        <f>RAW_INPUT!A410</f>
        <v/>
      </c>
      <c r="C410" s="3">
        <f>RAW_INPUT!B410</f>
        <v/>
      </c>
      <c r="D410" s="3">
        <f>RAW_INPUT!D410</f>
        <v/>
      </c>
      <c r="E410" s="3">
        <f>D410-C410</f>
        <v/>
      </c>
      <c r="F410" s="3">
        <f>RAW_INPUT!C410</f>
        <v/>
      </c>
      <c r="G410" s="3">
        <f>RAW_INPUT!E410</f>
        <v/>
      </c>
      <c r="H410" s="3">
        <f>I410/F410</f>
        <v/>
      </c>
      <c r="I410" s="3">
        <f>METRICS!$C$14 * 0.02</f>
        <v/>
      </c>
      <c r="J410" s="3">
        <f>(G410-F410)*H410</f>
        <v/>
      </c>
      <c r="K410" s="3">
        <f>(G410-F410)/F410*100</f>
        <v/>
      </c>
      <c r="L410" s="3">
        <f>RAW_INPUT!F410</f>
        <v/>
      </c>
      <c r="M410" s="3">
        <f>K410-L410</f>
        <v/>
      </c>
      <c r="N410" s="3">
        <f>IF(J410&gt;0, 1, 0)</f>
        <v/>
      </c>
      <c r="O410" s="3">
        <f>IF(J410&lt;0, 1, 0)</f>
        <v/>
      </c>
      <c r="P410" s="3">
        <f>SUM($J$3:J410)</f>
        <v/>
      </c>
      <c r="Q410" s="3">
        <f>P410/METRICS!$C$14*100</f>
        <v/>
      </c>
      <c r="R410" s="3">
        <f>METRICS!$C$14+P410</f>
        <v/>
      </c>
      <c r="S410" s="3">
        <f>MAX($R$3:R410)</f>
        <v/>
      </c>
      <c r="T410" s="3">
        <f>R410-S410</f>
        <v/>
      </c>
      <c r="U410" s="3">
        <f>(R410-S410)/S410*100</f>
        <v/>
      </c>
      <c r="V410" s="3">
        <f>IF(K410&lt;0, (K410/100)^2, 0)</f>
        <v/>
      </c>
    </row>
    <row r="411">
      <c r="A411" s="3">
        <f>TEXT(409, """T""0000")</f>
        <v/>
      </c>
      <c r="B411" s="3">
        <f>RAW_INPUT!A411</f>
        <v/>
      </c>
      <c r="C411" s="3">
        <f>RAW_INPUT!B411</f>
        <v/>
      </c>
      <c r="D411" s="3">
        <f>RAW_INPUT!D411</f>
        <v/>
      </c>
      <c r="E411" s="3">
        <f>D411-C411</f>
        <v/>
      </c>
      <c r="F411" s="3">
        <f>RAW_INPUT!C411</f>
        <v/>
      </c>
      <c r="G411" s="3">
        <f>RAW_INPUT!E411</f>
        <v/>
      </c>
      <c r="H411" s="3">
        <f>I411/F411</f>
        <v/>
      </c>
      <c r="I411" s="3">
        <f>METRICS!$C$14 * 0.02</f>
        <v/>
      </c>
      <c r="J411" s="3">
        <f>(G411-F411)*H411</f>
        <v/>
      </c>
      <c r="K411" s="3">
        <f>(G411-F411)/F411*100</f>
        <v/>
      </c>
      <c r="L411" s="3">
        <f>RAW_INPUT!F411</f>
        <v/>
      </c>
      <c r="M411" s="3">
        <f>K411-L411</f>
        <v/>
      </c>
      <c r="N411" s="3">
        <f>IF(J411&gt;0, 1, 0)</f>
        <v/>
      </c>
      <c r="O411" s="3">
        <f>IF(J411&lt;0, 1, 0)</f>
        <v/>
      </c>
      <c r="P411" s="3">
        <f>SUM($J$3:J411)</f>
        <v/>
      </c>
      <c r="Q411" s="3">
        <f>P411/METRICS!$C$14*100</f>
        <v/>
      </c>
      <c r="R411" s="3">
        <f>METRICS!$C$14+P411</f>
        <v/>
      </c>
      <c r="S411" s="3">
        <f>MAX($R$3:R411)</f>
        <v/>
      </c>
      <c r="T411" s="3">
        <f>R411-S411</f>
        <v/>
      </c>
      <c r="U411" s="3">
        <f>(R411-S411)/S411*100</f>
        <v/>
      </c>
      <c r="V411" s="3">
        <f>IF(K411&lt;0, (K411/100)^2, 0)</f>
        <v/>
      </c>
    </row>
    <row r="412">
      <c r="A412" s="3">
        <f>TEXT(410, """T""0000")</f>
        <v/>
      </c>
      <c r="B412" s="3">
        <f>RAW_INPUT!A412</f>
        <v/>
      </c>
      <c r="C412" s="3">
        <f>RAW_INPUT!B412</f>
        <v/>
      </c>
      <c r="D412" s="3">
        <f>RAW_INPUT!D412</f>
        <v/>
      </c>
      <c r="E412" s="3">
        <f>D412-C412</f>
        <v/>
      </c>
      <c r="F412" s="3">
        <f>RAW_INPUT!C412</f>
        <v/>
      </c>
      <c r="G412" s="3">
        <f>RAW_INPUT!E412</f>
        <v/>
      </c>
      <c r="H412" s="3">
        <f>I412/F412</f>
        <v/>
      </c>
      <c r="I412" s="3">
        <f>METRICS!$C$14 * 0.02</f>
        <v/>
      </c>
      <c r="J412" s="3">
        <f>(G412-F412)*H412</f>
        <v/>
      </c>
      <c r="K412" s="3">
        <f>(G412-F412)/F412*100</f>
        <v/>
      </c>
      <c r="L412" s="3">
        <f>RAW_INPUT!F412</f>
        <v/>
      </c>
      <c r="M412" s="3">
        <f>K412-L412</f>
        <v/>
      </c>
      <c r="N412" s="3">
        <f>IF(J412&gt;0, 1, 0)</f>
        <v/>
      </c>
      <c r="O412" s="3">
        <f>IF(J412&lt;0, 1, 0)</f>
        <v/>
      </c>
      <c r="P412" s="3">
        <f>SUM($J$3:J412)</f>
        <v/>
      </c>
      <c r="Q412" s="3">
        <f>P412/METRICS!$C$14*100</f>
        <v/>
      </c>
      <c r="R412" s="3">
        <f>METRICS!$C$14+P412</f>
        <v/>
      </c>
      <c r="S412" s="3">
        <f>MAX($R$3:R412)</f>
        <v/>
      </c>
      <c r="T412" s="3">
        <f>R412-S412</f>
        <v/>
      </c>
      <c r="U412" s="3">
        <f>(R412-S412)/S412*100</f>
        <v/>
      </c>
      <c r="V412" s="3">
        <f>IF(K412&lt;0, (K412/100)^2, 0)</f>
        <v/>
      </c>
    </row>
    <row r="413">
      <c r="A413" s="3">
        <f>TEXT(411, """T""0000")</f>
        <v/>
      </c>
      <c r="B413" s="3">
        <f>RAW_INPUT!A413</f>
        <v/>
      </c>
      <c r="C413" s="3">
        <f>RAW_INPUT!B413</f>
        <v/>
      </c>
      <c r="D413" s="3">
        <f>RAW_INPUT!D413</f>
        <v/>
      </c>
      <c r="E413" s="3">
        <f>D413-C413</f>
        <v/>
      </c>
      <c r="F413" s="3">
        <f>RAW_INPUT!C413</f>
        <v/>
      </c>
      <c r="G413" s="3">
        <f>RAW_INPUT!E413</f>
        <v/>
      </c>
      <c r="H413" s="3">
        <f>I413/F413</f>
        <v/>
      </c>
      <c r="I413" s="3">
        <f>METRICS!$C$14 * 0.02</f>
        <v/>
      </c>
      <c r="J413" s="3">
        <f>(G413-F413)*H413</f>
        <v/>
      </c>
      <c r="K413" s="3">
        <f>(G413-F413)/F413*100</f>
        <v/>
      </c>
      <c r="L413" s="3">
        <f>RAW_INPUT!F413</f>
        <v/>
      </c>
      <c r="M413" s="3">
        <f>K413-L413</f>
        <v/>
      </c>
      <c r="N413" s="3">
        <f>IF(J413&gt;0, 1, 0)</f>
        <v/>
      </c>
      <c r="O413" s="3">
        <f>IF(J413&lt;0, 1, 0)</f>
        <v/>
      </c>
      <c r="P413" s="3">
        <f>SUM($J$3:J413)</f>
        <v/>
      </c>
      <c r="Q413" s="3">
        <f>P413/METRICS!$C$14*100</f>
        <v/>
      </c>
      <c r="R413" s="3">
        <f>METRICS!$C$14+P413</f>
        <v/>
      </c>
      <c r="S413" s="3">
        <f>MAX($R$3:R413)</f>
        <v/>
      </c>
      <c r="T413" s="3">
        <f>R413-S413</f>
        <v/>
      </c>
      <c r="U413" s="3">
        <f>(R413-S413)/S413*100</f>
        <v/>
      </c>
      <c r="V413" s="3">
        <f>IF(K413&lt;0, (K413/100)^2, 0)</f>
        <v/>
      </c>
    </row>
    <row r="414">
      <c r="A414" s="3">
        <f>TEXT(412, """T""0000")</f>
        <v/>
      </c>
      <c r="B414" s="3">
        <f>RAW_INPUT!A414</f>
        <v/>
      </c>
      <c r="C414" s="3">
        <f>RAW_INPUT!B414</f>
        <v/>
      </c>
      <c r="D414" s="3">
        <f>RAW_INPUT!D414</f>
        <v/>
      </c>
      <c r="E414" s="3">
        <f>D414-C414</f>
        <v/>
      </c>
      <c r="F414" s="3">
        <f>RAW_INPUT!C414</f>
        <v/>
      </c>
      <c r="G414" s="3">
        <f>RAW_INPUT!E414</f>
        <v/>
      </c>
      <c r="H414" s="3">
        <f>I414/F414</f>
        <v/>
      </c>
      <c r="I414" s="3">
        <f>METRICS!$C$14 * 0.02</f>
        <v/>
      </c>
      <c r="J414" s="3">
        <f>(G414-F414)*H414</f>
        <v/>
      </c>
      <c r="K414" s="3">
        <f>(G414-F414)/F414*100</f>
        <v/>
      </c>
      <c r="L414" s="3">
        <f>RAW_INPUT!F414</f>
        <v/>
      </c>
      <c r="M414" s="3">
        <f>K414-L414</f>
        <v/>
      </c>
      <c r="N414" s="3">
        <f>IF(J414&gt;0, 1, 0)</f>
        <v/>
      </c>
      <c r="O414" s="3">
        <f>IF(J414&lt;0, 1, 0)</f>
        <v/>
      </c>
      <c r="P414" s="3">
        <f>SUM($J$3:J414)</f>
        <v/>
      </c>
      <c r="Q414" s="3">
        <f>P414/METRICS!$C$14*100</f>
        <v/>
      </c>
      <c r="R414" s="3">
        <f>METRICS!$C$14+P414</f>
        <v/>
      </c>
      <c r="S414" s="3">
        <f>MAX($R$3:R414)</f>
        <v/>
      </c>
      <c r="T414" s="3">
        <f>R414-S414</f>
        <v/>
      </c>
      <c r="U414" s="3">
        <f>(R414-S414)/S414*100</f>
        <v/>
      </c>
      <c r="V414" s="3">
        <f>IF(K414&lt;0, (K414/100)^2, 0)</f>
        <v/>
      </c>
    </row>
    <row r="415">
      <c r="A415" s="3">
        <f>TEXT(413, """T""0000")</f>
        <v/>
      </c>
      <c r="B415" s="3">
        <f>RAW_INPUT!A415</f>
        <v/>
      </c>
      <c r="C415" s="3">
        <f>RAW_INPUT!B415</f>
        <v/>
      </c>
      <c r="D415" s="3">
        <f>RAW_INPUT!D415</f>
        <v/>
      </c>
      <c r="E415" s="3">
        <f>D415-C415</f>
        <v/>
      </c>
      <c r="F415" s="3">
        <f>RAW_INPUT!C415</f>
        <v/>
      </c>
      <c r="G415" s="3">
        <f>RAW_INPUT!E415</f>
        <v/>
      </c>
      <c r="H415" s="3">
        <f>I415/F415</f>
        <v/>
      </c>
      <c r="I415" s="3">
        <f>METRICS!$C$14 * 0.02</f>
        <v/>
      </c>
      <c r="J415" s="3">
        <f>(G415-F415)*H415</f>
        <v/>
      </c>
      <c r="K415" s="3">
        <f>(G415-F415)/F415*100</f>
        <v/>
      </c>
      <c r="L415" s="3">
        <f>RAW_INPUT!F415</f>
        <v/>
      </c>
      <c r="M415" s="3">
        <f>K415-L415</f>
        <v/>
      </c>
      <c r="N415" s="3">
        <f>IF(J415&gt;0, 1, 0)</f>
        <v/>
      </c>
      <c r="O415" s="3">
        <f>IF(J415&lt;0, 1, 0)</f>
        <v/>
      </c>
      <c r="P415" s="3">
        <f>SUM($J$3:J415)</f>
        <v/>
      </c>
      <c r="Q415" s="3">
        <f>P415/METRICS!$C$14*100</f>
        <v/>
      </c>
      <c r="R415" s="3">
        <f>METRICS!$C$14+P415</f>
        <v/>
      </c>
      <c r="S415" s="3">
        <f>MAX($R$3:R415)</f>
        <v/>
      </c>
      <c r="T415" s="3">
        <f>R415-S415</f>
        <v/>
      </c>
      <c r="U415" s="3">
        <f>(R415-S415)/S415*100</f>
        <v/>
      </c>
      <c r="V415" s="3">
        <f>IF(K415&lt;0, (K415/100)^2, 0)</f>
        <v/>
      </c>
    </row>
    <row r="416">
      <c r="A416" s="3">
        <f>TEXT(414, """T""0000")</f>
        <v/>
      </c>
      <c r="B416" s="3">
        <f>RAW_INPUT!A416</f>
        <v/>
      </c>
      <c r="C416" s="3">
        <f>RAW_INPUT!B416</f>
        <v/>
      </c>
      <c r="D416" s="3">
        <f>RAW_INPUT!D416</f>
        <v/>
      </c>
      <c r="E416" s="3">
        <f>D416-C416</f>
        <v/>
      </c>
      <c r="F416" s="3">
        <f>RAW_INPUT!C416</f>
        <v/>
      </c>
      <c r="G416" s="3">
        <f>RAW_INPUT!E416</f>
        <v/>
      </c>
      <c r="H416" s="3">
        <f>I416/F416</f>
        <v/>
      </c>
      <c r="I416" s="3">
        <f>METRICS!$C$14 * 0.02</f>
        <v/>
      </c>
      <c r="J416" s="3">
        <f>(G416-F416)*H416</f>
        <v/>
      </c>
      <c r="K416" s="3">
        <f>(G416-F416)/F416*100</f>
        <v/>
      </c>
      <c r="L416" s="3">
        <f>RAW_INPUT!F416</f>
        <v/>
      </c>
      <c r="M416" s="3">
        <f>K416-L416</f>
        <v/>
      </c>
      <c r="N416" s="3">
        <f>IF(J416&gt;0, 1, 0)</f>
        <v/>
      </c>
      <c r="O416" s="3">
        <f>IF(J416&lt;0, 1, 0)</f>
        <v/>
      </c>
      <c r="P416" s="3">
        <f>SUM($J$3:J416)</f>
        <v/>
      </c>
      <c r="Q416" s="3">
        <f>P416/METRICS!$C$14*100</f>
        <v/>
      </c>
      <c r="R416" s="3">
        <f>METRICS!$C$14+P416</f>
        <v/>
      </c>
      <c r="S416" s="3">
        <f>MAX($R$3:R416)</f>
        <v/>
      </c>
      <c r="T416" s="3">
        <f>R416-S416</f>
        <v/>
      </c>
      <c r="U416" s="3">
        <f>(R416-S416)/S416*100</f>
        <v/>
      </c>
      <c r="V416" s="3">
        <f>IF(K416&lt;0, (K416/100)^2, 0)</f>
        <v/>
      </c>
    </row>
    <row r="417">
      <c r="A417" s="3">
        <f>TEXT(415, """T""0000")</f>
        <v/>
      </c>
      <c r="B417" s="3">
        <f>RAW_INPUT!A417</f>
        <v/>
      </c>
      <c r="C417" s="3">
        <f>RAW_INPUT!B417</f>
        <v/>
      </c>
      <c r="D417" s="3">
        <f>RAW_INPUT!D417</f>
        <v/>
      </c>
      <c r="E417" s="3">
        <f>D417-C417</f>
        <v/>
      </c>
      <c r="F417" s="3">
        <f>RAW_INPUT!C417</f>
        <v/>
      </c>
      <c r="G417" s="3">
        <f>RAW_INPUT!E417</f>
        <v/>
      </c>
      <c r="H417" s="3">
        <f>I417/F417</f>
        <v/>
      </c>
      <c r="I417" s="3">
        <f>METRICS!$C$14 * 0.02</f>
        <v/>
      </c>
      <c r="J417" s="3">
        <f>(G417-F417)*H417</f>
        <v/>
      </c>
      <c r="K417" s="3">
        <f>(G417-F417)/F417*100</f>
        <v/>
      </c>
      <c r="L417" s="3">
        <f>RAW_INPUT!F417</f>
        <v/>
      </c>
      <c r="M417" s="3">
        <f>K417-L417</f>
        <v/>
      </c>
      <c r="N417" s="3">
        <f>IF(J417&gt;0, 1, 0)</f>
        <v/>
      </c>
      <c r="O417" s="3">
        <f>IF(J417&lt;0, 1, 0)</f>
        <v/>
      </c>
      <c r="P417" s="3">
        <f>SUM($J$3:J417)</f>
        <v/>
      </c>
      <c r="Q417" s="3">
        <f>P417/METRICS!$C$14*100</f>
        <v/>
      </c>
      <c r="R417" s="3">
        <f>METRICS!$C$14+P417</f>
        <v/>
      </c>
      <c r="S417" s="3">
        <f>MAX($R$3:R417)</f>
        <v/>
      </c>
      <c r="T417" s="3">
        <f>R417-S417</f>
        <v/>
      </c>
      <c r="U417" s="3">
        <f>(R417-S417)/S417*100</f>
        <v/>
      </c>
      <c r="V417" s="3">
        <f>IF(K417&lt;0, (K417/100)^2, 0)</f>
        <v/>
      </c>
    </row>
    <row r="418">
      <c r="A418" s="3">
        <f>TEXT(416, """T""0000")</f>
        <v/>
      </c>
      <c r="B418" s="3">
        <f>RAW_INPUT!A418</f>
        <v/>
      </c>
      <c r="C418" s="3">
        <f>RAW_INPUT!B418</f>
        <v/>
      </c>
      <c r="D418" s="3">
        <f>RAW_INPUT!D418</f>
        <v/>
      </c>
      <c r="E418" s="3">
        <f>D418-C418</f>
        <v/>
      </c>
      <c r="F418" s="3">
        <f>RAW_INPUT!C418</f>
        <v/>
      </c>
      <c r="G418" s="3">
        <f>RAW_INPUT!E418</f>
        <v/>
      </c>
      <c r="H418" s="3">
        <f>I418/F418</f>
        <v/>
      </c>
      <c r="I418" s="3">
        <f>METRICS!$C$14 * 0.02</f>
        <v/>
      </c>
      <c r="J418" s="3">
        <f>(G418-F418)*H418</f>
        <v/>
      </c>
      <c r="K418" s="3">
        <f>(G418-F418)/F418*100</f>
        <v/>
      </c>
      <c r="L418" s="3">
        <f>RAW_INPUT!F418</f>
        <v/>
      </c>
      <c r="M418" s="3">
        <f>K418-L418</f>
        <v/>
      </c>
      <c r="N418" s="3">
        <f>IF(J418&gt;0, 1, 0)</f>
        <v/>
      </c>
      <c r="O418" s="3">
        <f>IF(J418&lt;0, 1, 0)</f>
        <v/>
      </c>
      <c r="P418" s="3">
        <f>SUM($J$3:J418)</f>
        <v/>
      </c>
      <c r="Q418" s="3">
        <f>P418/METRICS!$C$14*100</f>
        <v/>
      </c>
      <c r="R418" s="3">
        <f>METRICS!$C$14+P418</f>
        <v/>
      </c>
      <c r="S418" s="3">
        <f>MAX($R$3:R418)</f>
        <v/>
      </c>
      <c r="T418" s="3">
        <f>R418-S418</f>
        <v/>
      </c>
      <c r="U418" s="3">
        <f>(R418-S418)/S418*100</f>
        <v/>
      </c>
      <c r="V418" s="3">
        <f>IF(K418&lt;0, (K418/100)^2, 0)</f>
        <v/>
      </c>
    </row>
    <row r="419">
      <c r="A419" s="3">
        <f>TEXT(417, """T""0000")</f>
        <v/>
      </c>
      <c r="B419" s="3">
        <f>RAW_INPUT!A419</f>
        <v/>
      </c>
      <c r="C419" s="3">
        <f>RAW_INPUT!B419</f>
        <v/>
      </c>
      <c r="D419" s="3">
        <f>RAW_INPUT!D419</f>
        <v/>
      </c>
      <c r="E419" s="3">
        <f>D419-C419</f>
        <v/>
      </c>
      <c r="F419" s="3">
        <f>RAW_INPUT!C419</f>
        <v/>
      </c>
      <c r="G419" s="3">
        <f>RAW_INPUT!E419</f>
        <v/>
      </c>
      <c r="H419" s="3">
        <f>I419/F419</f>
        <v/>
      </c>
      <c r="I419" s="3">
        <f>METRICS!$C$14 * 0.02</f>
        <v/>
      </c>
      <c r="J419" s="3">
        <f>(G419-F419)*H419</f>
        <v/>
      </c>
      <c r="K419" s="3">
        <f>(G419-F419)/F419*100</f>
        <v/>
      </c>
      <c r="L419" s="3">
        <f>RAW_INPUT!F419</f>
        <v/>
      </c>
      <c r="M419" s="3">
        <f>K419-L419</f>
        <v/>
      </c>
      <c r="N419" s="3">
        <f>IF(J419&gt;0, 1, 0)</f>
        <v/>
      </c>
      <c r="O419" s="3">
        <f>IF(J419&lt;0, 1, 0)</f>
        <v/>
      </c>
      <c r="P419" s="3">
        <f>SUM($J$3:J419)</f>
        <v/>
      </c>
      <c r="Q419" s="3">
        <f>P419/METRICS!$C$14*100</f>
        <v/>
      </c>
      <c r="R419" s="3">
        <f>METRICS!$C$14+P419</f>
        <v/>
      </c>
      <c r="S419" s="3">
        <f>MAX($R$3:R419)</f>
        <v/>
      </c>
      <c r="T419" s="3">
        <f>R419-S419</f>
        <v/>
      </c>
      <c r="U419" s="3">
        <f>(R419-S419)/S419*100</f>
        <v/>
      </c>
      <c r="V419" s="3">
        <f>IF(K419&lt;0, (K419/100)^2, 0)</f>
        <v/>
      </c>
    </row>
    <row r="420">
      <c r="A420" s="3">
        <f>TEXT(418, """T""0000")</f>
        <v/>
      </c>
      <c r="B420" s="3">
        <f>RAW_INPUT!A420</f>
        <v/>
      </c>
      <c r="C420" s="3">
        <f>RAW_INPUT!B420</f>
        <v/>
      </c>
      <c r="D420" s="3">
        <f>RAW_INPUT!D420</f>
        <v/>
      </c>
      <c r="E420" s="3">
        <f>D420-C420</f>
        <v/>
      </c>
      <c r="F420" s="3">
        <f>RAW_INPUT!C420</f>
        <v/>
      </c>
      <c r="G420" s="3">
        <f>RAW_INPUT!E420</f>
        <v/>
      </c>
      <c r="H420" s="3">
        <f>I420/F420</f>
        <v/>
      </c>
      <c r="I420" s="3">
        <f>METRICS!$C$14 * 0.02</f>
        <v/>
      </c>
      <c r="J420" s="3">
        <f>(G420-F420)*H420</f>
        <v/>
      </c>
      <c r="K420" s="3">
        <f>(G420-F420)/F420*100</f>
        <v/>
      </c>
      <c r="L420" s="3">
        <f>RAW_INPUT!F420</f>
        <v/>
      </c>
      <c r="M420" s="3">
        <f>K420-L420</f>
        <v/>
      </c>
      <c r="N420" s="3">
        <f>IF(J420&gt;0, 1, 0)</f>
        <v/>
      </c>
      <c r="O420" s="3">
        <f>IF(J420&lt;0, 1, 0)</f>
        <v/>
      </c>
      <c r="P420" s="3">
        <f>SUM($J$3:J420)</f>
        <v/>
      </c>
      <c r="Q420" s="3">
        <f>P420/METRICS!$C$14*100</f>
        <v/>
      </c>
      <c r="R420" s="3">
        <f>METRICS!$C$14+P420</f>
        <v/>
      </c>
      <c r="S420" s="3">
        <f>MAX($R$3:R420)</f>
        <v/>
      </c>
      <c r="T420" s="3">
        <f>R420-S420</f>
        <v/>
      </c>
      <c r="U420" s="3">
        <f>(R420-S420)/S420*100</f>
        <v/>
      </c>
      <c r="V420" s="3">
        <f>IF(K420&lt;0, (K420/100)^2, 0)</f>
        <v/>
      </c>
    </row>
    <row r="421">
      <c r="A421" s="3">
        <f>TEXT(419, """T""0000")</f>
        <v/>
      </c>
      <c r="B421" s="3">
        <f>RAW_INPUT!A421</f>
        <v/>
      </c>
      <c r="C421" s="3">
        <f>RAW_INPUT!B421</f>
        <v/>
      </c>
      <c r="D421" s="3">
        <f>RAW_INPUT!D421</f>
        <v/>
      </c>
      <c r="E421" s="3">
        <f>D421-C421</f>
        <v/>
      </c>
      <c r="F421" s="3">
        <f>RAW_INPUT!C421</f>
        <v/>
      </c>
      <c r="G421" s="3">
        <f>RAW_INPUT!E421</f>
        <v/>
      </c>
      <c r="H421" s="3">
        <f>I421/F421</f>
        <v/>
      </c>
      <c r="I421" s="3">
        <f>METRICS!$C$14 * 0.02</f>
        <v/>
      </c>
      <c r="J421" s="3">
        <f>(G421-F421)*H421</f>
        <v/>
      </c>
      <c r="K421" s="3">
        <f>(G421-F421)/F421*100</f>
        <v/>
      </c>
      <c r="L421" s="3">
        <f>RAW_INPUT!F421</f>
        <v/>
      </c>
      <c r="M421" s="3">
        <f>K421-L421</f>
        <v/>
      </c>
      <c r="N421" s="3">
        <f>IF(J421&gt;0, 1, 0)</f>
        <v/>
      </c>
      <c r="O421" s="3">
        <f>IF(J421&lt;0, 1, 0)</f>
        <v/>
      </c>
      <c r="P421" s="3">
        <f>SUM($J$3:J421)</f>
        <v/>
      </c>
      <c r="Q421" s="3">
        <f>P421/METRICS!$C$14*100</f>
        <v/>
      </c>
      <c r="R421" s="3">
        <f>METRICS!$C$14+P421</f>
        <v/>
      </c>
      <c r="S421" s="3">
        <f>MAX($R$3:R421)</f>
        <v/>
      </c>
      <c r="T421" s="3">
        <f>R421-S421</f>
        <v/>
      </c>
      <c r="U421" s="3">
        <f>(R421-S421)/S421*100</f>
        <v/>
      </c>
      <c r="V421" s="3">
        <f>IF(K421&lt;0, (K421/100)^2, 0)</f>
        <v/>
      </c>
    </row>
    <row r="422">
      <c r="A422" s="3">
        <f>TEXT(420, """T""0000")</f>
        <v/>
      </c>
      <c r="B422" s="3">
        <f>RAW_INPUT!A422</f>
        <v/>
      </c>
      <c r="C422" s="3">
        <f>RAW_INPUT!B422</f>
        <v/>
      </c>
      <c r="D422" s="3">
        <f>RAW_INPUT!D422</f>
        <v/>
      </c>
      <c r="E422" s="3">
        <f>D422-C422</f>
        <v/>
      </c>
      <c r="F422" s="3">
        <f>RAW_INPUT!C422</f>
        <v/>
      </c>
      <c r="G422" s="3">
        <f>RAW_INPUT!E422</f>
        <v/>
      </c>
      <c r="H422" s="3">
        <f>I422/F422</f>
        <v/>
      </c>
      <c r="I422" s="3">
        <f>METRICS!$C$14 * 0.02</f>
        <v/>
      </c>
      <c r="J422" s="3">
        <f>(G422-F422)*H422</f>
        <v/>
      </c>
      <c r="K422" s="3">
        <f>(G422-F422)/F422*100</f>
        <v/>
      </c>
      <c r="L422" s="3">
        <f>RAW_INPUT!F422</f>
        <v/>
      </c>
      <c r="M422" s="3">
        <f>K422-L422</f>
        <v/>
      </c>
      <c r="N422" s="3">
        <f>IF(J422&gt;0, 1, 0)</f>
        <v/>
      </c>
      <c r="O422" s="3">
        <f>IF(J422&lt;0, 1, 0)</f>
        <v/>
      </c>
      <c r="P422" s="3">
        <f>SUM($J$3:J422)</f>
        <v/>
      </c>
      <c r="Q422" s="3">
        <f>P422/METRICS!$C$14*100</f>
        <v/>
      </c>
      <c r="R422" s="3">
        <f>METRICS!$C$14+P422</f>
        <v/>
      </c>
      <c r="S422" s="3">
        <f>MAX($R$3:R422)</f>
        <v/>
      </c>
      <c r="T422" s="3">
        <f>R422-S422</f>
        <v/>
      </c>
      <c r="U422" s="3">
        <f>(R422-S422)/S422*100</f>
        <v/>
      </c>
      <c r="V422" s="3">
        <f>IF(K422&lt;0, (K422/100)^2, 0)</f>
        <v/>
      </c>
    </row>
    <row r="423">
      <c r="A423" s="3">
        <f>TEXT(421, """T""0000")</f>
        <v/>
      </c>
      <c r="B423" s="3">
        <f>RAW_INPUT!A423</f>
        <v/>
      </c>
      <c r="C423" s="3">
        <f>RAW_INPUT!B423</f>
        <v/>
      </c>
      <c r="D423" s="3">
        <f>RAW_INPUT!D423</f>
        <v/>
      </c>
      <c r="E423" s="3">
        <f>D423-C423</f>
        <v/>
      </c>
      <c r="F423" s="3">
        <f>RAW_INPUT!C423</f>
        <v/>
      </c>
      <c r="G423" s="3">
        <f>RAW_INPUT!E423</f>
        <v/>
      </c>
      <c r="H423" s="3">
        <f>I423/F423</f>
        <v/>
      </c>
      <c r="I423" s="3">
        <f>METRICS!$C$14 * 0.02</f>
        <v/>
      </c>
      <c r="J423" s="3">
        <f>(G423-F423)*H423</f>
        <v/>
      </c>
      <c r="K423" s="3">
        <f>(G423-F423)/F423*100</f>
        <v/>
      </c>
      <c r="L423" s="3">
        <f>RAW_INPUT!F423</f>
        <v/>
      </c>
      <c r="M423" s="3">
        <f>K423-L423</f>
        <v/>
      </c>
      <c r="N423" s="3">
        <f>IF(J423&gt;0, 1, 0)</f>
        <v/>
      </c>
      <c r="O423" s="3">
        <f>IF(J423&lt;0, 1, 0)</f>
        <v/>
      </c>
      <c r="P423" s="3">
        <f>SUM($J$3:J423)</f>
        <v/>
      </c>
      <c r="Q423" s="3">
        <f>P423/METRICS!$C$14*100</f>
        <v/>
      </c>
      <c r="R423" s="3">
        <f>METRICS!$C$14+P423</f>
        <v/>
      </c>
      <c r="S423" s="3">
        <f>MAX($R$3:R423)</f>
        <v/>
      </c>
      <c r="T423" s="3">
        <f>R423-S423</f>
        <v/>
      </c>
      <c r="U423" s="3">
        <f>(R423-S423)/S423*100</f>
        <v/>
      </c>
      <c r="V423" s="3">
        <f>IF(K423&lt;0, (K423/100)^2, 0)</f>
        <v/>
      </c>
    </row>
    <row r="424">
      <c r="A424" s="3">
        <f>TEXT(422, """T""0000")</f>
        <v/>
      </c>
      <c r="B424" s="3">
        <f>RAW_INPUT!A424</f>
        <v/>
      </c>
      <c r="C424" s="3">
        <f>RAW_INPUT!B424</f>
        <v/>
      </c>
      <c r="D424" s="3">
        <f>RAW_INPUT!D424</f>
        <v/>
      </c>
      <c r="E424" s="3">
        <f>D424-C424</f>
        <v/>
      </c>
      <c r="F424" s="3">
        <f>RAW_INPUT!C424</f>
        <v/>
      </c>
      <c r="G424" s="3">
        <f>RAW_INPUT!E424</f>
        <v/>
      </c>
      <c r="H424" s="3">
        <f>I424/F424</f>
        <v/>
      </c>
      <c r="I424" s="3">
        <f>METRICS!$C$14 * 0.02</f>
        <v/>
      </c>
      <c r="J424" s="3">
        <f>(G424-F424)*H424</f>
        <v/>
      </c>
      <c r="K424" s="3">
        <f>(G424-F424)/F424*100</f>
        <v/>
      </c>
      <c r="L424" s="3">
        <f>RAW_INPUT!F424</f>
        <v/>
      </c>
      <c r="M424" s="3">
        <f>K424-L424</f>
        <v/>
      </c>
      <c r="N424" s="3">
        <f>IF(J424&gt;0, 1, 0)</f>
        <v/>
      </c>
      <c r="O424" s="3">
        <f>IF(J424&lt;0, 1, 0)</f>
        <v/>
      </c>
      <c r="P424" s="3">
        <f>SUM($J$3:J424)</f>
        <v/>
      </c>
      <c r="Q424" s="3">
        <f>P424/METRICS!$C$14*100</f>
        <v/>
      </c>
      <c r="R424" s="3">
        <f>METRICS!$C$14+P424</f>
        <v/>
      </c>
      <c r="S424" s="3">
        <f>MAX($R$3:R424)</f>
        <v/>
      </c>
      <c r="T424" s="3">
        <f>R424-S424</f>
        <v/>
      </c>
      <c r="U424" s="3">
        <f>(R424-S424)/S424*100</f>
        <v/>
      </c>
      <c r="V424" s="3">
        <f>IF(K424&lt;0, (K424/100)^2, 0)</f>
        <v/>
      </c>
    </row>
    <row r="425">
      <c r="A425" s="3">
        <f>TEXT(423, """T""0000")</f>
        <v/>
      </c>
      <c r="B425" s="3">
        <f>RAW_INPUT!A425</f>
        <v/>
      </c>
      <c r="C425" s="3">
        <f>RAW_INPUT!B425</f>
        <v/>
      </c>
      <c r="D425" s="3">
        <f>RAW_INPUT!D425</f>
        <v/>
      </c>
      <c r="E425" s="3">
        <f>D425-C425</f>
        <v/>
      </c>
      <c r="F425" s="3">
        <f>RAW_INPUT!C425</f>
        <v/>
      </c>
      <c r="G425" s="3">
        <f>RAW_INPUT!E425</f>
        <v/>
      </c>
      <c r="H425" s="3">
        <f>I425/F425</f>
        <v/>
      </c>
      <c r="I425" s="3">
        <f>METRICS!$C$14 * 0.02</f>
        <v/>
      </c>
      <c r="J425" s="3">
        <f>(G425-F425)*H425</f>
        <v/>
      </c>
      <c r="K425" s="3">
        <f>(G425-F425)/F425*100</f>
        <v/>
      </c>
      <c r="L425" s="3">
        <f>RAW_INPUT!F425</f>
        <v/>
      </c>
      <c r="M425" s="3">
        <f>K425-L425</f>
        <v/>
      </c>
      <c r="N425" s="3">
        <f>IF(J425&gt;0, 1, 0)</f>
        <v/>
      </c>
      <c r="O425" s="3">
        <f>IF(J425&lt;0, 1, 0)</f>
        <v/>
      </c>
      <c r="P425" s="3">
        <f>SUM($J$3:J425)</f>
        <v/>
      </c>
      <c r="Q425" s="3">
        <f>P425/METRICS!$C$14*100</f>
        <v/>
      </c>
      <c r="R425" s="3">
        <f>METRICS!$C$14+P425</f>
        <v/>
      </c>
      <c r="S425" s="3">
        <f>MAX($R$3:R425)</f>
        <v/>
      </c>
      <c r="T425" s="3">
        <f>R425-S425</f>
        <v/>
      </c>
      <c r="U425" s="3">
        <f>(R425-S425)/S425*100</f>
        <v/>
      </c>
      <c r="V425" s="3">
        <f>IF(K425&lt;0, (K425/100)^2, 0)</f>
        <v/>
      </c>
    </row>
    <row r="426">
      <c r="A426" s="3">
        <f>TEXT(424, """T""0000")</f>
        <v/>
      </c>
      <c r="B426" s="3">
        <f>RAW_INPUT!A426</f>
        <v/>
      </c>
      <c r="C426" s="3">
        <f>RAW_INPUT!B426</f>
        <v/>
      </c>
      <c r="D426" s="3">
        <f>RAW_INPUT!D426</f>
        <v/>
      </c>
      <c r="E426" s="3">
        <f>D426-C426</f>
        <v/>
      </c>
      <c r="F426" s="3">
        <f>RAW_INPUT!C426</f>
        <v/>
      </c>
      <c r="G426" s="3">
        <f>RAW_INPUT!E426</f>
        <v/>
      </c>
      <c r="H426" s="3">
        <f>I426/F426</f>
        <v/>
      </c>
      <c r="I426" s="3">
        <f>METRICS!$C$14 * 0.02</f>
        <v/>
      </c>
      <c r="J426" s="3">
        <f>(G426-F426)*H426</f>
        <v/>
      </c>
      <c r="K426" s="3">
        <f>(G426-F426)/F426*100</f>
        <v/>
      </c>
      <c r="L426" s="3">
        <f>RAW_INPUT!F426</f>
        <v/>
      </c>
      <c r="M426" s="3">
        <f>K426-L426</f>
        <v/>
      </c>
      <c r="N426" s="3">
        <f>IF(J426&gt;0, 1, 0)</f>
        <v/>
      </c>
      <c r="O426" s="3">
        <f>IF(J426&lt;0, 1, 0)</f>
        <v/>
      </c>
      <c r="P426" s="3">
        <f>SUM($J$3:J426)</f>
        <v/>
      </c>
      <c r="Q426" s="3">
        <f>P426/METRICS!$C$14*100</f>
        <v/>
      </c>
      <c r="R426" s="3">
        <f>METRICS!$C$14+P426</f>
        <v/>
      </c>
      <c r="S426" s="3">
        <f>MAX($R$3:R426)</f>
        <v/>
      </c>
      <c r="T426" s="3">
        <f>R426-S426</f>
        <v/>
      </c>
      <c r="U426" s="3">
        <f>(R426-S426)/S426*100</f>
        <v/>
      </c>
      <c r="V426" s="3">
        <f>IF(K426&lt;0, (K426/100)^2, 0)</f>
        <v/>
      </c>
    </row>
    <row r="427">
      <c r="A427" s="3">
        <f>TEXT(425, """T""0000")</f>
        <v/>
      </c>
      <c r="B427" s="3">
        <f>RAW_INPUT!A427</f>
        <v/>
      </c>
      <c r="C427" s="3">
        <f>RAW_INPUT!B427</f>
        <v/>
      </c>
      <c r="D427" s="3">
        <f>RAW_INPUT!D427</f>
        <v/>
      </c>
      <c r="E427" s="3">
        <f>D427-C427</f>
        <v/>
      </c>
      <c r="F427" s="3">
        <f>RAW_INPUT!C427</f>
        <v/>
      </c>
      <c r="G427" s="3">
        <f>RAW_INPUT!E427</f>
        <v/>
      </c>
      <c r="H427" s="3">
        <f>I427/F427</f>
        <v/>
      </c>
      <c r="I427" s="3">
        <f>METRICS!$C$14 * 0.02</f>
        <v/>
      </c>
      <c r="J427" s="3">
        <f>(G427-F427)*H427</f>
        <v/>
      </c>
      <c r="K427" s="3">
        <f>(G427-F427)/F427*100</f>
        <v/>
      </c>
      <c r="L427" s="3">
        <f>RAW_INPUT!F427</f>
        <v/>
      </c>
      <c r="M427" s="3">
        <f>K427-L427</f>
        <v/>
      </c>
      <c r="N427" s="3">
        <f>IF(J427&gt;0, 1, 0)</f>
        <v/>
      </c>
      <c r="O427" s="3">
        <f>IF(J427&lt;0, 1, 0)</f>
        <v/>
      </c>
      <c r="P427" s="3">
        <f>SUM($J$3:J427)</f>
        <v/>
      </c>
      <c r="Q427" s="3">
        <f>P427/METRICS!$C$14*100</f>
        <v/>
      </c>
      <c r="R427" s="3">
        <f>METRICS!$C$14+P427</f>
        <v/>
      </c>
      <c r="S427" s="3">
        <f>MAX($R$3:R427)</f>
        <v/>
      </c>
      <c r="T427" s="3">
        <f>R427-S427</f>
        <v/>
      </c>
      <c r="U427" s="3">
        <f>(R427-S427)/S427*100</f>
        <v/>
      </c>
      <c r="V427" s="3">
        <f>IF(K427&lt;0, (K427/100)^2, 0)</f>
        <v/>
      </c>
    </row>
    <row r="428">
      <c r="A428" s="3">
        <f>TEXT(426, """T""0000")</f>
        <v/>
      </c>
      <c r="B428" s="3">
        <f>RAW_INPUT!A428</f>
        <v/>
      </c>
      <c r="C428" s="3">
        <f>RAW_INPUT!B428</f>
        <v/>
      </c>
      <c r="D428" s="3">
        <f>RAW_INPUT!D428</f>
        <v/>
      </c>
      <c r="E428" s="3">
        <f>D428-C428</f>
        <v/>
      </c>
      <c r="F428" s="3">
        <f>RAW_INPUT!C428</f>
        <v/>
      </c>
      <c r="G428" s="3">
        <f>RAW_INPUT!E428</f>
        <v/>
      </c>
      <c r="H428" s="3">
        <f>I428/F428</f>
        <v/>
      </c>
      <c r="I428" s="3">
        <f>METRICS!$C$14 * 0.02</f>
        <v/>
      </c>
      <c r="J428" s="3">
        <f>(G428-F428)*H428</f>
        <v/>
      </c>
      <c r="K428" s="3">
        <f>(G428-F428)/F428*100</f>
        <v/>
      </c>
      <c r="L428" s="3">
        <f>RAW_INPUT!F428</f>
        <v/>
      </c>
      <c r="M428" s="3">
        <f>K428-L428</f>
        <v/>
      </c>
      <c r="N428" s="3">
        <f>IF(J428&gt;0, 1, 0)</f>
        <v/>
      </c>
      <c r="O428" s="3">
        <f>IF(J428&lt;0, 1, 0)</f>
        <v/>
      </c>
      <c r="P428" s="3">
        <f>SUM($J$3:J428)</f>
        <v/>
      </c>
      <c r="Q428" s="3">
        <f>P428/METRICS!$C$14*100</f>
        <v/>
      </c>
      <c r="R428" s="3">
        <f>METRICS!$C$14+P428</f>
        <v/>
      </c>
      <c r="S428" s="3">
        <f>MAX($R$3:R428)</f>
        <v/>
      </c>
      <c r="T428" s="3">
        <f>R428-S428</f>
        <v/>
      </c>
      <c r="U428" s="3">
        <f>(R428-S428)/S428*100</f>
        <v/>
      </c>
      <c r="V428" s="3">
        <f>IF(K428&lt;0, (K428/100)^2, 0)</f>
        <v/>
      </c>
    </row>
    <row r="429">
      <c r="A429" s="3">
        <f>TEXT(427, """T""0000")</f>
        <v/>
      </c>
      <c r="B429" s="3">
        <f>RAW_INPUT!A429</f>
        <v/>
      </c>
      <c r="C429" s="3">
        <f>RAW_INPUT!B429</f>
        <v/>
      </c>
      <c r="D429" s="3">
        <f>RAW_INPUT!D429</f>
        <v/>
      </c>
      <c r="E429" s="3">
        <f>D429-C429</f>
        <v/>
      </c>
      <c r="F429" s="3">
        <f>RAW_INPUT!C429</f>
        <v/>
      </c>
      <c r="G429" s="3">
        <f>RAW_INPUT!E429</f>
        <v/>
      </c>
      <c r="H429" s="3">
        <f>I429/F429</f>
        <v/>
      </c>
      <c r="I429" s="3">
        <f>METRICS!$C$14 * 0.02</f>
        <v/>
      </c>
      <c r="J429" s="3">
        <f>(G429-F429)*H429</f>
        <v/>
      </c>
      <c r="K429" s="3">
        <f>(G429-F429)/F429*100</f>
        <v/>
      </c>
      <c r="L429" s="3">
        <f>RAW_INPUT!F429</f>
        <v/>
      </c>
      <c r="M429" s="3">
        <f>K429-L429</f>
        <v/>
      </c>
      <c r="N429" s="3">
        <f>IF(J429&gt;0, 1, 0)</f>
        <v/>
      </c>
      <c r="O429" s="3">
        <f>IF(J429&lt;0, 1, 0)</f>
        <v/>
      </c>
      <c r="P429" s="3">
        <f>SUM($J$3:J429)</f>
        <v/>
      </c>
      <c r="Q429" s="3">
        <f>P429/METRICS!$C$14*100</f>
        <v/>
      </c>
      <c r="R429" s="3">
        <f>METRICS!$C$14+P429</f>
        <v/>
      </c>
      <c r="S429" s="3">
        <f>MAX($R$3:R429)</f>
        <v/>
      </c>
      <c r="T429" s="3">
        <f>R429-S429</f>
        <v/>
      </c>
      <c r="U429" s="3">
        <f>(R429-S429)/S429*100</f>
        <v/>
      </c>
      <c r="V429" s="3">
        <f>IF(K429&lt;0, (K429/100)^2, 0)</f>
        <v/>
      </c>
    </row>
    <row r="430">
      <c r="A430" s="3">
        <f>TEXT(428, """T""0000")</f>
        <v/>
      </c>
      <c r="B430" s="3">
        <f>RAW_INPUT!A430</f>
        <v/>
      </c>
      <c r="C430" s="3">
        <f>RAW_INPUT!B430</f>
        <v/>
      </c>
      <c r="D430" s="3">
        <f>RAW_INPUT!D430</f>
        <v/>
      </c>
      <c r="E430" s="3">
        <f>D430-C430</f>
        <v/>
      </c>
      <c r="F430" s="3">
        <f>RAW_INPUT!C430</f>
        <v/>
      </c>
      <c r="G430" s="3">
        <f>RAW_INPUT!E430</f>
        <v/>
      </c>
      <c r="H430" s="3">
        <f>I430/F430</f>
        <v/>
      </c>
      <c r="I430" s="3">
        <f>METRICS!$C$14 * 0.02</f>
        <v/>
      </c>
      <c r="J430" s="3">
        <f>(G430-F430)*H430</f>
        <v/>
      </c>
      <c r="K430" s="3">
        <f>(G430-F430)/F430*100</f>
        <v/>
      </c>
      <c r="L430" s="3">
        <f>RAW_INPUT!F430</f>
        <v/>
      </c>
      <c r="M430" s="3">
        <f>K430-L430</f>
        <v/>
      </c>
      <c r="N430" s="3">
        <f>IF(J430&gt;0, 1, 0)</f>
        <v/>
      </c>
      <c r="O430" s="3">
        <f>IF(J430&lt;0, 1, 0)</f>
        <v/>
      </c>
      <c r="P430" s="3">
        <f>SUM($J$3:J430)</f>
        <v/>
      </c>
      <c r="Q430" s="3">
        <f>P430/METRICS!$C$14*100</f>
        <v/>
      </c>
      <c r="R430" s="3">
        <f>METRICS!$C$14+P430</f>
        <v/>
      </c>
      <c r="S430" s="3">
        <f>MAX($R$3:R430)</f>
        <v/>
      </c>
      <c r="T430" s="3">
        <f>R430-S430</f>
        <v/>
      </c>
      <c r="U430" s="3">
        <f>(R430-S430)/S430*100</f>
        <v/>
      </c>
      <c r="V430" s="3">
        <f>IF(K430&lt;0, (K430/100)^2, 0)</f>
        <v/>
      </c>
    </row>
    <row r="431">
      <c r="A431" s="3">
        <f>TEXT(429, """T""0000")</f>
        <v/>
      </c>
      <c r="B431" s="3">
        <f>RAW_INPUT!A431</f>
        <v/>
      </c>
      <c r="C431" s="3">
        <f>RAW_INPUT!B431</f>
        <v/>
      </c>
      <c r="D431" s="3">
        <f>RAW_INPUT!D431</f>
        <v/>
      </c>
      <c r="E431" s="3">
        <f>D431-C431</f>
        <v/>
      </c>
      <c r="F431" s="3">
        <f>RAW_INPUT!C431</f>
        <v/>
      </c>
      <c r="G431" s="3">
        <f>RAW_INPUT!E431</f>
        <v/>
      </c>
      <c r="H431" s="3">
        <f>I431/F431</f>
        <v/>
      </c>
      <c r="I431" s="3">
        <f>METRICS!$C$14 * 0.02</f>
        <v/>
      </c>
      <c r="J431" s="3">
        <f>(G431-F431)*H431</f>
        <v/>
      </c>
      <c r="K431" s="3">
        <f>(G431-F431)/F431*100</f>
        <v/>
      </c>
      <c r="L431" s="3">
        <f>RAW_INPUT!F431</f>
        <v/>
      </c>
      <c r="M431" s="3">
        <f>K431-L431</f>
        <v/>
      </c>
      <c r="N431" s="3">
        <f>IF(J431&gt;0, 1, 0)</f>
        <v/>
      </c>
      <c r="O431" s="3">
        <f>IF(J431&lt;0, 1, 0)</f>
        <v/>
      </c>
      <c r="P431" s="3">
        <f>SUM($J$3:J431)</f>
        <v/>
      </c>
      <c r="Q431" s="3">
        <f>P431/METRICS!$C$14*100</f>
        <v/>
      </c>
      <c r="R431" s="3">
        <f>METRICS!$C$14+P431</f>
        <v/>
      </c>
      <c r="S431" s="3">
        <f>MAX($R$3:R431)</f>
        <v/>
      </c>
      <c r="T431" s="3">
        <f>R431-S431</f>
        <v/>
      </c>
      <c r="U431" s="3">
        <f>(R431-S431)/S431*100</f>
        <v/>
      </c>
      <c r="V431" s="3">
        <f>IF(K431&lt;0, (K431/100)^2, 0)</f>
        <v/>
      </c>
    </row>
    <row r="432">
      <c r="A432" s="3">
        <f>TEXT(430, """T""0000")</f>
        <v/>
      </c>
      <c r="B432" s="3">
        <f>RAW_INPUT!A432</f>
        <v/>
      </c>
      <c r="C432" s="3">
        <f>RAW_INPUT!B432</f>
        <v/>
      </c>
      <c r="D432" s="3">
        <f>RAW_INPUT!D432</f>
        <v/>
      </c>
      <c r="E432" s="3">
        <f>D432-C432</f>
        <v/>
      </c>
      <c r="F432" s="3">
        <f>RAW_INPUT!C432</f>
        <v/>
      </c>
      <c r="G432" s="3">
        <f>RAW_INPUT!E432</f>
        <v/>
      </c>
      <c r="H432" s="3">
        <f>I432/F432</f>
        <v/>
      </c>
      <c r="I432" s="3">
        <f>METRICS!$C$14 * 0.02</f>
        <v/>
      </c>
      <c r="J432" s="3">
        <f>(G432-F432)*H432</f>
        <v/>
      </c>
      <c r="K432" s="3">
        <f>(G432-F432)/F432*100</f>
        <v/>
      </c>
      <c r="L432" s="3">
        <f>RAW_INPUT!F432</f>
        <v/>
      </c>
      <c r="M432" s="3">
        <f>K432-L432</f>
        <v/>
      </c>
      <c r="N432" s="3">
        <f>IF(J432&gt;0, 1, 0)</f>
        <v/>
      </c>
      <c r="O432" s="3">
        <f>IF(J432&lt;0, 1, 0)</f>
        <v/>
      </c>
      <c r="P432" s="3">
        <f>SUM($J$3:J432)</f>
        <v/>
      </c>
      <c r="Q432" s="3">
        <f>P432/METRICS!$C$14*100</f>
        <v/>
      </c>
      <c r="R432" s="3">
        <f>METRICS!$C$14+P432</f>
        <v/>
      </c>
      <c r="S432" s="3">
        <f>MAX($R$3:R432)</f>
        <v/>
      </c>
      <c r="T432" s="3">
        <f>R432-S432</f>
        <v/>
      </c>
      <c r="U432" s="3">
        <f>(R432-S432)/S432*100</f>
        <v/>
      </c>
      <c r="V432" s="3">
        <f>IF(K432&lt;0, (K432/100)^2, 0)</f>
        <v/>
      </c>
    </row>
    <row r="433">
      <c r="A433" s="3">
        <f>TEXT(431, """T""0000")</f>
        <v/>
      </c>
      <c r="B433" s="3">
        <f>RAW_INPUT!A433</f>
        <v/>
      </c>
      <c r="C433" s="3">
        <f>RAW_INPUT!B433</f>
        <v/>
      </c>
      <c r="D433" s="3">
        <f>RAW_INPUT!D433</f>
        <v/>
      </c>
      <c r="E433" s="3">
        <f>D433-C433</f>
        <v/>
      </c>
      <c r="F433" s="3">
        <f>RAW_INPUT!C433</f>
        <v/>
      </c>
      <c r="G433" s="3">
        <f>RAW_INPUT!E433</f>
        <v/>
      </c>
      <c r="H433" s="3">
        <f>I433/F433</f>
        <v/>
      </c>
      <c r="I433" s="3">
        <f>METRICS!$C$14 * 0.02</f>
        <v/>
      </c>
      <c r="J433" s="3">
        <f>(G433-F433)*H433</f>
        <v/>
      </c>
      <c r="K433" s="3">
        <f>(G433-F433)/F433*100</f>
        <v/>
      </c>
      <c r="L433" s="3">
        <f>RAW_INPUT!F433</f>
        <v/>
      </c>
      <c r="M433" s="3">
        <f>K433-L433</f>
        <v/>
      </c>
      <c r="N433" s="3">
        <f>IF(J433&gt;0, 1, 0)</f>
        <v/>
      </c>
      <c r="O433" s="3">
        <f>IF(J433&lt;0, 1, 0)</f>
        <v/>
      </c>
      <c r="P433" s="3">
        <f>SUM($J$3:J433)</f>
        <v/>
      </c>
      <c r="Q433" s="3">
        <f>P433/METRICS!$C$14*100</f>
        <v/>
      </c>
      <c r="R433" s="3">
        <f>METRICS!$C$14+P433</f>
        <v/>
      </c>
      <c r="S433" s="3">
        <f>MAX($R$3:R433)</f>
        <v/>
      </c>
      <c r="T433" s="3">
        <f>R433-S433</f>
        <v/>
      </c>
      <c r="U433" s="3">
        <f>(R433-S433)/S433*100</f>
        <v/>
      </c>
      <c r="V433" s="3">
        <f>IF(K433&lt;0, (K433/100)^2, 0)</f>
        <v/>
      </c>
    </row>
    <row r="434">
      <c r="A434" s="3">
        <f>TEXT(432, """T""0000")</f>
        <v/>
      </c>
      <c r="B434" s="3">
        <f>RAW_INPUT!A434</f>
        <v/>
      </c>
      <c r="C434" s="3">
        <f>RAW_INPUT!B434</f>
        <v/>
      </c>
      <c r="D434" s="3">
        <f>RAW_INPUT!D434</f>
        <v/>
      </c>
      <c r="E434" s="3">
        <f>D434-C434</f>
        <v/>
      </c>
      <c r="F434" s="3">
        <f>RAW_INPUT!C434</f>
        <v/>
      </c>
      <c r="G434" s="3">
        <f>RAW_INPUT!E434</f>
        <v/>
      </c>
      <c r="H434" s="3">
        <f>I434/F434</f>
        <v/>
      </c>
      <c r="I434" s="3">
        <f>METRICS!$C$14 * 0.02</f>
        <v/>
      </c>
      <c r="J434" s="3">
        <f>(G434-F434)*H434</f>
        <v/>
      </c>
      <c r="K434" s="3">
        <f>(G434-F434)/F434*100</f>
        <v/>
      </c>
      <c r="L434" s="3">
        <f>RAW_INPUT!F434</f>
        <v/>
      </c>
      <c r="M434" s="3">
        <f>K434-L434</f>
        <v/>
      </c>
      <c r="N434" s="3">
        <f>IF(J434&gt;0, 1, 0)</f>
        <v/>
      </c>
      <c r="O434" s="3">
        <f>IF(J434&lt;0, 1, 0)</f>
        <v/>
      </c>
      <c r="P434" s="3">
        <f>SUM($J$3:J434)</f>
        <v/>
      </c>
      <c r="Q434" s="3">
        <f>P434/METRICS!$C$14*100</f>
        <v/>
      </c>
      <c r="R434" s="3">
        <f>METRICS!$C$14+P434</f>
        <v/>
      </c>
      <c r="S434" s="3">
        <f>MAX($R$3:R434)</f>
        <v/>
      </c>
      <c r="T434" s="3">
        <f>R434-S434</f>
        <v/>
      </c>
      <c r="U434" s="3">
        <f>(R434-S434)/S434*100</f>
        <v/>
      </c>
      <c r="V434" s="3">
        <f>IF(K434&lt;0, (K434/100)^2, 0)</f>
        <v/>
      </c>
    </row>
    <row r="435">
      <c r="A435" s="3">
        <f>TEXT(433, """T""0000")</f>
        <v/>
      </c>
      <c r="B435" s="3">
        <f>RAW_INPUT!A435</f>
        <v/>
      </c>
      <c r="C435" s="3">
        <f>RAW_INPUT!B435</f>
        <v/>
      </c>
      <c r="D435" s="3">
        <f>RAW_INPUT!D435</f>
        <v/>
      </c>
      <c r="E435" s="3">
        <f>D435-C435</f>
        <v/>
      </c>
      <c r="F435" s="3">
        <f>RAW_INPUT!C435</f>
        <v/>
      </c>
      <c r="G435" s="3">
        <f>RAW_INPUT!E435</f>
        <v/>
      </c>
      <c r="H435" s="3">
        <f>I435/F435</f>
        <v/>
      </c>
      <c r="I435" s="3">
        <f>METRICS!$C$14 * 0.02</f>
        <v/>
      </c>
      <c r="J435" s="3">
        <f>(G435-F435)*H435</f>
        <v/>
      </c>
      <c r="K435" s="3">
        <f>(G435-F435)/F435*100</f>
        <v/>
      </c>
      <c r="L435" s="3">
        <f>RAW_INPUT!F435</f>
        <v/>
      </c>
      <c r="M435" s="3">
        <f>K435-L435</f>
        <v/>
      </c>
      <c r="N435" s="3">
        <f>IF(J435&gt;0, 1, 0)</f>
        <v/>
      </c>
      <c r="O435" s="3">
        <f>IF(J435&lt;0, 1, 0)</f>
        <v/>
      </c>
      <c r="P435" s="3">
        <f>SUM($J$3:J435)</f>
        <v/>
      </c>
      <c r="Q435" s="3">
        <f>P435/METRICS!$C$14*100</f>
        <v/>
      </c>
      <c r="R435" s="3">
        <f>METRICS!$C$14+P435</f>
        <v/>
      </c>
      <c r="S435" s="3">
        <f>MAX($R$3:R435)</f>
        <v/>
      </c>
      <c r="T435" s="3">
        <f>R435-S435</f>
        <v/>
      </c>
      <c r="U435" s="3">
        <f>(R435-S435)/S435*100</f>
        <v/>
      </c>
      <c r="V435" s="3">
        <f>IF(K435&lt;0, (K435/100)^2, 0)</f>
        <v/>
      </c>
    </row>
    <row r="436">
      <c r="A436" s="3">
        <f>TEXT(434, """T""0000")</f>
        <v/>
      </c>
      <c r="B436" s="3">
        <f>RAW_INPUT!A436</f>
        <v/>
      </c>
      <c r="C436" s="3">
        <f>RAW_INPUT!B436</f>
        <v/>
      </c>
      <c r="D436" s="3">
        <f>RAW_INPUT!D436</f>
        <v/>
      </c>
      <c r="E436" s="3">
        <f>D436-C436</f>
        <v/>
      </c>
      <c r="F436" s="3">
        <f>RAW_INPUT!C436</f>
        <v/>
      </c>
      <c r="G436" s="3">
        <f>RAW_INPUT!E436</f>
        <v/>
      </c>
      <c r="H436" s="3">
        <f>I436/F436</f>
        <v/>
      </c>
      <c r="I436" s="3">
        <f>METRICS!$C$14 * 0.02</f>
        <v/>
      </c>
      <c r="J436" s="3">
        <f>(G436-F436)*H436</f>
        <v/>
      </c>
      <c r="K436" s="3">
        <f>(G436-F436)/F436*100</f>
        <v/>
      </c>
      <c r="L436" s="3">
        <f>RAW_INPUT!F436</f>
        <v/>
      </c>
      <c r="M436" s="3">
        <f>K436-L436</f>
        <v/>
      </c>
      <c r="N436" s="3">
        <f>IF(J436&gt;0, 1, 0)</f>
        <v/>
      </c>
      <c r="O436" s="3">
        <f>IF(J436&lt;0, 1, 0)</f>
        <v/>
      </c>
      <c r="P436" s="3">
        <f>SUM($J$3:J436)</f>
        <v/>
      </c>
      <c r="Q436" s="3">
        <f>P436/METRICS!$C$14*100</f>
        <v/>
      </c>
      <c r="R436" s="3">
        <f>METRICS!$C$14+P436</f>
        <v/>
      </c>
      <c r="S436" s="3">
        <f>MAX($R$3:R436)</f>
        <v/>
      </c>
      <c r="T436" s="3">
        <f>R436-S436</f>
        <v/>
      </c>
      <c r="U436" s="3">
        <f>(R436-S436)/S436*100</f>
        <v/>
      </c>
      <c r="V436" s="3">
        <f>IF(K436&lt;0, (K436/100)^2, 0)</f>
        <v/>
      </c>
    </row>
    <row r="437">
      <c r="A437" s="3">
        <f>TEXT(435, """T""0000")</f>
        <v/>
      </c>
      <c r="B437" s="3">
        <f>RAW_INPUT!A437</f>
        <v/>
      </c>
      <c r="C437" s="3">
        <f>RAW_INPUT!B437</f>
        <v/>
      </c>
      <c r="D437" s="3">
        <f>RAW_INPUT!D437</f>
        <v/>
      </c>
      <c r="E437" s="3">
        <f>D437-C437</f>
        <v/>
      </c>
      <c r="F437" s="3">
        <f>RAW_INPUT!C437</f>
        <v/>
      </c>
      <c r="G437" s="3">
        <f>RAW_INPUT!E437</f>
        <v/>
      </c>
      <c r="H437" s="3">
        <f>I437/F437</f>
        <v/>
      </c>
      <c r="I437" s="3">
        <f>METRICS!$C$14 * 0.02</f>
        <v/>
      </c>
      <c r="J437" s="3">
        <f>(G437-F437)*H437</f>
        <v/>
      </c>
      <c r="K437" s="3">
        <f>(G437-F437)/F437*100</f>
        <v/>
      </c>
      <c r="L437" s="3">
        <f>RAW_INPUT!F437</f>
        <v/>
      </c>
      <c r="M437" s="3">
        <f>K437-L437</f>
        <v/>
      </c>
      <c r="N437" s="3">
        <f>IF(J437&gt;0, 1, 0)</f>
        <v/>
      </c>
      <c r="O437" s="3">
        <f>IF(J437&lt;0, 1, 0)</f>
        <v/>
      </c>
      <c r="P437" s="3">
        <f>SUM($J$3:J437)</f>
        <v/>
      </c>
      <c r="Q437" s="3">
        <f>P437/METRICS!$C$14*100</f>
        <v/>
      </c>
      <c r="R437" s="3">
        <f>METRICS!$C$14+P437</f>
        <v/>
      </c>
      <c r="S437" s="3">
        <f>MAX($R$3:R437)</f>
        <v/>
      </c>
      <c r="T437" s="3">
        <f>R437-S437</f>
        <v/>
      </c>
      <c r="U437" s="3">
        <f>(R437-S437)/S437*100</f>
        <v/>
      </c>
      <c r="V437" s="3">
        <f>IF(K437&lt;0, (K437/100)^2, 0)</f>
        <v/>
      </c>
    </row>
    <row r="438">
      <c r="A438" s="3">
        <f>TEXT(436, """T""0000")</f>
        <v/>
      </c>
      <c r="B438" s="3">
        <f>RAW_INPUT!A438</f>
        <v/>
      </c>
      <c r="C438" s="3">
        <f>RAW_INPUT!B438</f>
        <v/>
      </c>
      <c r="D438" s="3">
        <f>RAW_INPUT!D438</f>
        <v/>
      </c>
      <c r="E438" s="3">
        <f>D438-C438</f>
        <v/>
      </c>
      <c r="F438" s="3">
        <f>RAW_INPUT!C438</f>
        <v/>
      </c>
      <c r="G438" s="3">
        <f>RAW_INPUT!E438</f>
        <v/>
      </c>
      <c r="H438" s="3">
        <f>I438/F438</f>
        <v/>
      </c>
      <c r="I438" s="3">
        <f>METRICS!$C$14 * 0.02</f>
        <v/>
      </c>
      <c r="J438" s="3">
        <f>(G438-F438)*H438</f>
        <v/>
      </c>
      <c r="K438" s="3">
        <f>(G438-F438)/F438*100</f>
        <v/>
      </c>
      <c r="L438" s="3">
        <f>RAW_INPUT!F438</f>
        <v/>
      </c>
      <c r="M438" s="3">
        <f>K438-L438</f>
        <v/>
      </c>
      <c r="N438" s="3">
        <f>IF(J438&gt;0, 1, 0)</f>
        <v/>
      </c>
      <c r="O438" s="3">
        <f>IF(J438&lt;0, 1, 0)</f>
        <v/>
      </c>
      <c r="P438" s="3">
        <f>SUM($J$3:J438)</f>
        <v/>
      </c>
      <c r="Q438" s="3">
        <f>P438/METRICS!$C$14*100</f>
        <v/>
      </c>
      <c r="R438" s="3">
        <f>METRICS!$C$14+P438</f>
        <v/>
      </c>
      <c r="S438" s="3">
        <f>MAX($R$3:R438)</f>
        <v/>
      </c>
      <c r="T438" s="3">
        <f>R438-S438</f>
        <v/>
      </c>
      <c r="U438" s="3">
        <f>(R438-S438)/S438*100</f>
        <v/>
      </c>
      <c r="V438" s="3">
        <f>IF(K438&lt;0, (K438/100)^2, 0)</f>
        <v/>
      </c>
    </row>
    <row r="439">
      <c r="A439" s="3">
        <f>TEXT(437, """T""0000")</f>
        <v/>
      </c>
      <c r="B439" s="3">
        <f>RAW_INPUT!A439</f>
        <v/>
      </c>
      <c r="C439" s="3">
        <f>RAW_INPUT!B439</f>
        <v/>
      </c>
      <c r="D439" s="3">
        <f>RAW_INPUT!D439</f>
        <v/>
      </c>
      <c r="E439" s="3">
        <f>D439-C439</f>
        <v/>
      </c>
      <c r="F439" s="3">
        <f>RAW_INPUT!C439</f>
        <v/>
      </c>
      <c r="G439" s="3">
        <f>RAW_INPUT!E439</f>
        <v/>
      </c>
      <c r="H439" s="3">
        <f>I439/F439</f>
        <v/>
      </c>
      <c r="I439" s="3">
        <f>METRICS!$C$14 * 0.02</f>
        <v/>
      </c>
      <c r="J439" s="3">
        <f>(G439-F439)*H439</f>
        <v/>
      </c>
      <c r="K439" s="3">
        <f>(G439-F439)/F439*100</f>
        <v/>
      </c>
      <c r="L439" s="3">
        <f>RAW_INPUT!F439</f>
        <v/>
      </c>
      <c r="M439" s="3">
        <f>K439-L439</f>
        <v/>
      </c>
      <c r="N439" s="3">
        <f>IF(J439&gt;0, 1, 0)</f>
        <v/>
      </c>
      <c r="O439" s="3">
        <f>IF(J439&lt;0, 1, 0)</f>
        <v/>
      </c>
      <c r="P439" s="3">
        <f>SUM($J$3:J439)</f>
        <v/>
      </c>
      <c r="Q439" s="3">
        <f>P439/METRICS!$C$14*100</f>
        <v/>
      </c>
      <c r="R439" s="3">
        <f>METRICS!$C$14+P439</f>
        <v/>
      </c>
      <c r="S439" s="3">
        <f>MAX($R$3:R439)</f>
        <v/>
      </c>
      <c r="T439" s="3">
        <f>R439-S439</f>
        <v/>
      </c>
      <c r="U439" s="3">
        <f>(R439-S439)/S439*100</f>
        <v/>
      </c>
      <c r="V439" s="3">
        <f>IF(K439&lt;0, (K439/100)^2, 0)</f>
        <v/>
      </c>
    </row>
    <row r="440">
      <c r="A440" s="3">
        <f>TEXT(438, """T""0000")</f>
        <v/>
      </c>
      <c r="B440" s="3">
        <f>RAW_INPUT!A440</f>
        <v/>
      </c>
      <c r="C440" s="3">
        <f>RAW_INPUT!B440</f>
        <v/>
      </c>
      <c r="D440" s="3">
        <f>RAW_INPUT!D440</f>
        <v/>
      </c>
      <c r="E440" s="3">
        <f>D440-C440</f>
        <v/>
      </c>
      <c r="F440" s="3">
        <f>RAW_INPUT!C440</f>
        <v/>
      </c>
      <c r="G440" s="3">
        <f>RAW_INPUT!E440</f>
        <v/>
      </c>
      <c r="H440" s="3">
        <f>I440/F440</f>
        <v/>
      </c>
      <c r="I440" s="3">
        <f>METRICS!$C$14 * 0.02</f>
        <v/>
      </c>
      <c r="J440" s="3">
        <f>(G440-F440)*H440</f>
        <v/>
      </c>
      <c r="K440" s="3">
        <f>(G440-F440)/F440*100</f>
        <v/>
      </c>
      <c r="L440" s="3">
        <f>RAW_INPUT!F440</f>
        <v/>
      </c>
      <c r="M440" s="3">
        <f>K440-L440</f>
        <v/>
      </c>
      <c r="N440" s="3">
        <f>IF(J440&gt;0, 1, 0)</f>
        <v/>
      </c>
      <c r="O440" s="3">
        <f>IF(J440&lt;0, 1, 0)</f>
        <v/>
      </c>
      <c r="P440" s="3">
        <f>SUM($J$3:J440)</f>
        <v/>
      </c>
      <c r="Q440" s="3">
        <f>P440/METRICS!$C$14*100</f>
        <v/>
      </c>
      <c r="R440" s="3">
        <f>METRICS!$C$14+P440</f>
        <v/>
      </c>
      <c r="S440" s="3">
        <f>MAX($R$3:R440)</f>
        <v/>
      </c>
      <c r="T440" s="3">
        <f>R440-S440</f>
        <v/>
      </c>
      <c r="U440" s="3">
        <f>(R440-S440)/S440*100</f>
        <v/>
      </c>
      <c r="V440" s="3">
        <f>IF(K440&lt;0, (K440/100)^2, 0)</f>
        <v/>
      </c>
    </row>
    <row r="441">
      <c r="A441" s="3">
        <f>TEXT(439, """T""0000")</f>
        <v/>
      </c>
      <c r="B441" s="3">
        <f>RAW_INPUT!A441</f>
        <v/>
      </c>
      <c r="C441" s="3">
        <f>RAW_INPUT!B441</f>
        <v/>
      </c>
      <c r="D441" s="3">
        <f>RAW_INPUT!D441</f>
        <v/>
      </c>
      <c r="E441" s="3">
        <f>D441-C441</f>
        <v/>
      </c>
      <c r="F441" s="3">
        <f>RAW_INPUT!C441</f>
        <v/>
      </c>
      <c r="G441" s="3">
        <f>RAW_INPUT!E441</f>
        <v/>
      </c>
      <c r="H441" s="3">
        <f>I441/F441</f>
        <v/>
      </c>
      <c r="I441" s="3">
        <f>METRICS!$C$14 * 0.02</f>
        <v/>
      </c>
      <c r="J441" s="3">
        <f>(G441-F441)*H441</f>
        <v/>
      </c>
      <c r="K441" s="3">
        <f>(G441-F441)/F441*100</f>
        <v/>
      </c>
      <c r="L441" s="3">
        <f>RAW_INPUT!F441</f>
        <v/>
      </c>
      <c r="M441" s="3">
        <f>K441-L441</f>
        <v/>
      </c>
      <c r="N441" s="3">
        <f>IF(J441&gt;0, 1, 0)</f>
        <v/>
      </c>
      <c r="O441" s="3">
        <f>IF(J441&lt;0, 1, 0)</f>
        <v/>
      </c>
      <c r="P441" s="3">
        <f>SUM($J$3:J441)</f>
        <v/>
      </c>
      <c r="Q441" s="3">
        <f>P441/METRICS!$C$14*100</f>
        <v/>
      </c>
      <c r="R441" s="3">
        <f>METRICS!$C$14+P441</f>
        <v/>
      </c>
      <c r="S441" s="3">
        <f>MAX($R$3:R441)</f>
        <v/>
      </c>
      <c r="T441" s="3">
        <f>R441-S441</f>
        <v/>
      </c>
      <c r="U441" s="3">
        <f>(R441-S441)/S441*100</f>
        <v/>
      </c>
      <c r="V441" s="3">
        <f>IF(K441&lt;0, (K441/100)^2, 0)</f>
        <v/>
      </c>
    </row>
    <row r="442">
      <c r="A442" s="3">
        <f>TEXT(440, """T""0000")</f>
        <v/>
      </c>
      <c r="B442" s="3">
        <f>RAW_INPUT!A442</f>
        <v/>
      </c>
      <c r="C442" s="3">
        <f>RAW_INPUT!B442</f>
        <v/>
      </c>
      <c r="D442" s="3">
        <f>RAW_INPUT!D442</f>
        <v/>
      </c>
      <c r="E442" s="3">
        <f>D442-C442</f>
        <v/>
      </c>
      <c r="F442" s="3">
        <f>RAW_INPUT!C442</f>
        <v/>
      </c>
      <c r="G442" s="3">
        <f>RAW_INPUT!E442</f>
        <v/>
      </c>
      <c r="H442" s="3">
        <f>I442/F442</f>
        <v/>
      </c>
      <c r="I442" s="3">
        <f>METRICS!$C$14 * 0.02</f>
        <v/>
      </c>
      <c r="J442" s="3">
        <f>(G442-F442)*H442</f>
        <v/>
      </c>
      <c r="K442" s="3">
        <f>(G442-F442)/F442*100</f>
        <v/>
      </c>
      <c r="L442" s="3">
        <f>RAW_INPUT!F442</f>
        <v/>
      </c>
      <c r="M442" s="3">
        <f>K442-L442</f>
        <v/>
      </c>
      <c r="N442" s="3">
        <f>IF(J442&gt;0, 1, 0)</f>
        <v/>
      </c>
      <c r="O442" s="3">
        <f>IF(J442&lt;0, 1, 0)</f>
        <v/>
      </c>
      <c r="P442" s="3">
        <f>SUM($J$3:J442)</f>
        <v/>
      </c>
      <c r="Q442" s="3">
        <f>P442/METRICS!$C$14*100</f>
        <v/>
      </c>
      <c r="R442" s="3">
        <f>METRICS!$C$14+P442</f>
        <v/>
      </c>
      <c r="S442" s="3">
        <f>MAX($R$3:R442)</f>
        <v/>
      </c>
      <c r="T442" s="3">
        <f>R442-S442</f>
        <v/>
      </c>
      <c r="U442" s="3">
        <f>(R442-S442)/S442*100</f>
        <v/>
      </c>
      <c r="V442" s="3">
        <f>IF(K442&lt;0, (K442/100)^2, 0)</f>
        <v/>
      </c>
    </row>
    <row r="443">
      <c r="A443" s="3">
        <f>TEXT(441, """T""0000")</f>
        <v/>
      </c>
      <c r="B443" s="3">
        <f>RAW_INPUT!A443</f>
        <v/>
      </c>
      <c r="C443" s="3">
        <f>RAW_INPUT!B443</f>
        <v/>
      </c>
      <c r="D443" s="3">
        <f>RAW_INPUT!D443</f>
        <v/>
      </c>
      <c r="E443" s="3">
        <f>D443-C443</f>
        <v/>
      </c>
      <c r="F443" s="3">
        <f>RAW_INPUT!C443</f>
        <v/>
      </c>
      <c r="G443" s="3">
        <f>RAW_INPUT!E443</f>
        <v/>
      </c>
      <c r="H443" s="3">
        <f>I443/F443</f>
        <v/>
      </c>
      <c r="I443" s="3">
        <f>METRICS!$C$14 * 0.02</f>
        <v/>
      </c>
      <c r="J443" s="3">
        <f>(G443-F443)*H443</f>
        <v/>
      </c>
      <c r="K443" s="3">
        <f>(G443-F443)/F443*100</f>
        <v/>
      </c>
      <c r="L443" s="3">
        <f>RAW_INPUT!F443</f>
        <v/>
      </c>
      <c r="M443" s="3">
        <f>K443-L443</f>
        <v/>
      </c>
      <c r="N443" s="3">
        <f>IF(J443&gt;0, 1, 0)</f>
        <v/>
      </c>
      <c r="O443" s="3">
        <f>IF(J443&lt;0, 1, 0)</f>
        <v/>
      </c>
      <c r="P443" s="3">
        <f>SUM($J$3:J443)</f>
        <v/>
      </c>
      <c r="Q443" s="3">
        <f>P443/METRICS!$C$14*100</f>
        <v/>
      </c>
      <c r="R443" s="3">
        <f>METRICS!$C$14+P443</f>
        <v/>
      </c>
      <c r="S443" s="3">
        <f>MAX($R$3:R443)</f>
        <v/>
      </c>
      <c r="T443" s="3">
        <f>R443-S443</f>
        <v/>
      </c>
      <c r="U443" s="3">
        <f>(R443-S443)/S443*100</f>
        <v/>
      </c>
      <c r="V443" s="3">
        <f>IF(K443&lt;0, (K443/100)^2, 0)</f>
        <v/>
      </c>
    </row>
    <row r="444">
      <c r="A444" s="3">
        <f>TEXT(442, """T""0000")</f>
        <v/>
      </c>
      <c r="B444" s="3">
        <f>RAW_INPUT!A444</f>
        <v/>
      </c>
      <c r="C444" s="3">
        <f>RAW_INPUT!B444</f>
        <v/>
      </c>
      <c r="D444" s="3">
        <f>RAW_INPUT!D444</f>
        <v/>
      </c>
      <c r="E444" s="3">
        <f>D444-C444</f>
        <v/>
      </c>
      <c r="F444" s="3">
        <f>RAW_INPUT!C444</f>
        <v/>
      </c>
      <c r="G444" s="3">
        <f>RAW_INPUT!E444</f>
        <v/>
      </c>
      <c r="H444" s="3">
        <f>I444/F444</f>
        <v/>
      </c>
      <c r="I444" s="3">
        <f>METRICS!$C$14 * 0.02</f>
        <v/>
      </c>
      <c r="J444" s="3">
        <f>(G444-F444)*H444</f>
        <v/>
      </c>
      <c r="K444" s="3">
        <f>(G444-F444)/F444*100</f>
        <v/>
      </c>
      <c r="L444" s="3">
        <f>RAW_INPUT!F444</f>
        <v/>
      </c>
      <c r="M444" s="3">
        <f>K444-L444</f>
        <v/>
      </c>
      <c r="N444" s="3">
        <f>IF(J444&gt;0, 1, 0)</f>
        <v/>
      </c>
      <c r="O444" s="3">
        <f>IF(J444&lt;0, 1, 0)</f>
        <v/>
      </c>
      <c r="P444" s="3">
        <f>SUM($J$3:J444)</f>
        <v/>
      </c>
      <c r="Q444" s="3">
        <f>P444/METRICS!$C$14*100</f>
        <v/>
      </c>
      <c r="R444" s="3">
        <f>METRICS!$C$14+P444</f>
        <v/>
      </c>
      <c r="S444" s="3">
        <f>MAX($R$3:R444)</f>
        <v/>
      </c>
      <c r="T444" s="3">
        <f>R444-S444</f>
        <v/>
      </c>
      <c r="U444" s="3">
        <f>(R444-S444)/S444*100</f>
        <v/>
      </c>
      <c r="V444" s="3">
        <f>IF(K444&lt;0, (K444/100)^2, 0)</f>
        <v/>
      </c>
    </row>
    <row r="445">
      <c r="A445" s="3">
        <f>TEXT(443, """T""0000")</f>
        <v/>
      </c>
      <c r="B445" s="3">
        <f>RAW_INPUT!A445</f>
        <v/>
      </c>
      <c r="C445" s="3">
        <f>RAW_INPUT!B445</f>
        <v/>
      </c>
      <c r="D445" s="3">
        <f>RAW_INPUT!D445</f>
        <v/>
      </c>
      <c r="E445" s="3">
        <f>D445-C445</f>
        <v/>
      </c>
      <c r="F445" s="3">
        <f>RAW_INPUT!C445</f>
        <v/>
      </c>
      <c r="G445" s="3">
        <f>RAW_INPUT!E445</f>
        <v/>
      </c>
      <c r="H445" s="3">
        <f>I445/F445</f>
        <v/>
      </c>
      <c r="I445" s="3">
        <f>METRICS!$C$14 * 0.02</f>
        <v/>
      </c>
      <c r="J445" s="3">
        <f>(G445-F445)*H445</f>
        <v/>
      </c>
      <c r="K445" s="3">
        <f>(G445-F445)/F445*100</f>
        <v/>
      </c>
      <c r="L445" s="3">
        <f>RAW_INPUT!F445</f>
        <v/>
      </c>
      <c r="M445" s="3">
        <f>K445-L445</f>
        <v/>
      </c>
      <c r="N445" s="3">
        <f>IF(J445&gt;0, 1, 0)</f>
        <v/>
      </c>
      <c r="O445" s="3">
        <f>IF(J445&lt;0, 1, 0)</f>
        <v/>
      </c>
      <c r="P445" s="3">
        <f>SUM($J$3:J445)</f>
        <v/>
      </c>
      <c r="Q445" s="3">
        <f>P445/METRICS!$C$14*100</f>
        <v/>
      </c>
      <c r="R445" s="3">
        <f>METRICS!$C$14+P445</f>
        <v/>
      </c>
      <c r="S445" s="3">
        <f>MAX($R$3:R445)</f>
        <v/>
      </c>
      <c r="T445" s="3">
        <f>R445-S445</f>
        <v/>
      </c>
      <c r="U445" s="3">
        <f>(R445-S445)/S445*100</f>
        <v/>
      </c>
      <c r="V445" s="3">
        <f>IF(K445&lt;0, (K445/100)^2, 0)</f>
        <v/>
      </c>
    </row>
    <row r="446">
      <c r="A446" s="3">
        <f>TEXT(444, """T""0000")</f>
        <v/>
      </c>
      <c r="B446" s="3">
        <f>RAW_INPUT!A446</f>
        <v/>
      </c>
      <c r="C446" s="3">
        <f>RAW_INPUT!B446</f>
        <v/>
      </c>
      <c r="D446" s="3">
        <f>RAW_INPUT!D446</f>
        <v/>
      </c>
      <c r="E446" s="3">
        <f>D446-C446</f>
        <v/>
      </c>
      <c r="F446" s="3">
        <f>RAW_INPUT!C446</f>
        <v/>
      </c>
      <c r="G446" s="3">
        <f>RAW_INPUT!E446</f>
        <v/>
      </c>
      <c r="H446" s="3">
        <f>I446/F446</f>
        <v/>
      </c>
      <c r="I446" s="3">
        <f>METRICS!$C$14 * 0.02</f>
        <v/>
      </c>
      <c r="J446" s="3">
        <f>(G446-F446)*H446</f>
        <v/>
      </c>
      <c r="K446" s="3">
        <f>(G446-F446)/F446*100</f>
        <v/>
      </c>
      <c r="L446" s="3">
        <f>RAW_INPUT!F446</f>
        <v/>
      </c>
      <c r="M446" s="3">
        <f>K446-L446</f>
        <v/>
      </c>
      <c r="N446" s="3">
        <f>IF(J446&gt;0, 1, 0)</f>
        <v/>
      </c>
      <c r="O446" s="3">
        <f>IF(J446&lt;0, 1, 0)</f>
        <v/>
      </c>
      <c r="P446" s="3">
        <f>SUM($J$3:J446)</f>
        <v/>
      </c>
      <c r="Q446" s="3">
        <f>P446/METRICS!$C$14*100</f>
        <v/>
      </c>
      <c r="R446" s="3">
        <f>METRICS!$C$14+P446</f>
        <v/>
      </c>
      <c r="S446" s="3">
        <f>MAX($R$3:R446)</f>
        <v/>
      </c>
      <c r="T446" s="3">
        <f>R446-S446</f>
        <v/>
      </c>
      <c r="U446" s="3">
        <f>(R446-S446)/S446*100</f>
        <v/>
      </c>
      <c r="V446" s="3">
        <f>IF(K446&lt;0, (K446/100)^2, 0)</f>
        <v/>
      </c>
    </row>
    <row r="447">
      <c r="A447" s="3">
        <f>TEXT(445, """T""0000")</f>
        <v/>
      </c>
      <c r="B447" s="3">
        <f>RAW_INPUT!A447</f>
        <v/>
      </c>
      <c r="C447" s="3">
        <f>RAW_INPUT!B447</f>
        <v/>
      </c>
      <c r="D447" s="3">
        <f>RAW_INPUT!D447</f>
        <v/>
      </c>
      <c r="E447" s="3">
        <f>D447-C447</f>
        <v/>
      </c>
      <c r="F447" s="3">
        <f>RAW_INPUT!C447</f>
        <v/>
      </c>
      <c r="G447" s="3">
        <f>RAW_INPUT!E447</f>
        <v/>
      </c>
      <c r="H447" s="3">
        <f>I447/F447</f>
        <v/>
      </c>
      <c r="I447" s="3">
        <f>METRICS!$C$14 * 0.02</f>
        <v/>
      </c>
      <c r="J447" s="3">
        <f>(G447-F447)*H447</f>
        <v/>
      </c>
      <c r="K447" s="3">
        <f>(G447-F447)/F447*100</f>
        <v/>
      </c>
      <c r="L447" s="3">
        <f>RAW_INPUT!F447</f>
        <v/>
      </c>
      <c r="M447" s="3">
        <f>K447-L447</f>
        <v/>
      </c>
      <c r="N447" s="3">
        <f>IF(J447&gt;0, 1, 0)</f>
        <v/>
      </c>
      <c r="O447" s="3">
        <f>IF(J447&lt;0, 1, 0)</f>
        <v/>
      </c>
      <c r="P447" s="3">
        <f>SUM($J$3:J447)</f>
        <v/>
      </c>
      <c r="Q447" s="3">
        <f>P447/METRICS!$C$14*100</f>
        <v/>
      </c>
      <c r="R447" s="3">
        <f>METRICS!$C$14+P447</f>
        <v/>
      </c>
      <c r="S447" s="3">
        <f>MAX($R$3:R447)</f>
        <v/>
      </c>
      <c r="T447" s="3">
        <f>R447-S447</f>
        <v/>
      </c>
      <c r="U447" s="3">
        <f>(R447-S447)/S447*100</f>
        <v/>
      </c>
      <c r="V447" s="3">
        <f>IF(K447&lt;0, (K447/100)^2, 0)</f>
        <v/>
      </c>
    </row>
    <row r="448">
      <c r="A448" s="3">
        <f>TEXT(446, """T""0000")</f>
        <v/>
      </c>
      <c r="B448" s="3">
        <f>RAW_INPUT!A448</f>
        <v/>
      </c>
      <c r="C448" s="3">
        <f>RAW_INPUT!B448</f>
        <v/>
      </c>
      <c r="D448" s="3">
        <f>RAW_INPUT!D448</f>
        <v/>
      </c>
      <c r="E448" s="3">
        <f>D448-C448</f>
        <v/>
      </c>
      <c r="F448" s="3">
        <f>RAW_INPUT!C448</f>
        <v/>
      </c>
      <c r="G448" s="3">
        <f>RAW_INPUT!E448</f>
        <v/>
      </c>
      <c r="H448" s="3">
        <f>I448/F448</f>
        <v/>
      </c>
      <c r="I448" s="3">
        <f>METRICS!$C$14 * 0.02</f>
        <v/>
      </c>
      <c r="J448" s="3">
        <f>(G448-F448)*H448</f>
        <v/>
      </c>
      <c r="K448" s="3">
        <f>(G448-F448)/F448*100</f>
        <v/>
      </c>
      <c r="L448" s="3">
        <f>RAW_INPUT!F448</f>
        <v/>
      </c>
      <c r="M448" s="3">
        <f>K448-L448</f>
        <v/>
      </c>
      <c r="N448" s="3">
        <f>IF(J448&gt;0, 1, 0)</f>
        <v/>
      </c>
      <c r="O448" s="3">
        <f>IF(J448&lt;0, 1, 0)</f>
        <v/>
      </c>
      <c r="P448" s="3">
        <f>SUM($J$3:J448)</f>
        <v/>
      </c>
      <c r="Q448" s="3">
        <f>P448/METRICS!$C$14*100</f>
        <v/>
      </c>
      <c r="R448" s="3">
        <f>METRICS!$C$14+P448</f>
        <v/>
      </c>
      <c r="S448" s="3">
        <f>MAX($R$3:R448)</f>
        <v/>
      </c>
      <c r="T448" s="3">
        <f>R448-S448</f>
        <v/>
      </c>
      <c r="U448" s="3">
        <f>(R448-S448)/S448*100</f>
        <v/>
      </c>
      <c r="V448" s="3">
        <f>IF(K448&lt;0, (K448/100)^2, 0)</f>
        <v/>
      </c>
    </row>
    <row r="449">
      <c r="A449" s="3">
        <f>TEXT(447, """T""0000")</f>
        <v/>
      </c>
      <c r="B449" s="3">
        <f>RAW_INPUT!A449</f>
        <v/>
      </c>
      <c r="C449" s="3">
        <f>RAW_INPUT!B449</f>
        <v/>
      </c>
      <c r="D449" s="3">
        <f>RAW_INPUT!D449</f>
        <v/>
      </c>
      <c r="E449" s="3">
        <f>D449-C449</f>
        <v/>
      </c>
      <c r="F449" s="3">
        <f>RAW_INPUT!C449</f>
        <v/>
      </c>
      <c r="G449" s="3">
        <f>RAW_INPUT!E449</f>
        <v/>
      </c>
      <c r="H449" s="3">
        <f>I449/F449</f>
        <v/>
      </c>
      <c r="I449" s="3">
        <f>METRICS!$C$14 * 0.02</f>
        <v/>
      </c>
      <c r="J449" s="3">
        <f>(G449-F449)*H449</f>
        <v/>
      </c>
      <c r="K449" s="3">
        <f>(G449-F449)/F449*100</f>
        <v/>
      </c>
      <c r="L449" s="3">
        <f>RAW_INPUT!F449</f>
        <v/>
      </c>
      <c r="M449" s="3">
        <f>K449-L449</f>
        <v/>
      </c>
      <c r="N449" s="3">
        <f>IF(J449&gt;0, 1, 0)</f>
        <v/>
      </c>
      <c r="O449" s="3">
        <f>IF(J449&lt;0, 1, 0)</f>
        <v/>
      </c>
      <c r="P449" s="3">
        <f>SUM($J$3:J449)</f>
        <v/>
      </c>
      <c r="Q449" s="3">
        <f>P449/METRICS!$C$14*100</f>
        <v/>
      </c>
      <c r="R449" s="3">
        <f>METRICS!$C$14+P449</f>
        <v/>
      </c>
      <c r="S449" s="3">
        <f>MAX($R$3:R449)</f>
        <v/>
      </c>
      <c r="T449" s="3">
        <f>R449-S449</f>
        <v/>
      </c>
      <c r="U449" s="3">
        <f>(R449-S449)/S449*100</f>
        <v/>
      </c>
      <c r="V449" s="3">
        <f>IF(K449&lt;0, (K449/100)^2, 0)</f>
        <v/>
      </c>
    </row>
    <row r="450">
      <c r="A450" s="3">
        <f>TEXT(448, """T""0000")</f>
        <v/>
      </c>
      <c r="B450" s="3">
        <f>RAW_INPUT!A450</f>
        <v/>
      </c>
      <c r="C450" s="3">
        <f>RAW_INPUT!B450</f>
        <v/>
      </c>
      <c r="D450" s="3">
        <f>RAW_INPUT!D450</f>
        <v/>
      </c>
      <c r="E450" s="3">
        <f>D450-C450</f>
        <v/>
      </c>
      <c r="F450" s="3">
        <f>RAW_INPUT!C450</f>
        <v/>
      </c>
      <c r="G450" s="3">
        <f>RAW_INPUT!E450</f>
        <v/>
      </c>
      <c r="H450" s="3">
        <f>I450/F450</f>
        <v/>
      </c>
      <c r="I450" s="3">
        <f>METRICS!$C$14 * 0.02</f>
        <v/>
      </c>
      <c r="J450" s="3">
        <f>(G450-F450)*H450</f>
        <v/>
      </c>
      <c r="K450" s="3">
        <f>(G450-F450)/F450*100</f>
        <v/>
      </c>
      <c r="L450" s="3">
        <f>RAW_INPUT!F450</f>
        <v/>
      </c>
      <c r="M450" s="3">
        <f>K450-L450</f>
        <v/>
      </c>
      <c r="N450" s="3">
        <f>IF(J450&gt;0, 1, 0)</f>
        <v/>
      </c>
      <c r="O450" s="3">
        <f>IF(J450&lt;0, 1, 0)</f>
        <v/>
      </c>
      <c r="P450" s="3">
        <f>SUM($J$3:J450)</f>
        <v/>
      </c>
      <c r="Q450" s="3">
        <f>P450/METRICS!$C$14*100</f>
        <v/>
      </c>
      <c r="R450" s="3">
        <f>METRICS!$C$14+P450</f>
        <v/>
      </c>
      <c r="S450" s="3">
        <f>MAX($R$3:R450)</f>
        <v/>
      </c>
      <c r="T450" s="3">
        <f>R450-S450</f>
        <v/>
      </c>
      <c r="U450" s="3">
        <f>(R450-S450)/S450*100</f>
        <v/>
      </c>
      <c r="V450" s="3">
        <f>IF(K450&lt;0, (K450/100)^2, 0)</f>
        <v/>
      </c>
    </row>
    <row r="451">
      <c r="A451" s="3">
        <f>TEXT(449, """T""0000")</f>
        <v/>
      </c>
      <c r="B451" s="3">
        <f>RAW_INPUT!A451</f>
        <v/>
      </c>
      <c r="C451" s="3">
        <f>RAW_INPUT!B451</f>
        <v/>
      </c>
      <c r="D451" s="3">
        <f>RAW_INPUT!D451</f>
        <v/>
      </c>
      <c r="E451" s="3">
        <f>D451-C451</f>
        <v/>
      </c>
      <c r="F451" s="3">
        <f>RAW_INPUT!C451</f>
        <v/>
      </c>
      <c r="G451" s="3">
        <f>RAW_INPUT!E451</f>
        <v/>
      </c>
      <c r="H451" s="3">
        <f>I451/F451</f>
        <v/>
      </c>
      <c r="I451" s="3">
        <f>METRICS!$C$14 * 0.02</f>
        <v/>
      </c>
      <c r="J451" s="3">
        <f>(G451-F451)*H451</f>
        <v/>
      </c>
      <c r="K451" s="3">
        <f>(G451-F451)/F451*100</f>
        <v/>
      </c>
      <c r="L451" s="3">
        <f>RAW_INPUT!F451</f>
        <v/>
      </c>
      <c r="M451" s="3">
        <f>K451-L451</f>
        <v/>
      </c>
      <c r="N451" s="3">
        <f>IF(J451&gt;0, 1, 0)</f>
        <v/>
      </c>
      <c r="O451" s="3">
        <f>IF(J451&lt;0, 1, 0)</f>
        <v/>
      </c>
      <c r="P451" s="3">
        <f>SUM($J$3:J451)</f>
        <v/>
      </c>
      <c r="Q451" s="3">
        <f>P451/METRICS!$C$14*100</f>
        <v/>
      </c>
      <c r="R451" s="3">
        <f>METRICS!$C$14+P451</f>
        <v/>
      </c>
      <c r="S451" s="3">
        <f>MAX($R$3:R451)</f>
        <v/>
      </c>
      <c r="T451" s="3">
        <f>R451-S451</f>
        <v/>
      </c>
      <c r="U451" s="3">
        <f>(R451-S451)/S451*100</f>
        <v/>
      </c>
      <c r="V451" s="3">
        <f>IF(K451&lt;0, (K451/100)^2, 0)</f>
        <v/>
      </c>
    </row>
    <row r="452">
      <c r="A452" s="3">
        <f>TEXT(450, """T""0000")</f>
        <v/>
      </c>
      <c r="B452" s="3">
        <f>RAW_INPUT!A452</f>
        <v/>
      </c>
      <c r="C452" s="3">
        <f>RAW_INPUT!B452</f>
        <v/>
      </c>
      <c r="D452" s="3">
        <f>RAW_INPUT!D452</f>
        <v/>
      </c>
      <c r="E452" s="3">
        <f>D452-C452</f>
        <v/>
      </c>
      <c r="F452" s="3">
        <f>RAW_INPUT!C452</f>
        <v/>
      </c>
      <c r="G452" s="3">
        <f>RAW_INPUT!E452</f>
        <v/>
      </c>
      <c r="H452" s="3">
        <f>I452/F452</f>
        <v/>
      </c>
      <c r="I452" s="3">
        <f>METRICS!$C$14 * 0.02</f>
        <v/>
      </c>
      <c r="J452" s="3">
        <f>(G452-F452)*H452</f>
        <v/>
      </c>
      <c r="K452" s="3">
        <f>(G452-F452)/F452*100</f>
        <v/>
      </c>
      <c r="L452" s="3">
        <f>RAW_INPUT!F452</f>
        <v/>
      </c>
      <c r="M452" s="3">
        <f>K452-L452</f>
        <v/>
      </c>
      <c r="N452" s="3">
        <f>IF(J452&gt;0, 1, 0)</f>
        <v/>
      </c>
      <c r="O452" s="3">
        <f>IF(J452&lt;0, 1, 0)</f>
        <v/>
      </c>
      <c r="P452" s="3">
        <f>SUM($J$3:J452)</f>
        <v/>
      </c>
      <c r="Q452" s="3">
        <f>P452/METRICS!$C$14*100</f>
        <v/>
      </c>
      <c r="R452" s="3">
        <f>METRICS!$C$14+P452</f>
        <v/>
      </c>
      <c r="S452" s="3">
        <f>MAX($R$3:R452)</f>
        <v/>
      </c>
      <c r="T452" s="3">
        <f>R452-S452</f>
        <v/>
      </c>
      <c r="U452" s="3">
        <f>(R452-S452)/S452*100</f>
        <v/>
      </c>
      <c r="V452" s="3">
        <f>IF(K452&lt;0, (K452/100)^2, 0)</f>
        <v/>
      </c>
    </row>
    <row r="453">
      <c r="A453" s="3">
        <f>TEXT(451, """T""0000")</f>
        <v/>
      </c>
      <c r="B453" s="3">
        <f>RAW_INPUT!A453</f>
        <v/>
      </c>
      <c r="C453" s="3">
        <f>RAW_INPUT!B453</f>
        <v/>
      </c>
      <c r="D453" s="3">
        <f>RAW_INPUT!D453</f>
        <v/>
      </c>
      <c r="E453" s="3">
        <f>D453-C453</f>
        <v/>
      </c>
      <c r="F453" s="3">
        <f>RAW_INPUT!C453</f>
        <v/>
      </c>
      <c r="G453" s="3">
        <f>RAW_INPUT!E453</f>
        <v/>
      </c>
      <c r="H453" s="3">
        <f>I453/F453</f>
        <v/>
      </c>
      <c r="I453" s="3">
        <f>METRICS!$C$14 * 0.02</f>
        <v/>
      </c>
      <c r="J453" s="3">
        <f>(G453-F453)*H453</f>
        <v/>
      </c>
      <c r="K453" s="3">
        <f>(G453-F453)/F453*100</f>
        <v/>
      </c>
      <c r="L453" s="3">
        <f>RAW_INPUT!F453</f>
        <v/>
      </c>
      <c r="M453" s="3">
        <f>K453-L453</f>
        <v/>
      </c>
      <c r="N453" s="3">
        <f>IF(J453&gt;0, 1, 0)</f>
        <v/>
      </c>
      <c r="O453" s="3">
        <f>IF(J453&lt;0, 1, 0)</f>
        <v/>
      </c>
      <c r="P453" s="3">
        <f>SUM($J$3:J453)</f>
        <v/>
      </c>
      <c r="Q453" s="3">
        <f>P453/METRICS!$C$14*100</f>
        <v/>
      </c>
      <c r="R453" s="3">
        <f>METRICS!$C$14+P453</f>
        <v/>
      </c>
      <c r="S453" s="3">
        <f>MAX($R$3:R453)</f>
        <v/>
      </c>
      <c r="T453" s="3">
        <f>R453-S453</f>
        <v/>
      </c>
      <c r="U453" s="3">
        <f>(R453-S453)/S453*100</f>
        <v/>
      </c>
      <c r="V453" s="3">
        <f>IF(K453&lt;0, (K453/100)^2, 0)</f>
        <v/>
      </c>
    </row>
    <row r="454">
      <c r="A454" s="3">
        <f>TEXT(452, """T""0000")</f>
        <v/>
      </c>
      <c r="B454" s="3">
        <f>RAW_INPUT!A454</f>
        <v/>
      </c>
      <c r="C454" s="3">
        <f>RAW_INPUT!B454</f>
        <v/>
      </c>
      <c r="D454" s="3">
        <f>RAW_INPUT!D454</f>
        <v/>
      </c>
      <c r="E454" s="3">
        <f>D454-C454</f>
        <v/>
      </c>
      <c r="F454" s="3">
        <f>RAW_INPUT!C454</f>
        <v/>
      </c>
      <c r="G454" s="3">
        <f>RAW_INPUT!E454</f>
        <v/>
      </c>
      <c r="H454" s="3">
        <f>I454/F454</f>
        <v/>
      </c>
      <c r="I454" s="3">
        <f>METRICS!$C$14 * 0.02</f>
        <v/>
      </c>
      <c r="J454" s="3">
        <f>(G454-F454)*H454</f>
        <v/>
      </c>
      <c r="K454" s="3">
        <f>(G454-F454)/F454*100</f>
        <v/>
      </c>
      <c r="L454" s="3">
        <f>RAW_INPUT!F454</f>
        <v/>
      </c>
      <c r="M454" s="3">
        <f>K454-L454</f>
        <v/>
      </c>
      <c r="N454" s="3">
        <f>IF(J454&gt;0, 1, 0)</f>
        <v/>
      </c>
      <c r="O454" s="3">
        <f>IF(J454&lt;0, 1, 0)</f>
        <v/>
      </c>
      <c r="P454" s="3">
        <f>SUM($J$3:J454)</f>
        <v/>
      </c>
      <c r="Q454" s="3">
        <f>P454/METRICS!$C$14*100</f>
        <v/>
      </c>
      <c r="R454" s="3">
        <f>METRICS!$C$14+P454</f>
        <v/>
      </c>
      <c r="S454" s="3">
        <f>MAX($R$3:R454)</f>
        <v/>
      </c>
      <c r="T454" s="3">
        <f>R454-S454</f>
        <v/>
      </c>
      <c r="U454" s="3">
        <f>(R454-S454)/S454*100</f>
        <v/>
      </c>
      <c r="V454" s="3">
        <f>IF(K454&lt;0, (K454/100)^2, 0)</f>
        <v/>
      </c>
    </row>
    <row r="455">
      <c r="A455" s="3">
        <f>TEXT(453, """T""0000")</f>
        <v/>
      </c>
      <c r="B455" s="3">
        <f>RAW_INPUT!A455</f>
        <v/>
      </c>
      <c r="C455" s="3">
        <f>RAW_INPUT!B455</f>
        <v/>
      </c>
      <c r="D455" s="3">
        <f>RAW_INPUT!D455</f>
        <v/>
      </c>
      <c r="E455" s="3">
        <f>D455-C455</f>
        <v/>
      </c>
      <c r="F455" s="3">
        <f>RAW_INPUT!C455</f>
        <v/>
      </c>
      <c r="G455" s="3">
        <f>RAW_INPUT!E455</f>
        <v/>
      </c>
      <c r="H455" s="3">
        <f>I455/F455</f>
        <v/>
      </c>
      <c r="I455" s="3">
        <f>METRICS!$C$14 * 0.02</f>
        <v/>
      </c>
      <c r="J455" s="3">
        <f>(G455-F455)*H455</f>
        <v/>
      </c>
      <c r="K455" s="3">
        <f>(G455-F455)/F455*100</f>
        <v/>
      </c>
      <c r="L455" s="3">
        <f>RAW_INPUT!F455</f>
        <v/>
      </c>
      <c r="M455" s="3">
        <f>K455-L455</f>
        <v/>
      </c>
      <c r="N455" s="3">
        <f>IF(J455&gt;0, 1, 0)</f>
        <v/>
      </c>
      <c r="O455" s="3">
        <f>IF(J455&lt;0, 1, 0)</f>
        <v/>
      </c>
      <c r="P455" s="3">
        <f>SUM($J$3:J455)</f>
        <v/>
      </c>
      <c r="Q455" s="3">
        <f>P455/METRICS!$C$14*100</f>
        <v/>
      </c>
      <c r="R455" s="3">
        <f>METRICS!$C$14+P455</f>
        <v/>
      </c>
      <c r="S455" s="3">
        <f>MAX($R$3:R455)</f>
        <v/>
      </c>
      <c r="T455" s="3">
        <f>R455-S455</f>
        <v/>
      </c>
      <c r="U455" s="3">
        <f>(R455-S455)/S455*100</f>
        <v/>
      </c>
      <c r="V455" s="3">
        <f>IF(K455&lt;0, (K455/100)^2, 0)</f>
        <v/>
      </c>
    </row>
    <row r="456">
      <c r="A456" s="3">
        <f>TEXT(454, """T""0000")</f>
        <v/>
      </c>
      <c r="B456" s="3">
        <f>RAW_INPUT!A456</f>
        <v/>
      </c>
      <c r="C456" s="3">
        <f>RAW_INPUT!B456</f>
        <v/>
      </c>
      <c r="D456" s="3">
        <f>RAW_INPUT!D456</f>
        <v/>
      </c>
      <c r="E456" s="3">
        <f>D456-C456</f>
        <v/>
      </c>
      <c r="F456" s="3">
        <f>RAW_INPUT!C456</f>
        <v/>
      </c>
      <c r="G456" s="3">
        <f>RAW_INPUT!E456</f>
        <v/>
      </c>
      <c r="H456" s="3">
        <f>I456/F456</f>
        <v/>
      </c>
      <c r="I456" s="3">
        <f>METRICS!$C$14 * 0.02</f>
        <v/>
      </c>
      <c r="J456" s="3">
        <f>(G456-F456)*H456</f>
        <v/>
      </c>
      <c r="K456" s="3">
        <f>(G456-F456)/F456*100</f>
        <v/>
      </c>
      <c r="L456" s="3">
        <f>RAW_INPUT!F456</f>
        <v/>
      </c>
      <c r="M456" s="3">
        <f>K456-L456</f>
        <v/>
      </c>
      <c r="N456" s="3">
        <f>IF(J456&gt;0, 1, 0)</f>
        <v/>
      </c>
      <c r="O456" s="3">
        <f>IF(J456&lt;0, 1, 0)</f>
        <v/>
      </c>
      <c r="P456" s="3">
        <f>SUM($J$3:J456)</f>
        <v/>
      </c>
      <c r="Q456" s="3">
        <f>P456/METRICS!$C$14*100</f>
        <v/>
      </c>
      <c r="R456" s="3">
        <f>METRICS!$C$14+P456</f>
        <v/>
      </c>
      <c r="S456" s="3">
        <f>MAX($R$3:R456)</f>
        <v/>
      </c>
      <c r="T456" s="3">
        <f>R456-S456</f>
        <v/>
      </c>
      <c r="U456" s="3">
        <f>(R456-S456)/S456*100</f>
        <v/>
      </c>
      <c r="V456" s="3">
        <f>IF(K456&lt;0, (K456/100)^2, 0)</f>
        <v/>
      </c>
    </row>
    <row r="457">
      <c r="A457" s="3">
        <f>TEXT(455, """T""0000")</f>
        <v/>
      </c>
      <c r="B457" s="3">
        <f>RAW_INPUT!A457</f>
        <v/>
      </c>
      <c r="C457" s="3">
        <f>RAW_INPUT!B457</f>
        <v/>
      </c>
      <c r="D457" s="3">
        <f>RAW_INPUT!D457</f>
        <v/>
      </c>
      <c r="E457" s="3">
        <f>D457-C457</f>
        <v/>
      </c>
      <c r="F457" s="3">
        <f>RAW_INPUT!C457</f>
        <v/>
      </c>
      <c r="G457" s="3">
        <f>RAW_INPUT!E457</f>
        <v/>
      </c>
      <c r="H457" s="3">
        <f>I457/F457</f>
        <v/>
      </c>
      <c r="I457" s="3">
        <f>METRICS!$C$14 * 0.02</f>
        <v/>
      </c>
      <c r="J457" s="3">
        <f>(G457-F457)*H457</f>
        <v/>
      </c>
      <c r="K457" s="3">
        <f>(G457-F457)/F457*100</f>
        <v/>
      </c>
      <c r="L457" s="3">
        <f>RAW_INPUT!F457</f>
        <v/>
      </c>
      <c r="M457" s="3">
        <f>K457-L457</f>
        <v/>
      </c>
      <c r="N457" s="3">
        <f>IF(J457&gt;0, 1, 0)</f>
        <v/>
      </c>
      <c r="O457" s="3">
        <f>IF(J457&lt;0, 1, 0)</f>
        <v/>
      </c>
      <c r="P457" s="3">
        <f>SUM($J$3:J457)</f>
        <v/>
      </c>
      <c r="Q457" s="3">
        <f>P457/METRICS!$C$14*100</f>
        <v/>
      </c>
      <c r="R457" s="3">
        <f>METRICS!$C$14+P457</f>
        <v/>
      </c>
      <c r="S457" s="3">
        <f>MAX($R$3:R457)</f>
        <v/>
      </c>
      <c r="T457" s="3">
        <f>R457-S457</f>
        <v/>
      </c>
      <c r="U457" s="3">
        <f>(R457-S457)/S457*100</f>
        <v/>
      </c>
      <c r="V457" s="3">
        <f>IF(K457&lt;0, (K457/100)^2, 0)</f>
        <v/>
      </c>
    </row>
    <row r="458">
      <c r="A458" s="3">
        <f>TEXT(456, """T""0000")</f>
        <v/>
      </c>
      <c r="B458" s="3">
        <f>RAW_INPUT!A458</f>
        <v/>
      </c>
      <c r="C458" s="3">
        <f>RAW_INPUT!B458</f>
        <v/>
      </c>
      <c r="D458" s="3">
        <f>RAW_INPUT!D458</f>
        <v/>
      </c>
      <c r="E458" s="3">
        <f>D458-C458</f>
        <v/>
      </c>
      <c r="F458" s="3">
        <f>RAW_INPUT!C458</f>
        <v/>
      </c>
      <c r="G458" s="3">
        <f>RAW_INPUT!E458</f>
        <v/>
      </c>
      <c r="H458" s="3">
        <f>I458/F458</f>
        <v/>
      </c>
      <c r="I458" s="3">
        <f>METRICS!$C$14 * 0.02</f>
        <v/>
      </c>
      <c r="J458" s="3">
        <f>(G458-F458)*H458</f>
        <v/>
      </c>
      <c r="K458" s="3">
        <f>(G458-F458)/F458*100</f>
        <v/>
      </c>
      <c r="L458" s="3">
        <f>RAW_INPUT!F458</f>
        <v/>
      </c>
      <c r="M458" s="3">
        <f>K458-L458</f>
        <v/>
      </c>
      <c r="N458" s="3">
        <f>IF(J458&gt;0, 1, 0)</f>
        <v/>
      </c>
      <c r="O458" s="3">
        <f>IF(J458&lt;0, 1, 0)</f>
        <v/>
      </c>
      <c r="P458" s="3">
        <f>SUM($J$3:J458)</f>
        <v/>
      </c>
      <c r="Q458" s="3">
        <f>P458/METRICS!$C$14*100</f>
        <v/>
      </c>
      <c r="R458" s="3">
        <f>METRICS!$C$14+P458</f>
        <v/>
      </c>
      <c r="S458" s="3">
        <f>MAX($R$3:R458)</f>
        <v/>
      </c>
      <c r="T458" s="3">
        <f>R458-S458</f>
        <v/>
      </c>
      <c r="U458" s="3">
        <f>(R458-S458)/S458*100</f>
        <v/>
      </c>
      <c r="V458" s="3">
        <f>IF(K458&lt;0, (K458/100)^2, 0)</f>
        <v/>
      </c>
    </row>
    <row r="459">
      <c r="A459" s="3">
        <f>TEXT(457, """T""0000")</f>
        <v/>
      </c>
      <c r="B459" s="3">
        <f>RAW_INPUT!A459</f>
        <v/>
      </c>
      <c r="C459" s="3">
        <f>RAW_INPUT!B459</f>
        <v/>
      </c>
      <c r="D459" s="3">
        <f>RAW_INPUT!D459</f>
        <v/>
      </c>
      <c r="E459" s="3">
        <f>D459-C459</f>
        <v/>
      </c>
      <c r="F459" s="3">
        <f>RAW_INPUT!C459</f>
        <v/>
      </c>
      <c r="G459" s="3">
        <f>RAW_INPUT!E459</f>
        <v/>
      </c>
      <c r="H459" s="3">
        <f>I459/F459</f>
        <v/>
      </c>
      <c r="I459" s="3">
        <f>METRICS!$C$14 * 0.02</f>
        <v/>
      </c>
      <c r="J459" s="3">
        <f>(G459-F459)*H459</f>
        <v/>
      </c>
      <c r="K459" s="3">
        <f>(G459-F459)/F459*100</f>
        <v/>
      </c>
      <c r="L459" s="3">
        <f>RAW_INPUT!F459</f>
        <v/>
      </c>
      <c r="M459" s="3">
        <f>K459-L459</f>
        <v/>
      </c>
      <c r="N459" s="3">
        <f>IF(J459&gt;0, 1, 0)</f>
        <v/>
      </c>
      <c r="O459" s="3">
        <f>IF(J459&lt;0, 1, 0)</f>
        <v/>
      </c>
      <c r="P459" s="3">
        <f>SUM($J$3:J459)</f>
        <v/>
      </c>
      <c r="Q459" s="3">
        <f>P459/METRICS!$C$14*100</f>
        <v/>
      </c>
      <c r="R459" s="3">
        <f>METRICS!$C$14+P459</f>
        <v/>
      </c>
      <c r="S459" s="3">
        <f>MAX($R$3:R459)</f>
        <v/>
      </c>
      <c r="T459" s="3">
        <f>R459-S459</f>
        <v/>
      </c>
      <c r="U459" s="3">
        <f>(R459-S459)/S459*100</f>
        <v/>
      </c>
      <c r="V459" s="3">
        <f>IF(K459&lt;0, (K459/100)^2, 0)</f>
        <v/>
      </c>
    </row>
    <row r="460">
      <c r="A460" s="3">
        <f>TEXT(458, """T""0000")</f>
        <v/>
      </c>
      <c r="B460" s="3">
        <f>RAW_INPUT!A460</f>
        <v/>
      </c>
      <c r="C460" s="3">
        <f>RAW_INPUT!B460</f>
        <v/>
      </c>
      <c r="D460" s="3">
        <f>RAW_INPUT!D460</f>
        <v/>
      </c>
      <c r="E460" s="3">
        <f>D460-C460</f>
        <v/>
      </c>
      <c r="F460" s="3">
        <f>RAW_INPUT!C460</f>
        <v/>
      </c>
      <c r="G460" s="3">
        <f>RAW_INPUT!E460</f>
        <v/>
      </c>
      <c r="H460" s="3">
        <f>I460/F460</f>
        <v/>
      </c>
      <c r="I460" s="3">
        <f>METRICS!$C$14 * 0.02</f>
        <v/>
      </c>
      <c r="J460" s="3">
        <f>(G460-F460)*H460</f>
        <v/>
      </c>
      <c r="K460" s="3">
        <f>(G460-F460)/F460*100</f>
        <v/>
      </c>
      <c r="L460" s="3">
        <f>RAW_INPUT!F460</f>
        <v/>
      </c>
      <c r="M460" s="3">
        <f>K460-L460</f>
        <v/>
      </c>
      <c r="N460" s="3">
        <f>IF(J460&gt;0, 1, 0)</f>
        <v/>
      </c>
      <c r="O460" s="3">
        <f>IF(J460&lt;0, 1, 0)</f>
        <v/>
      </c>
      <c r="P460" s="3">
        <f>SUM($J$3:J460)</f>
        <v/>
      </c>
      <c r="Q460" s="3">
        <f>P460/METRICS!$C$14*100</f>
        <v/>
      </c>
      <c r="R460" s="3">
        <f>METRICS!$C$14+P460</f>
        <v/>
      </c>
      <c r="S460" s="3">
        <f>MAX($R$3:R460)</f>
        <v/>
      </c>
      <c r="T460" s="3">
        <f>R460-S460</f>
        <v/>
      </c>
      <c r="U460" s="3">
        <f>(R460-S460)/S460*100</f>
        <v/>
      </c>
      <c r="V460" s="3">
        <f>IF(K460&lt;0, (K460/100)^2, 0)</f>
        <v/>
      </c>
    </row>
    <row r="461">
      <c r="A461" s="3">
        <f>TEXT(459, """T""0000")</f>
        <v/>
      </c>
      <c r="B461" s="3">
        <f>RAW_INPUT!A461</f>
        <v/>
      </c>
      <c r="C461" s="3">
        <f>RAW_INPUT!B461</f>
        <v/>
      </c>
      <c r="D461" s="3">
        <f>RAW_INPUT!D461</f>
        <v/>
      </c>
      <c r="E461" s="3">
        <f>D461-C461</f>
        <v/>
      </c>
      <c r="F461" s="3">
        <f>RAW_INPUT!C461</f>
        <v/>
      </c>
      <c r="G461" s="3">
        <f>RAW_INPUT!E461</f>
        <v/>
      </c>
      <c r="H461" s="3">
        <f>I461/F461</f>
        <v/>
      </c>
      <c r="I461" s="3">
        <f>METRICS!$C$14 * 0.02</f>
        <v/>
      </c>
      <c r="J461" s="3">
        <f>(G461-F461)*H461</f>
        <v/>
      </c>
      <c r="K461" s="3">
        <f>(G461-F461)/F461*100</f>
        <v/>
      </c>
      <c r="L461" s="3">
        <f>RAW_INPUT!F461</f>
        <v/>
      </c>
      <c r="M461" s="3">
        <f>K461-L461</f>
        <v/>
      </c>
      <c r="N461" s="3">
        <f>IF(J461&gt;0, 1, 0)</f>
        <v/>
      </c>
      <c r="O461" s="3">
        <f>IF(J461&lt;0, 1, 0)</f>
        <v/>
      </c>
      <c r="P461" s="3">
        <f>SUM($J$3:J461)</f>
        <v/>
      </c>
      <c r="Q461" s="3">
        <f>P461/METRICS!$C$14*100</f>
        <v/>
      </c>
      <c r="R461" s="3">
        <f>METRICS!$C$14+P461</f>
        <v/>
      </c>
      <c r="S461" s="3">
        <f>MAX($R$3:R461)</f>
        <v/>
      </c>
      <c r="T461" s="3">
        <f>R461-S461</f>
        <v/>
      </c>
      <c r="U461" s="3">
        <f>(R461-S461)/S461*100</f>
        <v/>
      </c>
      <c r="V461" s="3">
        <f>IF(K461&lt;0, (K461/100)^2, 0)</f>
        <v/>
      </c>
    </row>
    <row r="462">
      <c r="A462" s="3">
        <f>TEXT(460, """T""0000")</f>
        <v/>
      </c>
      <c r="B462" s="3">
        <f>RAW_INPUT!A462</f>
        <v/>
      </c>
      <c r="C462" s="3">
        <f>RAW_INPUT!B462</f>
        <v/>
      </c>
      <c r="D462" s="3">
        <f>RAW_INPUT!D462</f>
        <v/>
      </c>
      <c r="E462" s="3">
        <f>D462-C462</f>
        <v/>
      </c>
      <c r="F462" s="3">
        <f>RAW_INPUT!C462</f>
        <v/>
      </c>
      <c r="G462" s="3">
        <f>RAW_INPUT!E462</f>
        <v/>
      </c>
      <c r="H462" s="3">
        <f>I462/F462</f>
        <v/>
      </c>
      <c r="I462" s="3">
        <f>METRICS!$C$14 * 0.02</f>
        <v/>
      </c>
      <c r="J462" s="3">
        <f>(G462-F462)*H462</f>
        <v/>
      </c>
      <c r="K462" s="3">
        <f>(G462-F462)/F462*100</f>
        <v/>
      </c>
      <c r="L462" s="3">
        <f>RAW_INPUT!F462</f>
        <v/>
      </c>
      <c r="M462" s="3">
        <f>K462-L462</f>
        <v/>
      </c>
      <c r="N462" s="3">
        <f>IF(J462&gt;0, 1, 0)</f>
        <v/>
      </c>
      <c r="O462" s="3">
        <f>IF(J462&lt;0, 1, 0)</f>
        <v/>
      </c>
      <c r="P462" s="3">
        <f>SUM($J$3:J462)</f>
        <v/>
      </c>
      <c r="Q462" s="3">
        <f>P462/METRICS!$C$14*100</f>
        <v/>
      </c>
      <c r="R462" s="3">
        <f>METRICS!$C$14+P462</f>
        <v/>
      </c>
      <c r="S462" s="3">
        <f>MAX($R$3:R462)</f>
        <v/>
      </c>
      <c r="T462" s="3">
        <f>R462-S462</f>
        <v/>
      </c>
      <c r="U462" s="3">
        <f>(R462-S462)/S462*100</f>
        <v/>
      </c>
      <c r="V462" s="3">
        <f>IF(K462&lt;0, (K462/100)^2, 0)</f>
        <v/>
      </c>
    </row>
    <row r="463">
      <c r="A463" s="3">
        <f>TEXT(461, """T""0000")</f>
        <v/>
      </c>
      <c r="B463" s="3">
        <f>RAW_INPUT!A463</f>
        <v/>
      </c>
      <c r="C463" s="3">
        <f>RAW_INPUT!B463</f>
        <v/>
      </c>
      <c r="D463" s="3">
        <f>RAW_INPUT!D463</f>
        <v/>
      </c>
      <c r="E463" s="3">
        <f>D463-C463</f>
        <v/>
      </c>
      <c r="F463" s="3">
        <f>RAW_INPUT!C463</f>
        <v/>
      </c>
      <c r="G463" s="3">
        <f>RAW_INPUT!E463</f>
        <v/>
      </c>
      <c r="H463" s="3">
        <f>I463/F463</f>
        <v/>
      </c>
      <c r="I463" s="3">
        <f>METRICS!$C$14 * 0.02</f>
        <v/>
      </c>
      <c r="J463" s="3">
        <f>(G463-F463)*H463</f>
        <v/>
      </c>
      <c r="K463" s="3">
        <f>(G463-F463)/F463*100</f>
        <v/>
      </c>
      <c r="L463" s="3">
        <f>RAW_INPUT!F463</f>
        <v/>
      </c>
      <c r="M463" s="3">
        <f>K463-L463</f>
        <v/>
      </c>
      <c r="N463" s="3">
        <f>IF(J463&gt;0, 1, 0)</f>
        <v/>
      </c>
      <c r="O463" s="3">
        <f>IF(J463&lt;0, 1, 0)</f>
        <v/>
      </c>
      <c r="P463" s="3">
        <f>SUM($J$3:J463)</f>
        <v/>
      </c>
      <c r="Q463" s="3">
        <f>P463/METRICS!$C$14*100</f>
        <v/>
      </c>
      <c r="R463" s="3">
        <f>METRICS!$C$14+P463</f>
        <v/>
      </c>
      <c r="S463" s="3">
        <f>MAX($R$3:R463)</f>
        <v/>
      </c>
      <c r="T463" s="3">
        <f>R463-S463</f>
        <v/>
      </c>
      <c r="U463" s="3">
        <f>(R463-S463)/S463*100</f>
        <v/>
      </c>
      <c r="V463" s="3">
        <f>IF(K463&lt;0, (K463/100)^2, 0)</f>
        <v/>
      </c>
    </row>
    <row r="464">
      <c r="A464" s="3">
        <f>TEXT(462, """T""0000")</f>
        <v/>
      </c>
      <c r="B464" s="3">
        <f>RAW_INPUT!A464</f>
        <v/>
      </c>
      <c r="C464" s="3">
        <f>RAW_INPUT!B464</f>
        <v/>
      </c>
      <c r="D464" s="3">
        <f>RAW_INPUT!D464</f>
        <v/>
      </c>
      <c r="E464" s="3">
        <f>D464-C464</f>
        <v/>
      </c>
      <c r="F464" s="3">
        <f>RAW_INPUT!C464</f>
        <v/>
      </c>
      <c r="G464" s="3">
        <f>RAW_INPUT!E464</f>
        <v/>
      </c>
      <c r="H464" s="3">
        <f>I464/F464</f>
        <v/>
      </c>
      <c r="I464" s="3">
        <f>METRICS!$C$14 * 0.02</f>
        <v/>
      </c>
      <c r="J464" s="3">
        <f>(G464-F464)*H464</f>
        <v/>
      </c>
      <c r="K464" s="3">
        <f>(G464-F464)/F464*100</f>
        <v/>
      </c>
      <c r="L464" s="3">
        <f>RAW_INPUT!F464</f>
        <v/>
      </c>
      <c r="M464" s="3">
        <f>K464-L464</f>
        <v/>
      </c>
      <c r="N464" s="3">
        <f>IF(J464&gt;0, 1, 0)</f>
        <v/>
      </c>
      <c r="O464" s="3">
        <f>IF(J464&lt;0, 1, 0)</f>
        <v/>
      </c>
      <c r="P464" s="3">
        <f>SUM($J$3:J464)</f>
        <v/>
      </c>
      <c r="Q464" s="3">
        <f>P464/METRICS!$C$14*100</f>
        <v/>
      </c>
      <c r="R464" s="3">
        <f>METRICS!$C$14+P464</f>
        <v/>
      </c>
      <c r="S464" s="3">
        <f>MAX($R$3:R464)</f>
        <v/>
      </c>
      <c r="T464" s="3">
        <f>R464-S464</f>
        <v/>
      </c>
      <c r="U464" s="3">
        <f>(R464-S464)/S464*100</f>
        <v/>
      </c>
      <c r="V464" s="3">
        <f>IF(K464&lt;0, (K464/100)^2, 0)</f>
        <v/>
      </c>
    </row>
    <row r="465">
      <c r="A465" s="3">
        <f>TEXT(463, """T""0000")</f>
        <v/>
      </c>
      <c r="B465" s="3">
        <f>RAW_INPUT!A465</f>
        <v/>
      </c>
      <c r="C465" s="3">
        <f>RAW_INPUT!B465</f>
        <v/>
      </c>
      <c r="D465" s="3">
        <f>RAW_INPUT!D465</f>
        <v/>
      </c>
      <c r="E465" s="3">
        <f>D465-C465</f>
        <v/>
      </c>
      <c r="F465" s="3">
        <f>RAW_INPUT!C465</f>
        <v/>
      </c>
      <c r="G465" s="3">
        <f>RAW_INPUT!E465</f>
        <v/>
      </c>
      <c r="H465" s="3">
        <f>I465/F465</f>
        <v/>
      </c>
      <c r="I465" s="3">
        <f>METRICS!$C$14 * 0.02</f>
        <v/>
      </c>
      <c r="J465" s="3">
        <f>(G465-F465)*H465</f>
        <v/>
      </c>
      <c r="K465" s="3">
        <f>(G465-F465)/F465*100</f>
        <v/>
      </c>
      <c r="L465" s="3">
        <f>RAW_INPUT!F465</f>
        <v/>
      </c>
      <c r="M465" s="3">
        <f>K465-L465</f>
        <v/>
      </c>
      <c r="N465" s="3">
        <f>IF(J465&gt;0, 1, 0)</f>
        <v/>
      </c>
      <c r="O465" s="3">
        <f>IF(J465&lt;0, 1, 0)</f>
        <v/>
      </c>
      <c r="P465" s="3">
        <f>SUM($J$3:J465)</f>
        <v/>
      </c>
      <c r="Q465" s="3">
        <f>P465/METRICS!$C$14*100</f>
        <v/>
      </c>
      <c r="R465" s="3">
        <f>METRICS!$C$14+P465</f>
        <v/>
      </c>
      <c r="S465" s="3">
        <f>MAX($R$3:R465)</f>
        <v/>
      </c>
      <c r="T465" s="3">
        <f>R465-S465</f>
        <v/>
      </c>
      <c r="U465" s="3">
        <f>(R465-S465)/S465*100</f>
        <v/>
      </c>
      <c r="V465" s="3">
        <f>IF(K465&lt;0, (K465/100)^2, 0)</f>
        <v/>
      </c>
    </row>
    <row r="466">
      <c r="A466" s="3">
        <f>TEXT(464, """T""0000")</f>
        <v/>
      </c>
      <c r="B466" s="3">
        <f>RAW_INPUT!A466</f>
        <v/>
      </c>
      <c r="C466" s="3">
        <f>RAW_INPUT!B466</f>
        <v/>
      </c>
      <c r="D466" s="3">
        <f>RAW_INPUT!D466</f>
        <v/>
      </c>
      <c r="E466" s="3">
        <f>D466-C466</f>
        <v/>
      </c>
      <c r="F466" s="3">
        <f>RAW_INPUT!C466</f>
        <v/>
      </c>
      <c r="G466" s="3">
        <f>RAW_INPUT!E466</f>
        <v/>
      </c>
      <c r="H466" s="3">
        <f>I466/F466</f>
        <v/>
      </c>
      <c r="I466" s="3">
        <f>METRICS!$C$14 * 0.02</f>
        <v/>
      </c>
      <c r="J466" s="3">
        <f>(G466-F466)*H466</f>
        <v/>
      </c>
      <c r="K466" s="3">
        <f>(G466-F466)/F466*100</f>
        <v/>
      </c>
      <c r="L466" s="3">
        <f>RAW_INPUT!F466</f>
        <v/>
      </c>
      <c r="M466" s="3">
        <f>K466-L466</f>
        <v/>
      </c>
      <c r="N466" s="3">
        <f>IF(J466&gt;0, 1, 0)</f>
        <v/>
      </c>
      <c r="O466" s="3">
        <f>IF(J466&lt;0, 1, 0)</f>
        <v/>
      </c>
      <c r="P466" s="3">
        <f>SUM($J$3:J466)</f>
        <v/>
      </c>
      <c r="Q466" s="3">
        <f>P466/METRICS!$C$14*100</f>
        <v/>
      </c>
      <c r="R466" s="3">
        <f>METRICS!$C$14+P466</f>
        <v/>
      </c>
      <c r="S466" s="3">
        <f>MAX($R$3:R466)</f>
        <v/>
      </c>
      <c r="T466" s="3">
        <f>R466-S466</f>
        <v/>
      </c>
      <c r="U466" s="3">
        <f>(R466-S466)/S466*100</f>
        <v/>
      </c>
      <c r="V466" s="3">
        <f>IF(K466&lt;0, (K466/100)^2, 0)</f>
        <v/>
      </c>
    </row>
    <row r="467">
      <c r="A467" s="3">
        <f>TEXT(465, """T""0000")</f>
        <v/>
      </c>
      <c r="B467" s="3">
        <f>RAW_INPUT!A467</f>
        <v/>
      </c>
      <c r="C467" s="3">
        <f>RAW_INPUT!B467</f>
        <v/>
      </c>
      <c r="D467" s="3">
        <f>RAW_INPUT!D467</f>
        <v/>
      </c>
      <c r="E467" s="3">
        <f>D467-C467</f>
        <v/>
      </c>
      <c r="F467" s="3">
        <f>RAW_INPUT!C467</f>
        <v/>
      </c>
      <c r="G467" s="3">
        <f>RAW_INPUT!E467</f>
        <v/>
      </c>
      <c r="H467" s="3">
        <f>I467/F467</f>
        <v/>
      </c>
      <c r="I467" s="3">
        <f>METRICS!$C$14 * 0.02</f>
        <v/>
      </c>
      <c r="J467" s="3">
        <f>(G467-F467)*H467</f>
        <v/>
      </c>
      <c r="K467" s="3">
        <f>(G467-F467)/F467*100</f>
        <v/>
      </c>
      <c r="L467" s="3">
        <f>RAW_INPUT!F467</f>
        <v/>
      </c>
      <c r="M467" s="3">
        <f>K467-L467</f>
        <v/>
      </c>
      <c r="N467" s="3">
        <f>IF(J467&gt;0, 1, 0)</f>
        <v/>
      </c>
      <c r="O467" s="3">
        <f>IF(J467&lt;0, 1, 0)</f>
        <v/>
      </c>
      <c r="P467" s="3">
        <f>SUM($J$3:J467)</f>
        <v/>
      </c>
      <c r="Q467" s="3">
        <f>P467/METRICS!$C$14*100</f>
        <v/>
      </c>
      <c r="R467" s="3">
        <f>METRICS!$C$14+P467</f>
        <v/>
      </c>
      <c r="S467" s="3">
        <f>MAX($R$3:R467)</f>
        <v/>
      </c>
      <c r="T467" s="3">
        <f>R467-S467</f>
        <v/>
      </c>
      <c r="U467" s="3">
        <f>(R467-S467)/S467*100</f>
        <v/>
      </c>
      <c r="V467" s="3">
        <f>IF(K467&lt;0, (K467/100)^2, 0)</f>
        <v/>
      </c>
    </row>
    <row r="468">
      <c r="A468" s="3">
        <f>TEXT(466, """T""0000")</f>
        <v/>
      </c>
      <c r="B468" s="3">
        <f>RAW_INPUT!A468</f>
        <v/>
      </c>
      <c r="C468" s="3">
        <f>RAW_INPUT!B468</f>
        <v/>
      </c>
      <c r="D468" s="3">
        <f>RAW_INPUT!D468</f>
        <v/>
      </c>
      <c r="E468" s="3">
        <f>D468-C468</f>
        <v/>
      </c>
      <c r="F468" s="3">
        <f>RAW_INPUT!C468</f>
        <v/>
      </c>
      <c r="G468" s="3">
        <f>RAW_INPUT!E468</f>
        <v/>
      </c>
      <c r="H468" s="3">
        <f>I468/F468</f>
        <v/>
      </c>
      <c r="I468" s="3">
        <f>METRICS!$C$14 * 0.02</f>
        <v/>
      </c>
      <c r="J468" s="3">
        <f>(G468-F468)*H468</f>
        <v/>
      </c>
      <c r="K468" s="3">
        <f>(G468-F468)/F468*100</f>
        <v/>
      </c>
      <c r="L468" s="3">
        <f>RAW_INPUT!F468</f>
        <v/>
      </c>
      <c r="M468" s="3">
        <f>K468-L468</f>
        <v/>
      </c>
      <c r="N468" s="3">
        <f>IF(J468&gt;0, 1, 0)</f>
        <v/>
      </c>
      <c r="O468" s="3">
        <f>IF(J468&lt;0, 1, 0)</f>
        <v/>
      </c>
      <c r="P468" s="3">
        <f>SUM($J$3:J468)</f>
        <v/>
      </c>
      <c r="Q468" s="3">
        <f>P468/METRICS!$C$14*100</f>
        <v/>
      </c>
      <c r="R468" s="3">
        <f>METRICS!$C$14+P468</f>
        <v/>
      </c>
      <c r="S468" s="3">
        <f>MAX($R$3:R468)</f>
        <v/>
      </c>
      <c r="T468" s="3">
        <f>R468-S468</f>
        <v/>
      </c>
      <c r="U468" s="3">
        <f>(R468-S468)/S468*100</f>
        <v/>
      </c>
      <c r="V468" s="3">
        <f>IF(K468&lt;0, (K468/100)^2, 0)</f>
        <v/>
      </c>
    </row>
    <row r="469">
      <c r="A469" s="3">
        <f>TEXT(467, """T""0000")</f>
        <v/>
      </c>
      <c r="B469" s="3">
        <f>RAW_INPUT!A469</f>
        <v/>
      </c>
      <c r="C469" s="3">
        <f>RAW_INPUT!B469</f>
        <v/>
      </c>
      <c r="D469" s="3">
        <f>RAW_INPUT!D469</f>
        <v/>
      </c>
      <c r="E469" s="3">
        <f>D469-C469</f>
        <v/>
      </c>
      <c r="F469" s="3">
        <f>RAW_INPUT!C469</f>
        <v/>
      </c>
      <c r="G469" s="3">
        <f>RAW_INPUT!E469</f>
        <v/>
      </c>
      <c r="H469" s="3">
        <f>I469/F469</f>
        <v/>
      </c>
      <c r="I469" s="3">
        <f>METRICS!$C$14 * 0.02</f>
        <v/>
      </c>
      <c r="J469" s="3">
        <f>(G469-F469)*H469</f>
        <v/>
      </c>
      <c r="K469" s="3">
        <f>(G469-F469)/F469*100</f>
        <v/>
      </c>
      <c r="L469" s="3">
        <f>RAW_INPUT!F469</f>
        <v/>
      </c>
      <c r="M469" s="3">
        <f>K469-L469</f>
        <v/>
      </c>
      <c r="N469" s="3">
        <f>IF(J469&gt;0, 1, 0)</f>
        <v/>
      </c>
      <c r="O469" s="3">
        <f>IF(J469&lt;0, 1, 0)</f>
        <v/>
      </c>
      <c r="P469" s="3">
        <f>SUM($J$3:J469)</f>
        <v/>
      </c>
      <c r="Q469" s="3">
        <f>P469/METRICS!$C$14*100</f>
        <v/>
      </c>
      <c r="R469" s="3">
        <f>METRICS!$C$14+P469</f>
        <v/>
      </c>
      <c r="S469" s="3">
        <f>MAX($R$3:R469)</f>
        <v/>
      </c>
      <c r="T469" s="3">
        <f>R469-S469</f>
        <v/>
      </c>
      <c r="U469" s="3">
        <f>(R469-S469)/S469*100</f>
        <v/>
      </c>
      <c r="V469" s="3">
        <f>IF(K469&lt;0, (K469/100)^2, 0)</f>
        <v/>
      </c>
    </row>
    <row r="470">
      <c r="A470" s="3">
        <f>TEXT(468, """T""0000")</f>
        <v/>
      </c>
      <c r="B470" s="3">
        <f>RAW_INPUT!A470</f>
        <v/>
      </c>
      <c r="C470" s="3">
        <f>RAW_INPUT!B470</f>
        <v/>
      </c>
      <c r="D470" s="3">
        <f>RAW_INPUT!D470</f>
        <v/>
      </c>
      <c r="E470" s="3">
        <f>D470-C470</f>
        <v/>
      </c>
      <c r="F470" s="3">
        <f>RAW_INPUT!C470</f>
        <v/>
      </c>
      <c r="G470" s="3">
        <f>RAW_INPUT!E470</f>
        <v/>
      </c>
      <c r="H470" s="3">
        <f>I470/F470</f>
        <v/>
      </c>
      <c r="I470" s="3">
        <f>METRICS!$C$14 * 0.02</f>
        <v/>
      </c>
      <c r="J470" s="3">
        <f>(G470-F470)*H470</f>
        <v/>
      </c>
      <c r="K470" s="3">
        <f>(G470-F470)/F470*100</f>
        <v/>
      </c>
      <c r="L470" s="3">
        <f>RAW_INPUT!F470</f>
        <v/>
      </c>
      <c r="M470" s="3">
        <f>K470-L470</f>
        <v/>
      </c>
      <c r="N470" s="3">
        <f>IF(J470&gt;0, 1, 0)</f>
        <v/>
      </c>
      <c r="O470" s="3">
        <f>IF(J470&lt;0, 1, 0)</f>
        <v/>
      </c>
      <c r="P470" s="3">
        <f>SUM($J$3:J470)</f>
        <v/>
      </c>
      <c r="Q470" s="3">
        <f>P470/METRICS!$C$14*100</f>
        <v/>
      </c>
      <c r="R470" s="3">
        <f>METRICS!$C$14+P470</f>
        <v/>
      </c>
      <c r="S470" s="3">
        <f>MAX($R$3:R470)</f>
        <v/>
      </c>
      <c r="T470" s="3">
        <f>R470-S470</f>
        <v/>
      </c>
      <c r="U470" s="3">
        <f>(R470-S470)/S470*100</f>
        <v/>
      </c>
      <c r="V470" s="3">
        <f>IF(K470&lt;0, (K470/100)^2, 0)</f>
        <v/>
      </c>
    </row>
    <row r="471">
      <c r="A471" s="3">
        <f>TEXT(469, """T""0000")</f>
        <v/>
      </c>
      <c r="B471" s="3">
        <f>RAW_INPUT!A471</f>
        <v/>
      </c>
      <c r="C471" s="3">
        <f>RAW_INPUT!B471</f>
        <v/>
      </c>
      <c r="D471" s="3">
        <f>RAW_INPUT!D471</f>
        <v/>
      </c>
      <c r="E471" s="3">
        <f>D471-C471</f>
        <v/>
      </c>
      <c r="F471" s="3">
        <f>RAW_INPUT!C471</f>
        <v/>
      </c>
      <c r="G471" s="3">
        <f>RAW_INPUT!E471</f>
        <v/>
      </c>
      <c r="H471" s="3">
        <f>I471/F471</f>
        <v/>
      </c>
      <c r="I471" s="3">
        <f>METRICS!$C$14 * 0.02</f>
        <v/>
      </c>
      <c r="J471" s="3">
        <f>(G471-F471)*H471</f>
        <v/>
      </c>
      <c r="K471" s="3">
        <f>(G471-F471)/F471*100</f>
        <v/>
      </c>
      <c r="L471" s="3">
        <f>RAW_INPUT!F471</f>
        <v/>
      </c>
      <c r="M471" s="3">
        <f>K471-L471</f>
        <v/>
      </c>
      <c r="N471" s="3">
        <f>IF(J471&gt;0, 1, 0)</f>
        <v/>
      </c>
      <c r="O471" s="3">
        <f>IF(J471&lt;0, 1, 0)</f>
        <v/>
      </c>
      <c r="P471" s="3">
        <f>SUM($J$3:J471)</f>
        <v/>
      </c>
      <c r="Q471" s="3">
        <f>P471/METRICS!$C$14*100</f>
        <v/>
      </c>
      <c r="R471" s="3">
        <f>METRICS!$C$14+P471</f>
        <v/>
      </c>
      <c r="S471" s="3">
        <f>MAX($R$3:R471)</f>
        <v/>
      </c>
      <c r="T471" s="3">
        <f>R471-S471</f>
        <v/>
      </c>
      <c r="U471" s="3">
        <f>(R471-S471)/S471*100</f>
        <v/>
      </c>
      <c r="V471" s="3">
        <f>IF(K471&lt;0, (K471/100)^2, 0)</f>
        <v/>
      </c>
    </row>
    <row r="472">
      <c r="A472" s="3">
        <f>TEXT(470, """T""0000")</f>
        <v/>
      </c>
      <c r="B472" s="3">
        <f>RAW_INPUT!A472</f>
        <v/>
      </c>
      <c r="C472" s="3">
        <f>RAW_INPUT!B472</f>
        <v/>
      </c>
      <c r="D472" s="3">
        <f>RAW_INPUT!D472</f>
        <v/>
      </c>
      <c r="E472" s="3">
        <f>D472-C472</f>
        <v/>
      </c>
      <c r="F472" s="3">
        <f>RAW_INPUT!C472</f>
        <v/>
      </c>
      <c r="G472" s="3">
        <f>RAW_INPUT!E472</f>
        <v/>
      </c>
      <c r="H472" s="3">
        <f>I472/F472</f>
        <v/>
      </c>
      <c r="I472" s="3">
        <f>METRICS!$C$14 * 0.02</f>
        <v/>
      </c>
      <c r="J472" s="3">
        <f>(G472-F472)*H472</f>
        <v/>
      </c>
      <c r="K472" s="3">
        <f>(G472-F472)/F472*100</f>
        <v/>
      </c>
      <c r="L472" s="3">
        <f>RAW_INPUT!F472</f>
        <v/>
      </c>
      <c r="M472" s="3">
        <f>K472-L472</f>
        <v/>
      </c>
      <c r="N472" s="3">
        <f>IF(J472&gt;0, 1, 0)</f>
        <v/>
      </c>
      <c r="O472" s="3">
        <f>IF(J472&lt;0, 1, 0)</f>
        <v/>
      </c>
      <c r="P472" s="3">
        <f>SUM($J$3:J472)</f>
        <v/>
      </c>
      <c r="Q472" s="3">
        <f>P472/METRICS!$C$14*100</f>
        <v/>
      </c>
      <c r="R472" s="3">
        <f>METRICS!$C$14+P472</f>
        <v/>
      </c>
      <c r="S472" s="3">
        <f>MAX($R$3:R472)</f>
        <v/>
      </c>
      <c r="T472" s="3">
        <f>R472-S472</f>
        <v/>
      </c>
      <c r="U472" s="3">
        <f>(R472-S472)/S472*100</f>
        <v/>
      </c>
      <c r="V472" s="3">
        <f>IF(K472&lt;0, (K472/100)^2, 0)</f>
        <v/>
      </c>
    </row>
    <row r="473">
      <c r="A473" s="3">
        <f>TEXT(471, """T""0000")</f>
        <v/>
      </c>
      <c r="B473" s="3">
        <f>RAW_INPUT!A473</f>
        <v/>
      </c>
      <c r="C473" s="3">
        <f>RAW_INPUT!B473</f>
        <v/>
      </c>
      <c r="D473" s="3">
        <f>RAW_INPUT!D473</f>
        <v/>
      </c>
      <c r="E473" s="3">
        <f>D473-C473</f>
        <v/>
      </c>
      <c r="F473" s="3">
        <f>RAW_INPUT!C473</f>
        <v/>
      </c>
      <c r="G473" s="3">
        <f>RAW_INPUT!E473</f>
        <v/>
      </c>
      <c r="H473" s="3">
        <f>I473/F473</f>
        <v/>
      </c>
      <c r="I473" s="3">
        <f>METRICS!$C$14 * 0.02</f>
        <v/>
      </c>
      <c r="J473" s="3">
        <f>(G473-F473)*H473</f>
        <v/>
      </c>
      <c r="K473" s="3">
        <f>(G473-F473)/F473*100</f>
        <v/>
      </c>
      <c r="L473" s="3">
        <f>RAW_INPUT!F473</f>
        <v/>
      </c>
      <c r="M473" s="3">
        <f>K473-L473</f>
        <v/>
      </c>
      <c r="N473" s="3">
        <f>IF(J473&gt;0, 1, 0)</f>
        <v/>
      </c>
      <c r="O473" s="3">
        <f>IF(J473&lt;0, 1, 0)</f>
        <v/>
      </c>
      <c r="P473" s="3">
        <f>SUM($J$3:J473)</f>
        <v/>
      </c>
      <c r="Q473" s="3">
        <f>P473/METRICS!$C$14*100</f>
        <v/>
      </c>
      <c r="R473" s="3">
        <f>METRICS!$C$14+P473</f>
        <v/>
      </c>
      <c r="S473" s="3">
        <f>MAX($R$3:R473)</f>
        <v/>
      </c>
      <c r="T473" s="3">
        <f>R473-S473</f>
        <v/>
      </c>
      <c r="U473" s="3">
        <f>(R473-S473)/S473*100</f>
        <v/>
      </c>
      <c r="V473" s="3">
        <f>IF(K473&lt;0, (K473/100)^2, 0)</f>
        <v/>
      </c>
    </row>
    <row r="474">
      <c r="A474" s="3">
        <f>TEXT(472, """T""0000")</f>
        <v/>
      </c>
      <c r="B474" s="3">
        <f>RAW_INPUT!A474</f>
        <v/>
      </c>
      <c r="C474" s="3">
        <f>RAW_INPUT!B474</f>
        <v/>
      </c>
      <c r="D474" s="3">
        <f>RAW_INPUT!D474</f>
        <v/>
      </c>
      <c r="E474" s="3">
        <f>D474-C474</f>
        <v/>
      </c>
      <c r="F474" s="3">
        <f>RAW_INPUT!C474</f>
        <v/>
      </c>
      <c r="G474" s="3">
        <f>RAW_INPUT!E474</f>
        <v/>
      </c>
      <c r="H474" s="3">
        <f>I474/F474</f>
        <v/>
      </c>
      <c r="I474" s="3">
        <f>METRICS!$C$14 * 0.02</f>
        <v/>
      </c>
      <c r="J474" s="3">
        <f>(G474-F474)*H474</f>
        <v/>
      </c>
      <c r="K474" s="3">
        <f>(G474-F474)/F474*100</f>
        <v/>
      </c>
      <c r="L474" s="3">
        <f>RAW_INPUT!F474</f>
        <v/>
      </c>
      <c r="M474" s="3">
        <f>K474-L474</f>
        <v/>
      </c>
      <c r="N474" s="3">
        <f>IF(J474&gt;0, 1, 0)</f>
        <v/>
      </c>
      <c r="O474" s="3">
        <f>IF(J474&lt;0, 1, 0)</f>
        <v/>
      </c>
      <c r="P474" s="3">
        <f>SUM($J$3:J474)</f>
        <v/>
      </c>
      <c r="Q474" s="3">
        <f>P474/METRICS!$C$14*100</f>
        <v/>
      </c>
      <c r="R474" s="3">
        <f>METRICS!$C$14+P474</f>
        <v/>
      </c>
      <c r="S474" s="3">
        <f>MAX($R$3:R474)</f>
        <v/>
      </c>
      <c r="T474" s="3">
        <f>R474-S474</f>
        <v/>
      </c>
      <c r="U474" s="3">
        <f>(R474-S474)/S474*100</f>
        <v/>
      </c>
      <c r="V474" s="3">
        <f>IF(K474&lt;0, (K474/100)^2, 0)</f>
        <v/>
      </c>
    </row>
    <row r="475">
      <c r="A475" s="3">
        <f>TEXT(473, """T""0000")</f>
        <v/>
      </c>
      <c r="B475" s="3">
        <f>RAW_INPUT!A475</f>
        <v/>
      </c>
      <c r="C475" s="3">
        <f>RAW_INPUT!B475</f>
        <v/>
      </c>
      <c r="D475" s="3">
        <f>RAW_INPUT!D475</f>
        <v/>
      </c>
      <c r="E475" s="3">
        <f>D475-C475</f>
        <v/>
      </c>
      <c r="F475" s="3">
        <f>RAW_INPUT!C475</f>
        <v/>
      </c>
      <c r="G475" s="3">
        <f>RAW_INPUT!E475</f>
        <v/>
      </c>
      <c r="H475" s="3">
        <f>I475/F475</f>
        <v/>
      </c>
      <c r="I475" s="3">
        <f>METRICS!$C$14 * 0.02</f>
        <v/>
      </c>
      <c r="J475" s="3">
        <f>(G475-F475)*H475</f>
        <v/>
      </c>
      <c r="K475" s="3">
        <f>(G475-F475)/F475*100</f>
        <v/>
      </c>
      <c r="L475" s="3">
        <f>RAW_INPUT!F475</f>
        <v/>
      </c>
      <c r="M475" s="3">
        <f>K475-L475</f>
        <v/>
      </c>
      <c r="N475" s="3">
        <f>IF(J475&gt;0, 1, 0)</f>
        <v/>
      </c>
      <c r="O475" s="3">
        <f>IF(J475&lt;0, 1, 0)</f>
        <v/>
      </c>
      <c r="P475" s="3">
        <f>SUM($J$3:J475)</f>
        <v/>
      </c>
      <c r="Q475" s="3">
        <f>P475/METRICS!$C$14*100</f>
        <v/>
      </c>
      <c r="R475" s="3">
        <f>METRICS!$C$14+P475</f>
        <v/>
      </c>
      <c r="S475" s="3">
        <f>MAX($R$3:R475)</f>
        <v/>
      </c>
      <c r="T475" s="3">
        <f>R475-S475</f>
        <v/>
      </c>
      <c r="U475" s="3">
        <f>(R475-S475)/S475*100</f>
        <v/>
      </c>
      <c r="V475" s="3">
        <f>IF(K475&lt;0, (K475/100)^2, 0)</f>
        <v/>
      </c>
    </row>
    <row r="476">
      <c r="A476" s="3">
        <f>TEXT(474, """T""0000")</f>
        <v/>
      </c>
      <c r="B476" s="3">
        <f>RAW_INPUT!A476</f>
        <v/>
      </c>
      <c r="C476" s="3">
        <f>RAW_INPUT!B476</f>
        <v/>
      </c>
      <c r="D476" s="3">
        <f>RAW_INPUT!D476</f>
        <v/>
      </c>
      <c r="E476" s="3">
        <f>D476-C476</f>
        <v/>
      </c>
      <c r="F476" s="3">
        <f>RAW_INPUT!C476</f>
        <v/>
      </c>
      <c r="G476" s="3">
        <f>RAW_INPUT!E476</f>
        <v/>
      </c>
      <c r="H476" s="3">
        <f>I476/F476</f>
        <v/>
      </c>
      <c r="I476" s="3">
        <f>METRICS!$C$14 * 0.02</f>
        <v/>
      </c>
      <c r="J476" s="3">
        <f>(G476-F476)*H476</f>
        <v/>
      </c>
      <c r="K476" s="3">
        <f>(G476-F476)/F476*100</f>
        <v/>
      </c>
      <c r="L476" s="3">
        <f>RAW_INPUT!F476</f>
        <v/>
      </c>
      <c r="M476" s="3">
        <f>K476-L476</f>
        <v/>
      </c>
      <c r="N476" s="3">
        <f>IF(J476&gt;0, 1, 0)</f>
        <v/>
      </c>
      <c r="O476" s="3">
        <f>IF(J476&lt;0, 1, 0)</f>
        <v/>
      </c>
      <c r="P476" s="3">
        <f>SUM($J$3:J476)</f>
        <v/>
      </c>
      <c r="Q476" s="3">
        <f>P476/METRICS!$C$14*100</f>
        <v/>
      </c>
      <c r="R476" s="3">
        <f>METRICS!$C$14+P476</f>
        <v/>
      </c>
      <c r="S476" s="3">
        <f>MAX($R$3:R476)</f>
        <v/>
      </c>
      <c r="T476" s="3">
        <f>R476-S476</f>
        <v/>
      </c>
      <c r="U476" s="3">
        <f>(R476-S476)/S476*100</f>
        <v/>
      </c>
      <c r="V476" s="3">
        <f>IF(K476&lt;0, (K476/100)^2, 0)</f>
        <v/>
      </c>
    </row>
    <row r="477">
      <c r="A477" s="3">
        <f>TEXT(475, """T""0000")</f>
        <v/>
      </c>
      <c r="B477" s="3">
        <f>RAW_INPUT!A477</f>
        <v/>
      </c>
      <c r="C477" s="3">
        <f>RAW_INPUT!B477</f>
        <v/>
      </c>
      <c r="D477" s="3">
        <f>RAW_INPUT!D477</f>
        <v/>
      </c>
      <c r="E477" s="3">
        <f>D477-C477</f>
        <v/>
      </c>
      <c r="F477" s="3">
        <f>RAW_INPUT!C477</f>
        <v/>
      </c>
      <c r="G477" s="3">
        <f>RAW_INPUT!E477</f>
        <v/>
      </c>
      <c r="H477" s="3">
        <f>I477/F477</f>
        <v/>
      </c>
      <c r="I477" s="3">
        <f>METRICS!$C$14 * 0.02</f>
        <v/>
      </c>
      <c r="J477" s="3">
        <f>(G477-F477)*H477</f>
        <v/>
      </c>
      <c r="K477" s="3">
        <f>(G477-F477)/F477*100</f>
        <v/>
      </c>
      <c r="L477" s="3">
        <f>RAW_INPUT!F477</f>
        <v/>
      </c>
      <c r="M477" s="3">
        <f>K477-L477</f>
        <v/>
      </c>
      <c r="N477" s="3">
        <f>IF(J477&gt;0, 1, 0)</f>
        <v/>
      </c>
      <c r="O477" s="3">
        <f>IF(J477&lt;0, 1, 0)</f>
        <v/>
      </c>
      <c r="P477" s="3">
        <f>SUM($J$3:J477)</f>
        <v/>
      </c>
      <c r="Q477" s="3">
        <f>P477/METRICS!$C$14*100</f>
        <v/>
      </c>
      <c r="R477" s="3">
        <f>METRICS!$C$14+P477</f>
        <v/>
      </c>
      <c r="S477" s="3">
        <f>MAX($R$3:R477)</f>
        <v/>
      </c>
      <c r="T477" s="3">
        <f>R477-S477</f>
        <v/>
      </c>
      <c r="U477" s="3">
        <f>(R477-S477)/S477*100</f>
        <v/>
      </c>
      <c r="V477" s="3">
        <f>IF(K477&lt;0, (K477/100)^2, 0)</f>
        <v/>
      </c>
    </row>
    <row r="478">
      <c r="A478" s="3">
        <f>TEXT(476, """T""0000")</f>
        <v/>
      </c>
      <c r="B478" s="3">
        <f>RAW_INPUT!A478</f>
        <v/>
      </c>
      <c r="C478" s="3">
        <f>RAW_INPUT!B478</f>
        <v/>
      </c>
      <c r="D478" s="3">
        <f>RAW_INPUT!D478</f>
        <v/>
      </c>
      <c r="E478" s="3">
        <f>D478-C478</f>
        <v/>
      </c>
      <c r="F478" s="3">
        <f>RAW_INPUT!C478</f>
        <v/>
      </c>
      <c r="G478" s="3">
        <f>RAW_INPUT!E478</f>
        <v/>
      </c>
      <c r="H478" s="3">
        <f>I478/F478</f>
        <v/>
      </c>
      <c r="I478" s="3">
        <f>METRICS!$C$14 * 0.02</f>
        <v/>
      </c>
      <c r="J478" s="3">
        <f>(G478-F478)*H478</f>
        <v/>
      </c>
      <c r="K478" s="3">
        <f>(G478-F478)/F478*100</f>
        <v/>
      </c>
      <c r="L478" s="3">
        <f>RAW_INPUT!F478</f>
        <v/>
      </c>
      <c r="M478" s="3">
        <f>K478-L478</f>
        <v/>
      </c>
      <c r="N478" s="3">
        <f>IF(J478&gt;0, 1, 0)</f>
        <v/>
      </c>
      <c r="O478" s="3">
        <f>IF(J478&lt;0, 1, 0)</f>
        <v/>
      </c>
      <c r="P478" s="3">
        <f>SUM($J$3:J478)</f>
        <v/>
      </c>
      <c r="Q478" s="3">
        <f>P478/METRICS!$C$14*100</f>
        <v/>
      </c>
      <c r="R478" s="3">
        <f>METRICS!$C$14+P478</f>
        <v/>
      </c>
      <c r="S478" s="3">
        <f>MAX($R$3:R478)</f>
        <v/>
      </c>
      <c r="T478" s="3">
        <f>R478-S478</f>
        <v/>
      </c>
      <c r="U478" s="3">
        <f>(R478-S478)/S478*100</f>
        <v/>
      </c>
      <c r="V478" s="3">
        <f>IF(K478&lt;0, (K478/100)^2, 0)</f>
        <v/>
      </c>
    </row>
    <row r="479">
      <c r="A479" s="3">
        <f>TEXT(477, """T""0000")</f>
        <v/>
      </c>
      <c r="B479" s="3">
        <f>RAW_INPUT!A479</f>
        <v/>
      </c>
      <c r="C479" s="3">
        <f>RAW_INPUT!B479</f>
        <v/>
      </c>
      <c r="D479" s="3">
        <f>RAW_INPUT!D479</f>
        <v/>
      </c>
      <c r="E479" s="3">
        <f>D479-C479</f>
        <v/>
      </c>
      <c r="F479" s="3">
        <f>RAW_INPUT!C479</f>
        <v/>
      </c>
      <c r="G479" s="3">
        <f>RAW_INPUT!E479</f>
        <v/>
      </c>
      <c r="H479" s="3">
        <f>I479/F479</f>
        <v/>
      </c>
      <c r="I479" s="3">
        <f>METRICS!$C$14 * 0.02</f>
        <v/>
      </c>
      <c r="J479" s="3">
        <f>(G479-F479)*H479</f>
        <v/>
      </c>
      <c r="K479" s="3">
        <f>(G479-F479)/F479*100</f>
        <v/>
      </c>
      <c r="L479" s="3">
        <f>RAW_INPUT!F479</f>
        <v/>
      </c>
      <c r="M479" s="3">
        <f>K479-L479</f>
        <v/>
      </c>
      <c r="N479" s="3">
        <f>IF(J479&gt;0, 1, 0)</f>
        <v/>
      </c>
      <c r="O479" s="3">
        <f>IF(J479&lt;0, 1, 0)</f>
        <v/>
      </c>
      <c r="P479" s="3">
        <f>SUM($J$3:J479)</f>
        <v/>
      </c>
      <c r="Q479" s="3">
        <f>P479/METRICS!$C$14*100</f>
        <v/>
      </c>
      <c r="R479" s="3">
        <f>METRICS!$C$14+P479</f>
        <v/>
      </c>
      <c r="S479" s="3">
        <f>MAX($R$3:R479)</f>
        <v/>
      </c>
      <c r="T479" s="3">
        <f>R479-S479</f>
        <v/>
      </c>
      <c r="U479" s="3">
        <f>(R479-S479)/S479*100</f>
        <v/>
      </c>
      <c r="V479" s="3">
        <f>IF(K479&lt;0, (K479/100)^2, 0)</f>
        <v/>
      </c>
    </row>
    <row r="480">
      <c r="A480" s="3">
        <f>TEXT(478, """T""0000")</f>
        <v/>
      </c>
      <c r="B480" s="3">
        <f>RAW_INPUT!A480</f>
        <v/>
      </c>
      <c r="C480" s="3">
        <f>RAW_INPUT!B480</f>
        <v/>
      </c>
      <c r="D480" s="3">
        <f>RAW_INPUT!D480</f>
        <v/>
      </c>
      <c r="E480" s="3">
        <f>D480-C480</f>
        <v/>
      </c>
      <c r="F480" s="3">
        <f>RAW_INPUT!C480</f>
        <v/>
      </c>
      <c r="G480" s="3">
        <f>RAW_INPUT!E480</f>
        <v/>
      </c>
      <c r="H480" s="3">
        <f>I480/F480</f>
        <v/>
      </c>
      <c r="I480" s="3">
        <f>METRICS!$C$14 * 0.02</f>
        <v/>
      </c>
      <c r="J480" s="3">
        <f>(G480-F480)*H480</f>
        <v/>
      </c>
      <c r="K480" s="3">
        <f>(G480-F480)/F480*100</f>
        <v/>
      </c>
      <c r="L480" s="3">
        <f>RAW_INPUT!F480</f>
        <v/>
      </c>
      <c r="M480" s="3">
        <f>K480-L480</f>
        <v/>
      </c>
      <c r="N480" s="3">
        <f>IF(J480&gt;0, 1, 0)</f>
        <v/>
      </c>
      <c r="O480" s="3">
        <f>IF(J480&lt;0, 1, 0)</f>
        <v/>
      </c>
      <c r="P480" s="3">
        <f>SUM($J$3:J480)</f>
        <v/>
      </c>
      <c r="Q480" s="3">
        <f>P480/METRICS!$C$14*100</f>
        <v/>
      </c>
      <c r="R480" s="3">
        <f>METRICS!$C$14+P480</f>
        <v/>
      </c>
      <c r="S480" s="3">
        <f>MAX($R$3:R480)</f>
        <v/>
      </c>
      <c r="T480" s="3">
        <f>R480-S480</f>
        <v/>
      </c>
      <c r="U480" s="3">
        <f>(R480-S480)/S480*100</f>
        <v/>
      </c>
      <c r="V480" s="3">
        <f>IF(K480&lt;0, (K480/100)^2, 0)</f>
        <v/>
      </c>
    </row>
    <row r="481">
      <c r="A481" s="3">
        <f>TEXT(479, """T""0000")</f>
        <v/>
      </c>
      <c r="B481" s="3">
        <f>RAW_INPUT!A481</f>
        <v/>
      </c>
      <c r="C481" s="3">
        <f>RAW_INPUT!B481</f>
        <v/>
      </c>
      <c r="D481" s="3">
        <f>RAW_INPUT!D481</f>
        <v/>
      </c>
      <c r="E481" s="3">
        <f>D481-C481</f>
        <v/>
      </c>
      <c r="F481" s="3">
        <f>RAW_INPUT!C481</f>
        <v/>
      </c>
      <c r="G481" s="3">
        <f>RAW_INPUT!E481</f>
        <v/>
      </c>
      <c r="H481" s="3">
        <f>I481/F481</f>
        <v/>
      </c>
      <c r="I481" s="3">
        <f>METRICS!$C$14 * 0.02</f>
        <v/>
      </c>
      <c r="J481" s="3">
        <f>(G481-F481)*H481</f>
        <v/>
      </c>
      <c r="K481" s="3">
        <f>(G481-F481)/F481*100</f>
        <v/>
      </c>
      <c r="L481" s="3">
        <f>RAW_INPUT!F481</f>
        <v/>
      </c>
      <c r="M481" s="3">
        <f>K481-L481</f>
        <v/>
      </c>
      <c r="N481" s="3">
        <f>IF(J481&gt;0, 1, 0)</f>
        <v/>
      </c>
      <c r="O481" s="3">
        <f>IF(J481&lt;0, 1, 0)</f>
        <v/>
      </c>
      <c r="P481" s="3">
        <f>SUM($J$3:J481)</f>
        <v/>
      </c>
      <c r="Q481" s="3">
        <f>P481/METRICS!$C$14*100</f>
        <v/>
      </c>
      <c r="R481" s="3">
        <f>METRICS!$C$14+P481</f>
        <v/>
      </c>
      <c r="S481" s="3">
        <f>MAX($R$3:R481)</f>
        <v/>
      </c>
      <c r="T481" s="3">
        <f>R481-S481</f>
        <v/>
      </c>
      <c r="U481" s="3">
        <f>(R481-S481)/S481*100</f>
        <v/>
      </c>
      <c r="V481" s="3">
        <f>IF(K481&lt;0, (K481/100)^2, 0)</f>
        <v/>
      </c>
    </row>
    <row r="482">
      <c r="A482" s="3">
        <f>TEXT(480, """T""0000")</f>
        <v/>
      </c>
      <c r="B482" s="3">
        <f>RAW_INPUT!A482</f>
        <v/>
      </c>
      <c r="C482" s="3">
        <f>RAW_INPUT!B482</f>
        <v/>
      </c>
      <c r="D482" s="3">
        <f>RAW_INPUT!D482</f>
        <v/>
      </c>
      <c r="E482" s="3">
        <f>D482-C482</f>
        <v/>
      </c>
      <c r="F482" s="3">
        <f>RAW_INPUT!C482</f>
        <v/>
      </c>
      <c r="G482" s="3">
        <f>RAW_INPUT!E482</f>
        <v/>
      </c>
      <c r="H482" s="3">
        <f>I482/F482</f>
        <v/>
      </c>
      <c r="I482" s="3">
        <f>METRICS!$C$14 * 0.02</f>
        <v/>
      </c>
      <c r="J482" s="3">
        <f>(G482-F482)*H482</f>
        <v/>
      </c>
      <c r="K482" s="3">
        <f>(G482-F482)/F482*100</f>
        <v/>
      </c>
      <c r="L482" s="3">
        <f>RAW_INPUT!F482</f>
        <v/>
      </c>
      <c r="M482" s="3">
        <f>K482-L482</f>
        <v/>
      </c>
      <c r="N482" s="3">
        <f>IF(J482&gt;0, 1, 0)</f>
        <v/>
      </c>
      <c r="O482" s="3">
        <f>IF(J482&lt;0, 1, 0)</f>
        <v/>
      </c>
      <c r="P482" s="3">
        <f>SUM($J$3:J482)</f>
        <v/>
      </c>
      <c r="Q482" s="3">
        <f>P482/METRICS!$C$14*100</f>
        <v/>
      </c>
      <c r="R482" s="3">
        <f>METRICS!$C$14+P482</f>
        <v/>
      </c>
      <c r="S482" s="3">
        <f>MAX($R$3:R482)</f>
        <v/>
      </c>
      <c r="T482" s="3">
        <f>R482-S482</f>
        <v/>
      </c>
      <c r="U482" s="3">
        <f>(R482-S482)/S482*100</f>
        <v/>
      </c>
      <c r="V482" s="3">
        <f>IF(K482&lt;0, (K482/100)^2, 0)</f>
        <v/>
      </c>
    </row>
    <row r="483">
      <c r="A483" s="3">
        <f>TEXT(481, """T""0000")</f>
        <v/>
      </c>
      <c r="B483" s="3">
        <f>RAW_INPUT!A483</f>
        <v/>
      </c>
      <c r="C483" s="3">
        <f>RAW_INPUT!B483</f>
        <v/>
      </c>
      <c r="D483" s="3">
        <f>RAW_INPUT!D483</f>
        <v/>
      </c>
      <c r="E483" s="3">
        <f>D483-C483</f>
        <v/>
      </c>
      <c r="F483" s="3">
        <f>RAW_INPUT!C483</f>
        <v/>
      </c>
      <c r="G483" s="3">
        <f>RAW_INPUT!E483</f>
        <v/>
      </c>
      <c r="H483" s="3">
        <f>I483/F483</f>
        <v/>
      </c>
      <c r="I483" s="3">
        <f>METRICS!$C$14 * 0.02</f>
        <v/>
      </c>
      <c r="J483" s="3">
        <f>(G483-F483)*H483</f>
        <v/>
      </c>
      <c r="K483" s="3">
        <f>(G483-F483)/F483*100</f>
        <v/>
      </c>
      <c r="L483" s="3">
        <f>RAW_INPUT!F483</f>
        <v/>
      </c>
      <c r="M483" s="3">
        <f>K483-L483</f>
        <v/>
      </c>
      <c r="N483" s="3">
        <f>IF(J483&gt;0, 1, 0)</f>
        <v/>
      </c>
      <c r="O483" s="3">
        <f>IF(J483&lt;0, 1, 0)</f>
        <v/>
      </c>
      <c r="P483" s="3">
        <f>SUM($J$3:J483)</f>
        <v/>
      </c>
      <c r="Q483" s="3">
        <f>P483/METRICS!$C$14*100</f>
        <v/>
      </c>
      <c r="R483" s="3">
        <f>METRICS!$C$14+P483</f>
        <v/>
      </c>
      <c r="S483" s="3">
        <f>MAX($R$3:R483)</f>
        <v/>
      </c>
      <c r="T483" s="3">
        <f>R483-S483</f>
        <v/>
      </c>
      <c r="U483" s="3">
        <f>(R483-S483)/S483*100</f>
        <v/>
      </c>
      <c r="V483" s="3">
        <f>IF(K483&lt;0, (K483/100)^2, 0)</f>
        <v/>
      </c>
    </row>
    <row r="484">
      <c r="A484" s="3">
        <f>TEXT(482, """T""0000")</f>
        <v/>
      </c>
      <c r="B484" s="3">
        <f>RAW_INPUT!A484</f>
        <v/>
      </c>
      <c r="C484" s="3">
        <f>RAW_INPUT!B484</f>
        <v/>
      </c>
      <c r="D484" s="3">
        <f>RAW_INPUT!D484</f>
        <v/>
      </c>
      <c r="E484" s="3">
        <f>D484-C484</f>
        <v/>
      </c>
      <c r="F484" s="3">
        <f>RAW_INPUT!C484</f>
        <v/>
      </c>
      <c r="G484" s="3">
        <f>RAW_INPUT!E484</f>
        <v/>
      </c>
      <c r="H484" s="3">
        <f>I484/F484</f>
        <v/>
      </c>
      <c r="I484" s="3">
        <f>METRICS!$C$14 * 0.02</f>
        <v/>
      </c>
      <c r="J484" s="3">
        <f>(G484-F484)*H484</f>
        <v/>
      </c>
      <c r="K484" s="3">
        <f>(G484-F484)/F484*100</f>
        <v/>
      </c>
      <c r="L484" s="3">
        <f>RAW_INPUT!F484</f>
        <v/>
      </c>
      <c r="M484" s="3">
        <f>K484-L484</f>
        <v/>
      </c>
      <c r="N484" s="3">
        <f>IF(J484&gt;0, 1, 0)</f>
        <v/>
      </c>
      <c r="O484" s="3">
        <f>IF(J484&lt;0, 1, 0)</f>
        <v/>
      </c>
      <c r="P484" s="3">
        <f>SUM($J$3:J484)</f>
        <v/>
      </c>
      <c r="Q484" s="3">
        <f>P484/METRICS!$C$14*100</f>
        <v/>
      </c>
      <c r="R484" s="3">
        <f>METRICS!$C$14+P484</f>
        <v/>
      </c>
      <c r="S484" s="3">
        <f>MAX($R$3:R484)</f>
        <v/>
      </c>
      <c r="T484" s="3">
        <f>R484-S484</f>
        <v/>
      </c>
      <c r="U484" s="3">
        <f>(R484-S484)/S484*100</f>
        <v/>
      </c>
      <c r="V484" s="3">
        <f>IF(K484&lt;0, (K484/100)^2, 0)</f>
        <v/>
      </c>
    </row>
    <row r="485">
      <c r="A485" s="3">
        <f>TEXT(483, """T""0000")</f>
        <v/>
      </c>
      <c r="B485" s="3">
        <f>RAW_INPUT!A485</f>
        <v/>
      </c>
      <c r="C485" s="3">
        <f>RAW_INPUT!B485</f>
        <v/>
      </c>
      <c r="D485" s="3">
        <f>RAW_INPUT!D485</f>
        <v/>
      </c>
      <c r="E485" s="3">
        <f>D485-C485</f>
        <v/>
      </c>
      <c r="F485" s="3">
        <f>RAW_INPUT!C485</f>
        <v/>
      </c>
      <c r="G485" s="3">
        <f>RAW_INPUT!E485</f>
        <v/>
      </c>
      <c r="H485" s="3">
        <f>I485/F485</f>
        <v/>
      </c>
      <c r="I485" s="3">
        <f>METRICS!$C$14 * 0.02</f>
        <v/>
      </c>
      <c r="J485" s="3">
        <f>(G485-F485)*H485</f>
        <v/>
      </c>
      <c r="K485" s="3">
        <f>(G485-F485)/F485*100</f>
        <v/>
      </c>
      <c r="L485" s="3">
        <f>RAW_INPUT!F485</f>
        <v/>
      </c>
      <c r="M485" s="3">
        <f>K485-L485</f>
        <v/>
      </c>
      <c r="N485" s="3">
        <f>IF(J485&gt;0, 1, 0)</f>
        <v/>
      </c>
      <c r="O485" s="3">
        <f>IF(J485&lt;0, 1, 0)</f>
        <v/>
      </c>
      <c r="P485" s="3">
        <f>SUM($J$3:J485)</f>
        <v/>
      </c>
      <c r="Q485" s="3">
        <f>P485/METRICS!$C$14*100</f>
        <v/>
      </c>
      <c r="R485" s="3">
        <f>METRICS!$C$14+P485</f>
        <v/>
      </c>
      <c r="S485" s="3">
        <f>MAX($R$3:R485)</f>
        <v/>
      </c>
      <c r="T485" s="3">
        <f>R485-S485</f>
        <v/>
      </c>
      <c r="U485" s="3">
        <f>(R485-S485)/S485*100</f>
        <v/>
      </c>
      <c r="V485" s="3">
        <f>IF(K485&lt;0, (K485/100)^2, 0)</f>
        <v/>
      </c>
    </row>
    <row r="486">
      <c r="A486" s="3">
        <f>TEXT(484, """T""0000")</f>
        <v/>
      </c>
      <c r="B486" s="3">
        <f>RAW_INPUT!A486</f>
        <v/>
      </c>
      <c r="C486" s="3">
        <f>RAW_INPUT!B486</f>
        <v/>
      </c>
      <c r="D486" s="3">
        <f>RAW_INPUT!D486</f>
        <v/>
      </c>
      <c r="E486" s="3">
        <f>D486-C486</f>
        <v/>
      </c>
      <c r="F486" s="3">
        <f>RAW_INPUT!C486</f>
        <v/>
      </c>
      <c r="G486" s="3">
        <f>RAW_INPUT!E486</f>
        <v/>
      </c>
      <c r="H486" s="3">
        <f>I486/F486</f>
        <v/>
      </c>
      <c r="I486" s="3">
        <f>METRICS!$C$14 * 0.02</f>
        <v/>
      </c>
      <c r="J486" s="3">
        <f>(G486-F486)*H486</f>
        <v/>
      </c>
      <c r="K486" s="3">
        <f>(G486-F486)/F486*100</f>
        <v/>
      </c>
      <c r="L486" s="3">
        <f>RAW_INPUT!F486</f>
        <v/>
      </c>
      <c r="M486" s="3">
        <f>K486-L486</f>
        <v/>
      </c>
      <c r="N486" s="3">
        <f>IF(J486&gt;0, 1, 0)</f>
        <v/>
      </c>
      <c r="O486" s="3">
        <f>IF(J486&lt;0, 1, 0)</f>
        <v/>
      </c>
      <c r="P486" s="3">
        <f>SUM($J$3:J486)</f>
        <v/>
      </c>
      <c r="Q486" s="3">
        <f>P486/METRICS!$C$14*100</f>
        <v/>
      </c>
      <c r="R486" s="3">
        <f>METRICS!$C$14+P486</f>
        <v/>
      </c>
      <c r="S486" s="3">
        <f>MAX($R$3:R486)</f>
        <v/>
      </c>
      <c r="T486" s="3">
        <f>R486-S486</f>
        <v/>
      </c>
      <c r="U486" s="3">
        <f>(R486-S486)/S486*100</f>
        <v/>
      </c>
      <c r="V486" s="3">
        <f>IF(K486&lt;0, (K486/100)^2, 0)</f>
        <v/>
      </c>
    </row>
    <row r="487">
      <c r="A487" s="3">
        <f>TEXT(485, """T""0000")</f>
        <v/>
      </c>
      <c r="B487" s="3">
        <f>RAW_INPUT!A487</f>
        <v/>
      </c>
      <c r="C487" s="3">
        <f>RAW_INPUT!B487</f>
        <v/>
      </c>
      <c r="D487" s="3">
        <f>RAW_INPUT!D487</f>
        <v/>
      </c>
      <c r="E487" s="3">
        <f>D487-C487</f>
        <v/>
      </c>
      <c r="F487" s="3">
        <f>RAW_INPUT!C487</f>
        <v/>
      </c>
      <c r="G487" s="3">
        <f>RAW_INPUT!E487</f>
        <v/>
      </c>
      <c r="H487" s="3">
        <f>I487/F487</f>
        <v/>
      </c>
      <c r="I487" s="3">
        <f>METRICS!$C$14 * 0.02</f>
        <v/>
      </c>
      <c r="J487" s="3">
        <f>(G487-F487)*H487</f>
        <v/>
      </c>
      <c r="K487" s="3">
        <f>(G487-F487)/F487*100</f>
        <v/>
      </c>
      <c r="L487" s="3">
        <f>RAW_INPUT!F487</f>
        <v/>
      </c>
      <c r="M487" s="3">
        <f>K487-L487</f>
        <v/>
      </c>
      <c r="N487" s="3">
        <f>IF(J487&gt;0, 1, 0)</f>
        <v/>
      </c>
      <c r="O487" s="3">
        <f>IF(J487&lt;0, 1, 0)</f>
        <v/>
      </c>
      <c r="P487" s="3">
        <f>SUM($J$3:J487)</f>
        <v/>
      </c>
      <c r="Q487" s="3">
        <f>P487/METRICS!$C$14*100</f>
        <v/>
      </c>
      <c r="R487" s="3">
        <f>METRICS!$C$14+P487</f>
        <v/>
      </c>
      <c r="S487" s="3">
        <f>MAX($R$3:R487)</f>
        <v/>
      </c>
      <c r="T487" s="3">
        <f>R487-S487</f>
        <v/>
      </c>
      <c r="U487" s="3">
        <f>(R487-S487)/S487*100</f>
        <v/>
      </c>
      <c r="V487" s="3">
        <f>IF(K487&lt;0, (K487/100)^2, 0)</f>
        <v/>
      </c>
    </row>
    <row r="488">
      <c r="A488" s="3">
        <f>TEXT(486, """T""0000")</f>
        <v/>
      </c>
      <c r="B488" s="3">
        <f>RAW_INPUT!A488</f>
        <v/>
      </c>
      <c r="C488" s="3">
        <f>RAW_INPUT!B488</f>
        <v/>
      </c>
      <c r="D488" s="3">
        <f>RAW_INPUT!D488</f>
        <v/>
      </c>
      <c r="E488" s="3">
        <f>D488-C488</f>
        <v/>
      </c>
      <c r="F488" s="3">
        <f>RAW_INPUT!C488</f>
        <v/>
      </c>
      <c r="G488" s="3">
        <f>RAW_INPUT!E488</f>
        <v/>
      </c>
      <c r="H488" s="3">
        <f>I488/F488</f>
        <v/>
      </c>
      <c r="I488" s="3">
        <f>METRICS!$C$14 * 0.02</f>
        <v/>
      </c>
      <c r="J488" s="3">
        <f>(G488-F488)*H488</f>
        <v/>
      </c>
      <c r="K488" s="3">
        <f>(G488-F488)/F488*100</f>
        <v/>
      </c>
      <c r="L488" s="3">
        <f>RAW_INPUT!F488</f>
        <v/>
      </c>
      <c r="M488" s="3">
        <f>K488-L488</f>
        <v/>
      </c>
      <c r="N488" s="3">
        <f>IF(J488&gt;0, 1, 0)</f>
        <v/>
      </c>
      <c r="O488" s="3">
        <f>IF(J488&lt;0, 1, 0)</f>
        <v/>
      </c>
      <c r="P488" s="3">
        <f>SUM($J$3:J488)</f>
        <v/>
      </c>
      <c r="Q488" s="3">
        <f>P488/METRICS!$C$14*100</f>
        <v/>
      </c>
      <c r="R488" s="3">
        <f>METRICS!$C$14+P488</f>
        <v/>
      </c>
      <c r="S488" s="3">
        <f>MAX($R$3:R488)</f>
        <v/>
      </c>
      <c r="T488" s="3">
        <f>R488-S488</f>
        <v/>
      </c>
      <c r="U488" s="3">
        <f>(R488-S488)/S488*100</f>
        <v/>
      </c>
      <c r="V488" s="3">
        <f>IF(K488&lt;0, (K488/100)^2, 0)</f>
        <v/>
      </c>
    </row>
    <row r="489">
      <c r="A489" s="3">
        <f>TEXT(487, """T""0000")</f>
        <v/>
      </c>
      <c r="B489" s="3">
        <f>RAW_INPUT!A489</f>
        <v/>
      </c>
      <c r="C489" s="3">
        <f>RAW_INPUT!B489</f>
        <v/>
      </c>
      <c r="D489" s="3">
        <f>RAW_INPUT!D489</f>
        <v/>
      </c>
      <c r="E489" s="3">
        <f>D489-C489</f>
        <v/>
      </c>
      <c r="F489" s="3">
        <f>RAW_INPUT!C489</f>
        <v/>
      </c>
      <c r="G489" s="3">
        <f>RAW_INPUT!E489</f>
        <v/>
      </c>
      <c r="H489" s="3">
        <f>I489/F489</f>
        <v/>
      </c>
      <c r="I489" s="3">
        <f>METRICS!$C$14 * 0.02</f>
        <v/>
      </c>
      <c r="J489" s="3">
        <f>(G489-F489)*H489</f>
        <v/>
      </c>
      <c r="K489" s="3">
        <f>(G489-F489)/F489*100</f>
        <v/>
      </c>
      <c r="L489" s="3">
        <f>RAW_INPUT!F489</f>
        <v/>
      </c>
      <c r="M489" s="3">
        <f>K489-L489</f>
        <v/>
      </c>
      <c r="N489" s="3">
        <f>IF(J489&gt;0, 1, 0)</f>
        <v/>
      </c>
      <c r="O489" s="3">
        <f>IF(J489&lt;0, 1, 0)</f>
        <v/>
      </c>
      <c r="P489" s="3">
        <f>SUM($J$3:J489)</f>
        <v/>
      </c>
      <c r="Q489" s="3">
        <f>P489/METRICS!$C$14*100</f>
        <v/>
      </c>
      <c r="R489" s="3">
        <f>METRICS!$C$14+P489</f>
        <v/>
      </c>
      <c r="S489" s="3">
        <f>MAX($R$3:R489)</f>
        <v/>
      </c>
      <c r="T489" s="3">
        <f>R489-S489</f>
        <v/>
      </c>
      <c r="U489" s="3">
        <f>(R489-S489)/S489*100</f>
        <v/>
      </c>
      <c r="V489" s="3">
        <f>IF(K489&lt;0, (K489/100)^2, 0)</f>
        <v/>
      </c>
    </row>
    <row r="490">
      <c r="A490" s="3">
        <f>TEXT(488, """T""0000")</f>
        <v/>
      </c>
      <c r="B490" s="3">
        <f>RAW_INPUT!A490</f>
        <v/>
      </c>
      <c r="C490" s="3">
        <f>RAW_INPUT!B490</f>
        <v/>
      </c>
      <c r="D490" s="3">
        <f>RAW_INPUT!D490</f>
        <v/>
      </c>
      <c r="E490" s="3">
        <f>D490-C490</f>
        <v/>
      </c>
      <c r="F490" s="3">
        <f>RAW_INPUT!C490</f>
        <v/>
      </c>
      <c r="G490" s="3">
        <f>RAW_INPUT!E490</f>
        <v/>
      </c>
      <c r="H490" s="3">
        <f>I490/F490</f>
        <v/>
      </c>
      <c r="I490" s="3">
        <f>METRICS!$C$14 * 0.02</f>
        <v/>
      </c>
      <c r="J490" s="3">
        <f>(G490-F490)*H490</f>
        <v/>
      </c>
      <c r="K490" s="3">
        <f>(G490-F490)/F490*100</f>
        <v/>
      </c>
      <c r="L490" s="3">
        <f>RAW_INPUT!F490</f>
        <v/>
      </c>
      <c r="M490" s="3">
        <f>K490-L490</f>
        <v/>
      </c>
      <c r="N490" s="3">
        <f>IF(J490&gt;0, 1, 0)</f>
        <v/>
      </c>
      <c r="O490" s="3">
        <f>IF(J490&lt;0, 1, 0)</f>
        <v/>
      </c>
      <c r="P490" s="3">
        <f>SUM($J$3:J490)</f>
        <v/>
      </c>
      <c r="Q490" s="3">
        <f>P490/METRICS!$C$14*100</f>
        <v/>
      </c>
      <c r="R490" s="3">
        <f>METRICS!$C$14+P490</f>
        <v/>
      </c>
      <c r="S490" s="3">
        <f>MAX($R$3:R490)</f>
        <v/>
      </c>
      <c r="T490" s="3">
        <f>R490-S490</f>
        <v/>
      </c>
      <c r="U490" s="3">
        <f>(R490-S490)/S490*100</f>
        <v/>
      </c>
      <c r="V490" s="3">
        <f>IF(K490&lt;0, (K490/100)^2, 0)</f>
        <v/>
      </c>
    </row>
    <row r="491">
      <c r="A491" s="3">
        <f>TEXT(489, """T""0000")</f>
        <v/>
      </c>
      <c r="B491" s="3">
        <f>RAW_INPUT!A491</f>
        <v/>
      </c>
      <c r="C491" s="3">
        <f>RAW_INPUT!B491</f>
        <v/>
      </c>
      <c r="D491" s="3">
        <f>RAW_INPUT!D491</f>
        <v/>
      </c>
      <c r="E491" s="3">
        <f>D491-C491</f>
        <v/>
      </c>
      <c r="F491" s="3">
        <f>RAW_INPUT!C491</f>
        <v/>
      </c>
      <c r="G491" s="3">
        <f>RAW_INPUT!E491</f>
        <v/>
      </c>
      <c r="H491" s="3">
        <f>I491/F491</f>
        <v/>
      </c>
      <c r="I491" s="3">
        <f>METRICS!$C$14 * 0.02</f>
        <v/>
      </c>
      <c r="J491" s="3">
        <f>(G491-F491)*H491</f>
        <v/>
      </c>
      <c r="K491" s="3">
        <f>(G491-F491)/F491*100</f>
        <v/>
      </c>
      <c r="L491" s="3">
        <f>RAW_INPUT!F491</f>
        <v/>
      </c>
      <c r="M491" s="3">
        <f>K491-L491</f>
        <v/>
      </c>
      <c r="N491" s="3">
        <f>IF(J491&gt;0, 1, 0)</f>
        <v/>
      </c>
      <c r="O491" s="3">
        <f>IF(J491&lt;0, 1, 0)</f>
        <v/>
      </c>
      <c r="P491" s="3">
        <f>SUM($J$3:J491)</f>
        <v/>
      </c>
      <c r="Q491" s="3">
        <f>P491/METRICS!$C$14*100</f>
        <v/>
      </c>
      <c r="R491" s="3">
        <f>METRICS!$C$14+P491</f>
        <v/>
      </c>
      <c r="S491" s="3">
        <f>MAX($R$3:R491)</f>
        <v/>
      </c>
      <c r="T491" s="3">
        <f>R491-S491</f>
        <v/>
      </c>
      <c r="U491" s="3">
        <f>(R491-S491)/S491*100</f>
        <v/>
      </c>
      <c r="V491" s="3">
        <f>IF(K491&lt;0, (K491/100)^2, 0)</f>
        <v/>
      </c>
    </row>
    <row r="492">
      <c r="A492" s="3">
        <f>TEXT(490, """T""0000")</f>
        <v/>
      </c>
      <c r="B492" s="3">
        <f>RAW_INPUT!A492</f>
        <v/>
      </c>
      <c r="C492" s="3">
        <f>RAW_INPUT!B492</f>
        <v/>
      </c>
      <c r="D492" s="3">
        <f>RAW_INPUT!D492</f>
        <v/>
      </c>
      <c r="E492" s="3">
        <f>D492-C492</f>
        <v/>
      </c>
      <c r="F492" s="3">
        <f>RAW_INPUT!C492</f>
        <v/>
      </c>
      <c r="G492" s="3">
        <f>RAW_INPUT!E492</f>
        <v/>
      </c>
      <c r="H492" s="3">
        <f>I492/F492</f>
        <v/>
      </c>
      <c r="I492" s="3">
        <f>METRICS!$C$14 * 0.02</f>
        <v/>
      </c>
      <c r="J492" s="3">
        <f>(G492-F492)*H492</f>
        <v/>
      </c>
      <c r="K492" s="3">
        <f>(G492-F492)/F492*100</f>
        <v/>
      </c>
      <c r="L492" s="3">
        <f>RAW_INPUT!F492</f>
        <v/>
      </c>
      <c r="M492" s="3">
        <f>K492-L492</f>
        <v/>
      </c>
      <c r="N492" s="3">
        <f>IF(J492&gt;0, 1, 0)</f>
        <v/>
      </c>
      <c r="O492" s="3">
        <f>IF(J492&lt;0, 1, 0)</f>
        <v/>
      </c>
      <c r="P492" s="3">
        <f>SUM($J$3:J492)</f>
        <v/>
      </c>
      <c r="Q492" s="3">
        <f>P492/METRICS!$C$14*100</f>
        <v/>
      </c>
      <c r="R492" s="3">
        <f>METRICS!$C$14+P492</f>
        <v/>
      </c>
      <c r="S492" s="3">
        <f>MAX($R$3:R492)</f>
        <v/>
      </c>
      <c r="T492" s="3">
        <f>R492-S492</f>
        <v/>
      </c>
      <c r="U492" s="3">
        <f>(R492-S492)/S492*100</f>
        <v/>
      </c>
      <c r="V492" s="3">
        <f>IF(K492&lt;0, (K492/100)^2, 0)</f>
        <v/>
      </c>
    </row>
    <row r="493">
      <c r="A493" s="3">
        <f>TEXT(491, """T""0000")</f>
        <v/>
      </c>
      <c r="B493" s="3">
        <f>RAW_INPUT!A493</f>
        <v/>
      </c>
      <c r="C493" s="3">
        <f>RAW_INPUT!B493</f>
        <v/>
      </c>
      <c r="D493" s="3">
        <f>RAW_INPUT!D493</f>
        <v/>
      </c>
      <c r="E493" s="3">
        <f>D493-C493</f>
        <v/>
      </c>
      <c r="F493" s="3">
        <f>RAW_INPUT!C493</f>
        <v/>
      </c>
      <c r="G493" s="3">
        <f>RAW_INPUT!E493</f>
        <v/>
      </c>
      <c r="H493" s="3">
        <f>I493/F493</f>
        <v/>
      </c>
      <c r="I493" s="3">
        <f>METRICS!$C$14 * 0.02</f>
        <v/>
      </c>
      <c r="J493" s="3">
        <f>(G493-F493)*H493</f>
        <v/>
      </c>
      <c r="K493" s="3">
        <f>(G493-F493)/F493*100</f>
        <v/>
      </c>
      <c r="L493" s="3">
        <f>RAW_INPUT!F493</f>
        <v/>
      </c>
      <c r="M493" s="3">
        <f>K493-L493</f>
        <v/>
      </c>
      <c r="N493" s="3">
        <f>IF(J493&gt;0, 1, 0)</f>
        <v/>
      </c>
      <c r="O493" s="3">
        <f>IF(J493&lt;0, 1, 0)</f>
        <v/>
      </c>
      <c r="P493" s="3">
        <f>SUM($J$3:J493)</f>
        <v/>
      </c>
      <c r="Q493" s="3">
        <f>P493/METRICS!$C$14*100</f>
        <v/>
      </c>
      <c r="R493" s="3">
        <f>METRICS!$C$14+P493</f>
        <v/>
      </c>
      <c r="S493" s="3">
        <f>MAX($R$3:R493)</f>
        <v/>
      </c>
      <c r="T493" s="3">
        <f>R493-S493</f>
        <v/>
      </c>
      <c r="U493" s="3">
        <f>(R493-S493)/S493*100</f>
        <v/>
      </c>
      <c r="V493" s="3">
        <f>IF(K493&lt;0, (K493/100)^2, 0)</f>
        <v/>
      </c>
    </row>
    <row r="494">
      <c r="A494" s="3">
        <f>TEXT(492, """T""0000")</f>
        <v/>
      </c>
      <c r="B494" s="3">
        <f>RAW_INPUT!A494</f>
        <v/>
      </c>
      <c r="C494" s="3">
        <f>RAW_INPUT!B494</f>
        <v/>
      </c>
      <c r="D494" s="3">
        <f>RAW_INPUT!D494</f>
        <v/>
      </c>
      <c r="E494" s="3">
        <f>D494-C494</f>
        <v/>
      </c>
      <c r="F494" s="3">
        <f>RAW_INPUT!C494</f>
        <v/>
      </c>
      <c r="G494" s="3">
        <f>RAW_INPUT!E494</f>
        <v/>
      </c>
      <c r="H494" s="3">
        <f>I494/F494</f>
        <v/>
      </c>
      <c r="I494" s="3">
        <f>METRICS!$C$14 * 0.02</f>
        <v/>
      </c>
      <c r="J494" s="3">
        <f>(G494-F494)*H494</f>
        <v/>
      </c>
      <c r="K494" s="3">
        <f>(G494-F494)/F494*100</f>
        <v/>
      </c>
      <c r="L494" s="3">
        <f>RAW_INPUT!F494</f>
        <v/>
      </c>
      <c r="M494" s="3">
        <f>K494-L494</f>
        <v/>
      </c>
      <c r="N494" s="3">
        <f>IF(J494&gt;0, 1, 0)</f>
        <v/>
      </c>
      <c r="O494" s="3">
        <f>IF(J494&lt;0, 1, 0)</f>
        <v/>
      </c>
      <c r="P494" s="3">
        <f>SUM($J$3:J494)</f>
        <v/>
      </c>
      <c r="Q494" s="3">
        <f>P494/METRICS!$C$14*100</f>
        <v/>
      </c>
      <c r="R494" s="3">
        <f>METRICS!$C$14+P494</f>
        <v/>
      </c>
      <c r="S494" s="3">
        <f>MAX($R$3:R494)</f>
        <v/>
      </c>
      <c r="T494" s="3">
        <f>R494-S494</f>
        <v/>
      </c>
      <c r="U494" s="3">
        <f>(R494-S494)/S494*100</f>
        <v/>
      </c>
      <c r="V494" s="3">
        <f>IF(K494&lt;0, (K494/100)^2, 0)</f>
        <v/>
      </c>
    </row>
    <row r="495">
      <c r="A495" s="3">
        <f>TEXT(493, """T""0000")</f>
        <v/>
      </c>
      <c r="B495" s="3">
        <f>RAW_INPUT!A495</f>
        <v/>
      </c>
      <c r="C495" s="3">
        <f>RAW_INPUT!B495</f>
        <v/>
      </c>
      <c r="D495" s="3">
        <f>RAW_INPUT!D495</f>
        <v/>
      </c>
      <c r="E495" s="3">
        <f>D495-C495</f>
        <v/>
      </c>
      <c r="F495" s="3">
        <f>RAW_INPUT!C495</f>
        <v/>
      </c>
      <c r="G495" s="3">
        <f>RAW_INPUT!E495</f>
        <v/>
      </c>
      <c r="H495" s="3">
        <f>I495/F495</f>
        <v/>
      </c>
      <c r="I495" s="3">
        <f>METRICS!$C$14 * 0.02</f>
        <v/>
      </c>
      <c r="J495" s="3">
        <f>(G495-F495)*H495</f>
        <v/>
      </c>
      <c r="K495" s="3">
        <f>(G495-F495)/F495*100</f>
        <v/>
      </c>
      <c r="L495" s="3">
        <f>RAW_INPUT!F495</f>
        <v/>
      </c>
      <c r="M495" s="3">
        <f>K495-L495</f>
        <v/>
      </c>
      <c r="N495" s="3">
        <f>IF(J495&gt;0, 1, 0)</f>
        <v/>
      </c>
      <c r="O495" s="3">
        <f>IF(J495&lt;0, 1, 0)</f>
        <v/>
      </c>
      <c r="P495" s="3">
        <f>SUM($J$3:J495)</f>
        <v/>
      </c>
      <c r="Q495" s="3">
        <f>P495/METRICS!$C$14*100</f>
        <v/>
      </c>
      <c r="R495" s="3">
        <f>METRICS!$C$14+P495</f>
        <v/>
      </c>
      <c r="S495" s="3">
        <f>MAX($R$3:R495)</f>
        <v/>
      </c>
      <c r="T495" s="3">
        <f>R495-S495</f>
        <v/>
      </c>
      <c r="U495" s="3">
        <f>(R495-S495)/S495*100</f>
        <v/>
      </c>
      <c r="V495" s="3">
        <f>IF(K495&lt;0, (K495/100)^2, 0)</f>
        <v/>
      </c>
    </row>
    <row r="496">
      <c r="A496" s="3">
        <f>TEXT(494, """T""0000")</f>
        <v/>
      </c>
      <c r="B496" s="3">
        <f>RAW_INPUT!A496</f>
        <v/>
      </c>
      <c r="C496" s="3">
        <f>RAW_INPUT!B496</f>
        <v/>
      </c>
      <c r="D496" s="3">
        <f>RAW_INPUT!D496</f>
        <v/>
      </c>
      <c r="E496" s="3">
        <f>D496-C496</f>
        <v/>
      </c>
      <c r="F496" s="3">
        <f>RAW_INPUT!C496</f>
        <v/>
      </c>
      <c r="G496" s="3">
        <f>RAW_INPUT!E496</f>
        <v/>
      </c>
      <c r="H496" s="3">
        <f>I496/F496</f>
        <v/>
      </c>
      <c r="I496" s="3">
        <f>METRICS!$C$14 * 0.02</f>
        <v/>
      </c>
      <c r="J496" s="3">
        <f>(G496-F496)*H496</f>
        <v/>
      </c>
      <c r="K496" s="3">
        <f>(G496-F496)/F496*100</f>
        <v/>
      </c>
      <c r="L496" s="3">
        <f>RAW_INPUT!F496</f>
        <v/>
      </c>
      <c r="M496" s="3">
        <f>K496-L496</f>
        <v/>
      </c>
      <c r="N496" s="3">
        <f>IF(J496&gt;0, 1, 0)</f>
        <v/>
      </c>
      <c r="O496" s="3">
        <f>IF(J496&lt;0, 1, 0)</f>
        <v/>
      </c>
      <c r="P496" s="3">
        <f>SUM($J$3:J496)</f>
        <v/>
      </c>
      <c r="Q496" s="3">
        <f>P496/METRICS!$C$14*100</f>
        <v/>
      </c>
      <c r="R496" s="3">
        <f>METRICS!$C$14+P496</f>
        <v/>
      </c>
      <c r="S496" s="3">
        <f>MAX($R$3:R496)</f>
        <v/>
      </c>
      <c r="T496" s="3">
        <f>R496-S496</f>
        <v/>
      </c>
      <c r="U496" s="3">
        <f>(R496-S496)/S496*100</f>
        <v/>
      </c>
      <c r="V496" s="3">
        <f>IF(K496&lt;0, (K496/100)^2, 0)</f>
        <v/>
      </c>
    </row>
    <row r="497">
      <c r="A497" s="3">
        <f>TEXT(495, """T""0000")</f>
        <v/>
      </c>
      <c r="B497" s="3">
        <f>RAW_INPUT!A497</f>
        <v/>
      </c>
      <c r="C497" s="3">
        <f>RAW_INPUT!B497</f>
        <v/>
      </c>
      <c r="D497" s="3">
        <f>RAW_INPUT!D497</f>
        <v/>
      </c>
      <c r="E497" s="3">
        <f>D497-C497</f>
        <v/>
      </c>
      <c r="F497" s="3">
        <f>RAW_INPUT!C497</f>
        <v/>
      </c>
      <c r="G497" s="3">
        <f>RAW_INPUT!E497</f>
        <v/>
      </c>
      <c r="H497" s="3">
        <f>I497/F497</f>
        <v/>
      </c>
      <c r="I497" s="3">
        <f>METRICS!$C$14 * 0.02</f>
        <v/>
      </c>
      <c r="J497" s="3">
        <f>(G497-F497)*H497</f>
        <v/>
      </c>
      <c r="K497" s="3">
        <f>(G497-F497)/F497*100</f>
        <v/>
      </c>
      <c r="L497" s="3">
        <f>RAW_INPUT!F497</f>
        <v/>
      </c>
      <c r="M497" s="3">
        <f>K497-L497</f>
        <v/>
      </c>
      <c r="N497" s="3">
        <f>IF(J497&gt;0, 1, 0)</f>
        <v/>
      </c>
      <c r="O497" s="3">
        <f>IF(J497&lt;0, 1, 0)</f>
        <v/>
      </c>
      <c r="P497" s="3">
        <f>SUM($J$3:J497)</f>
        <v/>
      </c>
      <c r="Q497" s="3">
        <f>P497/METRICS!$C$14*100</f>
        <v/>
      </c>
      <c r="R497" s="3">
        <f>METRICS!$C$14+P497</f>
        <v/>
      </c>
      <c r="S497" s="3">
        <f>MAX($R$3:R497)</f>
        <v/>
      </c>
      <c r="T497" s="3">
        <f>R497-S497</f>
        <v/>
      </c>
      <c r="U497" s="3">
        <f>(R497-S497)/S497*100</f>
        <v/>
      </c>
      <c r="V497" s="3">
        <f>IF(K497&lt;0, (K497/100)^2, 0)</f>
        <v/>
      </c>
    </row>
    <row r="498">
      <c r="A498" s="3">
        <f>TEXT(496, """T""0000")</f>
        <v/>
      </c>
      <c r="B498" s="3">
        <f>RAW_INPUT!A498</f>
        <v/>
      </c>
      <c r="C498" s="3">
        <f>RAW_INPUT!B498</f>
        <v/>
      </c>
      <c r="D498" s="3">
        <f>RAW_INPUT!D498</f>
        <v/>
      </c>
      <c r="E498" s="3">
        <f>D498-C498</f>
        <v/>
      </c>
      <c r="F498" s="3">
        <f>RAW_INPUT!C498</f>
        <v/>
      </c>
      <c r="G498" s="3">
        <f>RAW_INPUT!E498</f>
        <v/>
      </c>
      <c r="H498" s="3">
        <f>I498/F498</f>
        <v/>
      </c>
      <c r="I498" s="3">
        <f>METRICS!$C$14 * 0.02</f>
        <v/>
      </c>
      <c r="J498" s="3">
        <f>(G498-F498)*H498</f>
        <v/>
      </c>
      <c r="K498" s="3">
        <f>(G498-F498)/F498*100</f>
        <v/>
      </c>
      <c r="L498" s="3">
        <f>RAW_INPUT!F498</f>
        <v/>
      </c>
      <c r="M498" s="3">
        <f>K498-L498</f>
        <v/>
      </c>
      <c r="N498" s="3">
        <f>IF(J498&gt;0, 1, 0)</f>
        <v/>
      </c>
      <c r="O498" s="3">
        <f>IF(J498&lt;0, 1, 0)</f>
        <v/>
      </c>
      <c r="P498" s="3">
        <f>SUM($J$3:J498)</f>
        <v/>
      </c>
      <c r="Q498" s="3">
        <f>P498/METRICS!$C$14*100</f>
        <v/>
      </c>
      <c r="R498" s="3">
        <f>METRICS!$C$14+P498</f>
        <v/>
      </c>
      <c r="S498" s="3">
        <f>MAX($R$3:R498)</f>
        <v/>
      </c>
      <c r="T498" s="3">
        <f>R498-S498</f>
        <v/>
      </c>
      <c r="U498" s="3">
        <f>(R498-S498)/S498*100</f>
        <v/>
      </c>
      <c r="V498" s="3">
        <f>IF(K498&lt;0, (K498/100)^2, 0)</f>
        <v/>
      </c>
    </row>
    <row r="499">
      <c r="A499" s="3">
        <f>TEXT(497, """T""0000")</f>
        <v/>
      </c>
      <c r="B499" s="3">
        <f>RAW_INPUT!A499</f>
        <v/>
      </c>
      <c r="C499" s="3">
        <f>RAW_INPUT!B499</f>
        <v/>
      </c>
      <c r="D499" s="3">
        <f>RAW_INPUT!D499</f>
        <v/>
      </c>
      <c r="E499" s="3">
        <f>D499-C499</f>
        <v/>
      </c>
      <c r="F499" s="3">
        <f>RAW_INPUT!C499</f>
        <v/>
      </c>
      <c r="G499" s="3">
        <f>RAW_INPUT!E499</f>
        <v/>
      </c>
      <c r="H499" s="3">
        <f>I499/F499</f>
        <v/>
      </c>
      <c r="I499" s="3">
        <f>METRICS!$C$14 * 0.02</f>
        <v/>
      </c>
      <c r="J499" s="3">
        <f>(G499-F499)*H499</f>
        <v/>
      </c>
      <c r="K499" s="3">
        <f>(G499-F499)/F499*100</f>
        <v/>
      </c>
      <c r="L499" s="3">
        <f>RAW_INPUT!F499</f>
        <v/>
      </c>
      <c r="M499" s="3">
        <f>K499-L499</f>
        <v/>
      </c>
      <c r="N499" s="3">
        <f>IF(J499&gt;0, 1, 0)</f>
        <v/>
      </c>
      <c r="O499" s="3">
        <f>IF(J499&lt;0, 1, 0)</f>
        <v/>
      </c>
      <c r="P499" s="3">
        <f>SUM($J$3:J499)</f>
        <v/>
      </c>
      <c r="Q499" s="3">
        <f>P499/METRICS!$C$14*100</f>
        <v/>
      </c>
      <c r="R499" s="3">
        <f>METRICS!$C$14+P499</f>
        <v/>
      </c>
      <c r="S499" s="3">
        <f>MAX($R$3:R499)</f>
        <v/>
      </c>
      <c r="T499" s="3">
        <f>R499-S499</f>
        <v/>
      </c>
      <c r="U499" s="3">
        <f>(R499-S499)/S499*100</f>
        <v/>
      </c>
      <c r="V499" s="3">
        <f>IF(K499&lt;0, (K499/100)^2, 0)</f>
        <v/>
      </c>
    </row>
    <row r="500">
      <c r="A500" s="3">
        <f>TEXT(498, """T""0000")</f>
        <v/>
      </c>
      <c r="B500" s="3">
        <f>RAW_INPUT!A500</f>
        <v/>
      </c>
      <c r="C500" s="3">
        <f>RAW_INPUT!B500</f>
        <v/>
      </c>
      <c r="D500" s="3">
        <f>RAW_INPUT!D500</f>
        <v/>
      </c>
      <c r="E500" s="3">
        <f>D500-C500</f>
        <v/>
      </c>
      <c r="F500" s="3">
        <f>RAW_INPUT!C500</f>
        <v/>
      </c>
      <c r="G500" s="3">
        <f>RAW_INPUT!E500</f>
        <v/>
      </c>
      <c r="H500" s="3">
        <f>I500/F500</f>
        <v/>
      </c>
      <c r="I500" s="3">
        <f>METRICS!$C$14 * 0.02</f>
        <v/>
      </c>
      <c r="J500" s="3">
        <f>(G500-F500)*H500</f>
        <v/>
      </c>
      <c r="K500" s="3">
        <f>(G500-F500)/F500*100</f>
        <v/>
      </c>
      <c r="L500" s="3">
        <f>RAW_INPUT!F500</f>
        <v/>
      </c>
      <c r="M500" s="3">
        <f>K500-L500</f>
        <v/>
      </c>
      <c r="N500" s="3">
        <f>IF(J500&gt;0, 1, 0)</f>
        <v/>
      </c>
      <c r="O500" s="3">
        <f>IF(J500&lt;0, 1, 0)</f>
        <v/>
      </c>
      <c r="P500" s="3">
        <f>SUM($J$3:J500)</f>
        <v/>
      </c>
      <c r="Q500" s="3">
        <f>P500/METRICS!$C$14*100</f>
        <v/>
      </c>
      <c r="R500" s="3">
        <f>METRICS!$C$14+P500</f>
        <v/>
      </c>
      <c r="S500" s="3">
        <f>MAX($R$3:R500)</f>
        <v/>
      </c>
      <c r="T500" s="3">
        <f>R500-S500</f>
        <v/>
      </c>
      <c r="U500" s="3">
        <f>(R500-S500)/S500*100</f>
        <v/>
      </c>
      <c r="V500" s="3">
        <f>IF(K500&lt;0, (K500/100)^2, 0)</f>
        <v/>
      </c>
    </row>
    <row r="501">
      <c r="A501" s="3">
        <f>TEXT(499, """T""0000")</f>
        <v/>
      </c>
      <c r="B501" s="3">
        <f>RAW_INPUT!A501</f>
        <v/>
      </c>
      <c r="C501" s="3">
        <f>RAW_INPUT!B501</f>
        <v/>
      </c>
      <c r="D501" s="3">
        <f>RAW_INPUT!D501</f>
        <v/>
      </c>
      <c r="E501" s="3">
        <f>D501-C501</f>
        <v/>
      </c>
      <c r="F501" s="3">
        <f>RAW_INPUT!C501</f>
        <v/>
      </c>
      <c r="G501" s="3">
        <f>RAW_INPUT!E501</f>
        <v/>
      </c>
      <c r="H501" s="3">
        <f>I501/F501</f>
        <v/>
      </c>
      <c r="I501" s="3">
        <f>METRICS!$C$14 * 0.02</f>
        <v/>
      </c>
      <c r="J501" s="3">
        <f>(G501-F501)*H501</f>
        <v/>
      </c>
      <c r="K501" s="3">
        <f>(G501-F501)/F501*100</f>
        <v/>
      </c>
      <c r="L501" s="3">
        <f>RAW_INPUT!F501</f>
        <v/>
      </c>
      <c r="M501" s="3">
        <f>K501-L501</f>
        <v/>
      </c>
      <c r="N501" s="3">
        <f>IF(J501&gt;0, 1, 0)</f>
        <v/>
      </c>
      <c r="O501" s="3">
        <f>IF(J501&lt;0, 1, 0)</f>
        <v/>
      </c>
      <c r="P501" s="3">
        <f>SUM($J$3:J501)</f>
        <v/>
      </c>
      <c r="Q501" s="3">
        <f>P501/METRICS!$C$14*100</f>
        <v/>
      </c>
      <c r="R501" s="3">
        <f>METRICS!$C$14+P501</f>
        <v/>
      </c>
      <c r="S501" s="3">
        <f>MAX($R$3:R501)</f>
        <v/>
      </c>
      <c r="T501" s="3">
        <f>R501-S501</f>
        <v/>
      </c>
      <c r="U501" s="3">
        <f>(R501-S501)/S501*100</f>
        <v/>
      </c>
      <c r="V501" s="3">
        <f>IF(K501&lt;0, (K501/100)^2, 0)</f>
        <v/>
      </c>
    </row>
    <row r="502">
      <c r="A502" s="3">
        <f>TEXT(500, """T""0000")</f>
        <v/>
      </c>
      <c r="B502" s="3">
        <f>RAW_INPUT!A502</f>
        <v/>
      </c>
      <c r="C502" s="3">
        <f>RAW_INPUT!B502</f>
        <v/>
      </c>
      <c r="D502" s="3">
        <f>RAW_INPUT!D502</f>
        <v/>
      </c>
      <c r="E502" s="3">
        <f>D502-C502</f>
        <v/>
      </c>
      <c r="F502" s="3">
        <f>RAW_INPUT!C502</f>
        <v/>
      </c>
      <c r="G502" s="3">
        <f>RAW_INPUT!E502</f>
        <v/>
      </c>
      <c r="H502" s="3">
        <f>I502/F502</f>
        <v/>
      </c>
      <c r="I502" s="3">
        <f>METRICS!$C$14 * 0.02</f>
        <v/>
      </c>
      <c r="J502" s="3">
        <f>(G502-F502)*H502</f>
        <v/>
      </c>
      <c r="K502" s="3">
        <f>(G502-F502)/F502*100</f>
        <v/>
      </c>
      <c r="L502" s="3">
        <f>RAW_INPUT!F502</f>
        <v/>
      </c>
      <c r="M502" s="3">
        <f>K502-L502</f>
        <v/>
      </c>
      <c r="N502" s="3">
        <f>IF(J502&gt;0, 1, 0)</f>
        <v/>
      </c>
      <c r="O502" s="3">
        <f>IF(J502&lt;0, 1, 0)</f>
        <v/>
      </c>
      <c r="P502" s="3">
        <f>SUM($J$3:J502)</f>
        <v/>
      </c>
      <c r="Q502" s="3">
        <f>P502/METRICS!$C$14*100</f>
        <v/>
      </c>
      <c r="R502" s="3">
        <f>METRICS!$C$14+P502</f>
        <v/>
      </c>
      <c r="S502" s="3">
        <f>MAX($R$3:R502)</f>
        <v/>
      </c>
      <c r="T502" s="3">
        <f>R502-S502</f>
        <v/>
      </c>
      <c r="U502" s="3">
        <f>(R502-S502)/S502*100</f>
        <v/>
      </c>
      <c r="V502" s="3">
        <f>IF(K502&lt;0, (K502/100)^2, 0)</f>
        <v/>
      </c>
    </row>
    <row r="503">
      <c r="A503" s="3">
        <f>TEXT(501, """T""0000")</f>
        <v/>
      </c>
      <c r="B503" s="3">
        <f>RAW_INPUT!A503</f>
        <v/>
      </c>
      <c r="C503" s="3">
        <f>RAW_INPUT!B503</f>
        <v/>
      </c>
      <c r="D503" s="3">
        <f>RAW_INPUT!D503</f>
        <v/>
      </c>
      <c r="E503" s="3">
        <f>D503-C503</f>
        <v/>
      </c>
      <c r="F503" s="3">
        <f>RAW_INPUT!C503</f>
        <v/>
      </c>
      <c r="G503" s="3">
        <f>RAW_INPUT!E503</f>
        <v/>
      </c>
      <c r="H503" s="3">
        <f>I503/F503</f>
        <v/>
      </c>
      <c r="I503" s="3">
        <f>METRICS!$C$14 * 0.02</f>
        <v/>
      </c>
      <c r="J503" s="3">
        <f>(G503-F503)*H503</f>
        <v/>
      </c>
      <c r="K503" s="3">
        <f>(G503-F503)/F503*100</f>
        <v/>
      </c>
      <c r="L503" s="3">
        <f>RAW_INPUT!F503</f>
        <v/>
      </c>
      <c r="M503" s="3">
        <f>K503-L503</f>
        <v/>
      </c>
      <c r="N503" s="3">
        <f>IF(J503&gt;0, 1, 0)</f>
        <v/>
      </c>
      <c r="O503" s="3">
        <f>IF(J503&lt;0, 1, 0)</f>
        <v/>
      </c>
      <c r="P503" s="3">
        <f>SUM($J$3:J503)</f>
        <v/>
      </c>
      <c r="Q503" s="3">
        <f>P503/METRICS!$C$14*100</f>
        <v/>
      </c>
      <c r="R503" s="3">
        <f>METRICS!$C$14+P503</f>
        <v/>
      </c>
      <c r="S503" s="3">
        <f>MAX($R$3:R503)</f>
        <v/>
      </c>
      <c r="T503" s="3">
        <f>R503-S503</f>
        <v/>
      </c>
      <c r="U503" s="3">
        <f>(R503-S503)/S503*100</f>
        <v/>
      </c>
      <c r="V503" s="3">
        <f>IF(K503&lt;0, (K503/100)^2, 0)</f>
        <v/>
      </c>
    </row>
    <row r="504">
      <c r="A504" s="3">
        <f>TEXT(502, """T""0000")</f>
        <v/>
      </c>
      <c r="B504" s="3">
        <f>RAW_INPUT!A504</f>
        <v/>
      </c>
      <c r="C504" s="3">
        <f>RAW_INPUT!B504</f>
        <v/>
      </c>
      <c r="D504" s="3">
        <f>RAW_INPUT!D504</f>
        <v/>
      </c>
      <c r="E504" s="3">
        <f>D504-C504</f>
        <v/>
      </c>
      <c r="F504" s="3">
        <f>RAW_INPUT!C504</f>
        <v/>
      </c>
      <c r="G504" s="3">
        <f>RAW_INPUT!E504</f>
        <v/>
      </c>
      <c r="H504" s="3">
        <f>I504/F504</f>
        <v/>
      </c>
      <c r="I504" s="3">
        <f>METRICS!$C$14 * 0.02</f>
        <v/>
      </c>
      <c r="J504" s="3">
        <f>(G504-F504)*H504</f>
        <v/>
      </c>
      <c r="K504" s="3">
        <f>(G504-F504)/F504*100</f>
        <v/>
      </c>
      <c r="L504" s="3">
        <f>RAW_INPUT!F504</f>
        <v/>
      </c>
      <c r="M504" s="3">
        <f>K504-L504</f>
        <v/>
      </c>
      <c r="N504" s="3">
        <f>IF(J504&gt;0, 1, 0)</f>
        <v/>
      </c>
      <c r="O504" s="3">
        <f>IF(J504&lt;0, 1, 0)</f>
        <v/>
      </c>
      <c r="P504" s="3">
        <f>SUM($J$3:J504)</f>
        <v/>
      </c>
      <c r="Q504" s="3">
        <f>P504/METRICS!$C$14*100</f>
        <v/>
      </c>
      <c r="R504" s="3">
        <f>METRICS!$C$14+P504</f>
        <v/>
      </c>
      <c r="S504" s="3">
        <f>MAX($R$3:R504)</f>
        <v/>
      </c>
      <c r="T504" s="3">
        <f>R504-S504</f>
        <v/>
      </c>
      <c r="U504" s="3">
        <f>(R504-S504)/S504*100</f>
        <v/>
      </c>
      <c r="V504" s="3">
        <f>IF(K504&lt;0, (K504/100)^2, 0)</f>
        <v/>
      </c>
    </row>
    <row r="505">
      <c r="A505" s="3">
        <f>TEXT(503, """T""0000")</f>
        <v/>
      </c>
      <c r="B505" s="3">
        <f>RAW_INPUT!A505</f>
        <v/>
      </c>
      <c r="C505" s="3">
        <f>RAW_INPUT!B505</f>
        <v/>
      </c>
      <c r="D505" s="3">
        <f>RAW_INPUT!D505</f>
        <v/>
      </c>
      <c r="E505" s="3">
        <f>D505-C505</f>
        <v/>
      </c>
      <c r="F505" s="3">
        <f>RAW_INPUT!C505</f>
        <v/>
      </c>
      <c r="G505" s="3">
        <f>RAW_INPUT!E505</f>
        <v/>
      </c>
      <c r="H505" s="3">
        <f>I505/F505</f>
        <v/>
      </c>
      <c r="I505" s="3">
        <f>METRICS!$C$14 * 0.02</f>
        <v/>
      </c>
      <c r="J505" s="3">
        <f>(G505-F505)*H505</f>
        <v/>
      </c>
      <c r="K505" s="3">
        <f>(G505-F505)/F505*100</f>
        <v/>
      </c>
      <c r="L505" s="3">
        <f>RAW_INPUT!F505</f>
        <v/>
      </c>
      <c r="M505" s="3">
        <f>K505-L505</f>
        <v/>
      </c>
      <c r="N505" s="3">
        <f>IF(J505&gt;0, 1, 0)</f>
        <v/>
      </c>
      <c r="O505" s="3">
        <f>IF(J505&lt;0, 1, 0)</f>
        <v/>
      </c>
      <c r="P505" s="3">
        <f>SUM($J$3:J505)</f>
        <v/>
      </c>
      <c r="Q505" s="3">
        <f>P505/METRICS!$C$14*100</f>
        <v/>
      </c>
      <c r="R505" s="3">
        <f>METRICS!$C$14+P505</f>
        <v/>
      </c>
      <c r="S505" s="3">
        <f>MAX($R$3:R505)</f>
        <v/>
      </c>
      <c r="T505" s="3">
        <f>R505-S505</f>
        <v/>
      </c>
      <c r="U505" s="3">
        <f>(R505-S505)/S505*100</f>
        <v/>
      </c>
      <c r="V505" s="3">
        <f>IF(K505&lt;0, (K505/100)^2, 0)</f>
        <v/>
      </c>
    </row>
    <row r="506">
      <c r="A506" s="3">
        <f>TEXT(504, """T""0000")</f>
        <v/>
      </c>
      <c r="B506" s="3">
        <f>RAW_INPUT!A506</f>
        <v/>
      </c>
      <c r="C506" s="3">
        <f>RAW_INPUT!B506</f>
        <v/>
      </c>
      <c r="D506" s="3">
        <f>RAW_INPUT!D506</f>
        <v/>
      </c>
      <c r="E506" s="3">
        <f>D506-C506</f>
        <v/>
      </c>
      <c r="F506" s="3">
        <f>RAW_INPUT!C506</f>
        <v/>
      </c>
      <c r="G506" s="3">
        <f>RAW_INPUT!E506</f>
        <v/>
      </c>
      <c r="H506" s="3">
        <f>I506/F506</f>
        <v/>
      </c>
      <c r="I506" s="3">
        <f>METRICS!$C$14 * 0.02</f>
        <v/>
      </c>
      <c r="J506" s="3">
        <f>(G506-F506)*H506</f>
        <v/>
      </c>
      <c r="K506" s="3">
        <f>(G506-F506)/F506*100</f>
        <v/>
      </c>
      <c r="L506" s="3">
        <f>RAW_INPUT!F506</f>
        <v/>
      </c>
      <c r="M506" s="3">
        <f>K506-L506</f>
        <v/>
      </c>
      <c r="N506" s="3">
        <f>IF(J506&gt;0, 1, 0)</f>
        <v/>
      </c>
      <c r="O506" s="3">
        <f>IF(J506&lt;0, 1, 0)</f>
        <v/>
      </c>
      <c r="P506" s="3">
        <f>SUM($J$3:J506)</f>
        <v/>
      </c>
      <c r="Q506" s="3">
        <f>P506/METRICS!$C$14*100</f>
        <v/>
      </c>
      <c r="R506" s="3">
        <f>METRICS!$C$14+P506</f>
        <v/>
      </c>
      <c r="S506" s="3">
        <f>MAX($R$3:R506)</f>
        <v/>
      </c>
      <c r="T506" s="3">
        <f>R506-S506</f>
        <v/>
      </c>
      <c r="U506" s="3">
        <f>(R506-S506)/S506*100</f>
        <v/>
      </c>
      <c r="V506" s="3">
        <f>IF(K506&lt;0, (K506/100)^2, 0)</f>
        <v/>
      </c>
    </row>
    <row r="507">
      <c r="A507" s="3">
        <f>TEXT(505, """T""0000")</f>
        <v/>
      </c>
      <c r="B507" s="3">
        <f>RAW_INPUT!A507</f>
        <v/>
      </c>
      <c r="C507" s="3">
        <f>RAW_INPUT!B507</f>
        <v/>
      </c>
      <c r="D507" s="3">
        <f>RAW_INPUT!D507</f>
        <v/>
      </c>
      <c r="E507" s="3">
        <f>D507-C507</f>
        <v/>
      </c>
      <c r="F507" s="3">
        <f>RAW_INPUT!C507</f>
        <v/>
      </c>
      <c r="G507" s="3">
        <f>RAW_INPUT!E507</f>
        <v/>
      </c>
      <c r="H507" s="3">
        <f>I507/F507</f>
        <v/>
      </c>
      <c r="I507" s="3">
        <f>METRICS!$C$14 * 0.02</f>
        <v/>
      </c>
      <c r="J507" s="3">
        <f>(G507-F507)*H507</f>
        <v/>
      </c>
      <c r="K507" s="3">
        <f>(G507-F507)/F507*100</f>
        <v/>
      </c>
      <c r="L507" s="3">
        <f>RAW_INPUT!F507</f>
        <v/>
      </c>
      <c r="M507" s="3">
        <f>K507-L507</f>
        <v/>
      </c>
      <c r="N507" s="3">
        <f>IF(J507&gt;0, 1, 0)</f>
        <v/>
      </c>
      <c r="O507" s="3">
        <f>IF(J507&lt;0, 1, 0)</f>
        <v/>
      </c>
      <c r="P507" s="3">
        <f>SUM($J$3:J507)</f>
        <v/>
      </c>
      <c r="Q507" s="3">
        <f>P507/METRICS!$C$14*100</f>
        <v/>
      </c>
      <c r="R507" s="3">
        <f>METRICS!$C$14+P507</f>
        <v/>
      </c>
      <c r="S507" s="3">
        <f>MAX($R$3:R507)</f>
        <v/>
      </c>
      <c r="T507" s="3">
        <f>R507-S507</f>
        <v/>
      </c>
      <c r="U507" s="3">
        <f>(R507-S507)/S507*100</f>
        <v/>
      </c>
      <c r="V507" s="3">
        <f>IF(K507&lt;0, (K507/100)^2, 0)</f>
        <v/>
      </c>
    </row>
    <row r="508">
      <c r="A508" s="3">
        <f>TEXT(506, """T""0000")</f>
        <v/>
      </c>
      <c r="B508" s="3">
        <f>RAW_INPUT!A508</f>
        <v/>
      </c>
      <c r="C508" s="3">
        <f>RAW_INPUT!B508</f>
        <v/>
      </c>
      <c r="D508" s="3">
        <f>RAW_INPUT!D508</f>
        <v/>
      </c>
      <c r="E508" s="3">
        <f>D508-C508</f>
        <v/>
      </c>
      <c r="F508" s="3">
        <f>RAW_INPUT!C508</f>
        <v/>
      </c>
      <c r="G508" s="3">
        <f>RAW_INPUT!E508</f>
        <v/>
      </c>
      <c r="H508" s="3">
        <f>I508/F508</f>
        <v/>
      </c>
      <c r="I508" s="3">
        <f>METRICS!$C$14 * 0.02</f>
        <v/>
      </c>
      <c r="J508" s="3">
        <f>(G508-F508)*H508</f>
        <v/>
      </c>
      <c r="K508" s="3">
        <f>(G508-F508)/F508*100</f>
        <v/>
      </c>
      <c r="L508" s="3">
        <f>RAW_INPUT!F508</f>
        <v/>
      </c>
      <c r="M508" s="3">
        <f>K508-L508</f>
        <v/>
      </c>
      <c r="N508" s="3">
        <f>IF(J508&gt;0, 1, 0)</f>
        <v/>
      </c>
      <c r="O508" s="3">
        <f>IF(J508&lt;0, 1, 0)</f>
        <v/>
      </c>
      <c r="P508" s="3">
        <f>SUM($J$3:J508)</f>
        <v/>
      </c>
      <c r="Q508" s="3">
        <f>P508/METRICS!$C$14*100</f>
        <v/>
      </c>
      <c r="R508" s="3">
        <f>METRICS!$C$14+P508</f>
        <v/>
      </c>
      <c r="S508" s="3">
        <f>MAX($R$3:R508)</f>
        <v/>
      </c>
      <c r="T508" s="3">
        <f>R508-S508</f>
        <v/>
      </c>
      <c r="U508" s="3">
        <f>(R508-S508)/S508*100</f>
        <v/>
      </c>
      <c r="V508" s="3">
        <f>IF(K508&lt;0, (K508/100)^2, 0)</f>
        <v/>
      </c>
    </row>
    <row r="509">
      <c r="A509" s="3">
        <f>TEXT(507, """T""0000")</f>
        <v/>
      </c>
      <c r="B509" s="3">
        <f>RAW_INPUT!A509</f>
        <v/>
      </c>
      <c r="C509" s="3">
        <f>RAW_INPUT!B509</f>
        <v/>
      </c>
      <c r="D509" s="3">
        <f>RAW_INPUT!D509</f>
        <v/>
      </c>
      <c r="E509" s="3">
        <f>D509-C509</f>
        <v/>
      </c>
      <c r="F509" s="3">
        <f>RAW_INPUT!C509</f>
        <v/>
      </c>
      <c r="G509" s="3">
        <f>RAW_INPUT!E509</f>
        <v/>
      </c>
      <c r="H509" s="3">
        <f>I509/F509</f>
        <v/>
      </c>
      <c r="I509" s="3">
        <f>METRICS!$C$14 * 0.02</f>
        <v/>
      </c>
      <c r="J509" s="3">
        <f>(G509-F509)*H509</f>
        <v/>
      </c>
      <c r="K509" s="3">
        <f>(G509-F509)/F509*100</f>
        <v/>
      </c>
      <c r="L509" s="3">
        <f>RAW_INPUT!F509</f>
        <v/>
      </c>
      <c r="M509" s="3">
        <f>K509-L509</f>
        <v/>
      </c>
      <c r="N509" s="3">
        <f>IF(J509&gt;0, 1, 0)</f>
        <v/>
      </c>
      <c r="O509" s="3">
        <f>IF(J509&lt;0, 1, 0)</f>
        <v/>
      </c>
      <c r="P509" s="3">
        <f>SUM($J$3:J509)</f>
        <v/>
      </c>
      <c r="Q509" s="3">
        <f>P509/METRICS!$C$14*100</f>
        <v/>
      </c>
      <c r="R509" s="3">
        <f>METRICS!$C$14+P509</f>
        <v/>
      </c>
      <c r="S509" s="3">
        <f>MAX($R$3:R509)</f>
        <v/>
      </c>
      <c r="T509" s="3">
        <f>R509-S509</f>
        <v/>
      </c>
      <c r="U509" s="3">
        <f>(R509-S509)/S509*100</f>
        <v/>
      </c>
      <c r="V509" s="3">
        <f>IF(K509&lt;0, (K509/100)^2, 0)</f>
        <v/>
      </c>
    </row>
    <row r="510">
      <c r="A510" s="3">
        <f>TEXT(508, """T""0000")</f>
        <v/>
      </c>
      <c r="B510" s="3">
        <f>RAW_INPUT!A510</f>
        <v/>
      </c>
      <c r="C510" s="3">
        <f>RAW_INPUT!B510</f>
        <v/>
      </c>
      <c r="D510" s="3">
        <f>RAW_INPUT!D510</f>
        <v/>
      </c>
      <c r="E510" s="3">
        <f>D510-C510</f>
        <v/>
      </c>
      <c r="F510" s="3">
        <f>RAW_INPUT!C510</f>
        <v/>
      </c>
      <c r="G510" s="3">
        <f>RAW_INPUT!E510</f>
        <v/>
      </c>
      <c r="H510" s="3">
        <f>I510/F510</f>
        <v/>
      </c>
      <c r="I510" s="3">
        <f>METRICS!$C$14 * 0.02</f>
        <v/>
      </c>
      <c r="J510" s="3">
        <f>(G510-F510)*H510</f>
        <v/>
      </c>
      <c r="K510" s="3">
        <f>(G510-F510)/F510*100</f>
        <v/>
      </c>
      <c r="L510" s="3">
        <f>RAW_INPUT!F510</f>
        <v/>
      </c>
      <c r="M510" s="3">
        <f>K510-L510</f>
        <v/>
      </c>
      <c r="N510" s="3">
        <f>IF(J510&gt;0, 1, 0)</f>
        <v/>
      </c>
      <c r="O510" s="3">
        <f>IF(J510&lt;0, 1, 0)</f>
        <v/>
      </c>
      <c r="P510" s="3">
        <f>SUM($J$3:J510)</f>
        <v/>
      </c>
      <c r="Q510" s="3">
        <f>P510/METRICS!$C$14*100</f>
        <v/>
      </c>
      <c r="R510" s="3">
        <f>METRICS!$C$14+P510</f>
        <v/>
      </c>
      <c r="S510" s="3">
        <f>MAX($R$3:R510)</f>
        <v/>
      </c>
      <c r="T510" s="3">
        <f>R510-S510</f>
        <v/>
      </c>
      <c r="U510" s="3">
        <f>(R510-S510)/S510*100</f>
        <v/>
      </c>
      <c r="V510" s="3">
        <f>IF(K510&lt;0, (K510/100)^2, 0)</f>
        <v/>
      </c>
    </row>
    <row r="511">
      <c r="A511" s="3">
        <f>TEXT(509, """T""0000")</f>
        <v/>
      </c>
      <c r="B511" s="3">
        <f>RAW_INPUT!A511</f>
        <v/>
      </c>
      <c r="C511" s="3">
        <f>RAW_INPUT!B511</f>
        <v/>
      </c>
      <c r="D511" s="3">
        <f>RAW_INPUT!D511</f>
        <v/>
      </c>
      <c r="E511" s="3">
        <f>D511-C511</f>
        <v/>
      </c>
      <c r="F511" s="3">
        <f>RAW_INPUT!C511</f>
        <v/>
      </c>
      <c r="G511" s="3">
        <f>RAW_INPUT!E511</f>
        <v/>
      </c>
      <c r="H511" s="3">
        <f>I511/F511</f>
        <v/>
      </c>
      <c r="I511" s="3">
        <f>METRICS!$C$14 * 0.02</f>
        <v/>
      </c>
      <c r="J511" s="3">
        <f>(G511-F511)*H511</f>
        <v/>
      </c>
      <c r="K511" s="3">
        <f>(G511-F511)/F511*100</f>
        <v/>
      </c>
      <c r="L511" s="3">
        <f>RAW_INPUT!F511</f>
        <v/>
      </c>
      <c r="M511" s="3">
        <f>K511-L511</f>
        <v/>
      </c>
      <c r="N511" s="3">
        <f>IF(J511&gt;0, 1, 0)</f>
        <v/>
      </c>
      <c r="O511" s="3">
        <f>IF(J511&lt;0, 1, 0)</f>
        <v/>
      </c>
      <c r="P511" s="3">
        <f>SUM($J$3:J511)</f>
        <v/>
      </c>
      <c r="Q511" s="3">
        <f>P511/METRICS!$C$14*100</f>
        <v/>
      </c>
      <c r="R511" s="3">
        <f>METRICS!$C$14+P511</f>
        <v/>
      </c>
      <c r="S511" s="3">
        <f>MAX($R$3:R511)</f>
        <v/>
      </c>
      <c r="T511" s="3">
        <f>R511-S511</f>
        <v/>
      </c>
      <c r="U511" s="3">
        <f>(R511-S511)/S511*100</f>
        <v/>
      </c>
      <c r="V511" s="3">
        <f>IF(K511&lt;0, (K511/100)^2, 0)</f>
        <v/>
      </c>
    </row>
    <row r="512">
      <c r="A512" s="3">
        <f>TEXT(510, """T""0000")</f>
        <v/>
      </c>
      <c r="B512" s="3">
        <f>RAW_INPUT!A512</f>
        <v/>
      </c>
      <c r="C512" s="3">
        <f>RAW_INPUT!B512</f>
        <v/>
      </c>
      <c r="D512" s="3">
        <f>RAW_INPUT!D512</f>
        <v/>
      </c>
      <c r="E512" s="3">
        <f>D512-C512</f>
        <v/>
      </c>
      <c r="F512" s="3">
        <f>RAW_INPUT!C512</f>
        <v/>
      </c>
      <c r="G512" s="3">
        <f>RAW_INPUT!E512</f>
        <v/>
      </c>
      <c r="H512" s="3">
        <f>I512/F512</f>
        <v/>
      </c>
      <c r="I512" s="3">
        <f>METRICS!$C$14 * 0.02</f>
        <v/>
      </c>
      <c r="J512" s="3">
        <f>(G512-F512)*H512</f>
        <v/>
      </c>
      <c r="K512" s="3">
        <f>(G512-F512)/F512*100</f>
        <v/>
      </c>
      <c r="L512" s="3">
        <f>RAW_INPUT!F512</f>
        <v/>
      </c>
      <c r="M512" s="3">
        <f>K512-L512</f>
        <v/>
      </c>
      <c r="N512" s="3">
        <f>IF(J512&gt;0, 1, 0)</f>
        <v/>
      </c>
      <c r="O512" s="3">
        <f>IF(J512&lt;0, 1, 0)</f>
        <v/>
      </c>
      <c r="P512" s="3">
        <f>SUM($J$3:J512)</f>
        <v/>
      </c>
      <c r="Q512" s="3">
        <f>P512/METRICS!$C$14*100</f>
        <v/>
      </c>
      <c r="R512" s="3">
        <f>METRICS!$C$14+P512</f>
        <v/>
      </c>
      <c r="S512" s="3">
        <f>MAX($R$3:R512)</f>
        <v/>
      </c>
      <c r="T512" s="3">
        <f>R512-S512</f>
        <v/>
      </c>
      <c r="U512" s="3">
        <f>(R512-S512)/S512*100</f>
        <v/>
      </c>
      <c r="V512" s="3">
        <f>IF(K512&lt;0, (K512/100)^2, 0)</f>
        <v/>
      </c>
    </row>
    <row r="513">
      <c r="A513" s="3">
        <f>TEXT(511, """T""0000")</f>
        <v/>
      </c>
      <c r="B513" s="3">
        <f>RAW_INPUT!A513</f>
        <v/>
      </c>
      <c r="C513" s="3">
        <f>RAW_INPUT!B513</f>
        <v/>
      </c>
      <c r="D513" s="3">
        <f>RAW_INPUT!D513</f>
        <v/>
      </c>
      <c r="E513" s="3">
        <f>D513-C513</f>
        <v/>
      </c>
      <c r="F513" s="3">
        <f>RAW_INPUT!C513</f>
        <v/>
      </c>
      <c r="G513" s="3">
        <f>RAW_INPUT!E513</f>
        <v/>
      </c>
      <c r="H513" s="3">
        <f>I513/F513</f>
        <v/>
      </c>
      <c r="I513" s="3">
        <f>METRICS!$C$14 * 0.02</f>
        <v/>
      </c>
      <c r="J513" s="3">
        <f>(G513-F513)*H513</f>
        <v/>
      </c>
      <c r="K513" s="3">
        <f>(G513-F513)/F513*100</f>
        <v/>
      </c>
      <c r="L513" s="3">
        <f>RAW_INPUT!F513</f>
        <v/>
      </c>
      <c r="M513" s="3">
        <f>K513-L513</f>
        <v/>
      </c>
      <c r="N513" s="3">
        <f>IF(J513&gt;0, 1, 0)</f>
        <v/>
      </c>
      <c r="O513" s="3">
        <f>IF(J513&lt;0, 1, 0)</f>
        <v/>
      </c>
      <c r="P513" s="3">
        <f>SUM($J$3:J513)</f>
        <v/>
      </c>
      <c r="Q513" s="3">
        <f>P513/METRICS!$C$14*100</f>
        <v/>
      </c>
      <c r="R513" s="3">
        <f>METRICS!$C$14+P513</f>
        <v/>
      </c>
      <c r="S513" s="3">
        <f>MAX($R$3:R513)</f>
        <v/>
      </c>
      <c r="T513" s="3">
        <f>R513-S513</f>
        <v/>
      </c>
      <c r="U513" s="3">
        <f>(R513-S513)/S513*100</f>
        <v/>
      </c>
      <c r="V513" s="3">
        <f>IF(K513&lt;0, (K513/100)^2, 0)</f>
        <v/>
      </c>
    </row>
    <row r="514">
      <c r="A514" s="3">
        <f>TEXT(512, """T""0000")</f>
        <v/>
      </c>
      <c r="B514" s="3">
        <f>RAW_INPUT!A514</f>
        <v/>
      </c>
      <c r="C514" s="3">
        <f>RAW_INPUT!B514</f>
        <v/>
      </c>
      <c r="D514" s="3">
        <f>RAW_INPUT!D514</f>
        <v/>
      </c>
      <c r="E514" s="3">
        <f>D514-C514</f>
        <v/>
      </c>
      <c r="F514" s="3">
        <f>RAW_INPUT!C514</f>
        <v/>
      </c>
      <c r="G514" s="3">
        <f>RAW_INPUT!E514</f>
        <v/>
      </c>
      <c r="H514" s="3">
        <f>I514/F514</f>
        <v/>
      </c>
      <c r="I514" s="3">
        <f>METRICS!$C$14 * 0.02</f>
        <v/>
      </c>
      <c r="J514" s="3">
        <f>(G514-F514)*H514</f>
        <v/>
      </c>
      <c r="K514" s="3">
        <f>(G514-F514)/F514*100</f>
        <v/>
      </c>
      <c r="L514" s="3">
        <f>RAW_INPUT!F514</f>
        <v/>
      </c>
      <c r="M514" s="3">
        <f>K514-L514</f>
        <v/>
      </c>
      <c r="N514" s="3">
        <f>IF(J514&gt;0, 1, 0)</f>
        <v/>
      </c>
      <c r="O514" s="3">
        <f>IF(J514&lt;0, 1, 0)</f>
        <v/>
      </c>
      <c r="P514" s="3">
        <f>SUM($J$3:J514)</f>
        <v/>
      </c>
      <c r="Q514" s="3">
        <f>P514/METRICS!$C$14*100</f>
        <v/>
      </c>
      <c r="R514" s="3">
        <f>METRICS!$C$14+P514</f>
        <v/>
      </c>
      <c r="S514" s="3">
        <f>MAX($R$3:R514)</f>
        <v/>
      </c>
      <c r="T514" s="3">
        <f>R514-S514</f>
        <v/>
      </c>
      <c r="U514" s="3">
        <f>(R514-S514)/S514*100</f>
        <v/>
      </c>
      <c r="V514" s="3">
        <f>IF(K514&lt;0, (K514/100)^2, 0)</f>
        <v/>
      </c>
    </row>
    <row r="515">
      <c r="A515" s="3">
        <f>TEXT(513, """T""0000")</f>
        <v/>
      </c>
      <c r="B515" s="3">
        <f>RAW_INPUT!A515</f>
        <v/>
      </c>
      <c r="C515" s="3">
        <f>RAW_INPUT!B515</f>
        <v/>
      </c>
      <c r="D515" s="3">
        <f>RAW_INPUT!D515</f>
        <v/>
      </c>
      <c r="E515" s="3">
        <f>D515-C515</f>
        <v/>
      </c>
      <c r="F515" s="3">
        <f>RAW_INPUT!C515</f>
        <v/>
      </c>
      <c r="G515" s="3">
        <f>RAW_INPUT!E515</f>
        <v/>
      </c>
      <c r="H515" s="3">
        <f>I515/F515</f>
        <v/>
      </c>
      <c r="I515" s="3">
        <f>METRICS!$C$14 * 0.02</f>
        <v/>
      </c>
      <c r="J515" s="3">
        <f>(G515-F515)*H515</f>
        <v/>
      </c>
      <c r="K515" s="3">
        <f>(G515-F515)/F515*100</f>
        <v/>
      </c>
      <c r="L515" s="3">
        <f>RAW_INPUT!F515</f>
        <v/>
      </c>
      <c r="M515" s="3">
        <f>K515-L515</f>
        <v/>
      </c>
      <c r="N515" s="3">
        <f>IF(J515&gt;0, 1, 0)</f>
        <v/>
      </c>
      <c r="O515" s="3">
        <f>IF(J515&lt;0, 1, 0)</f>
        <v/>
      </c>
      <c r="P515" s="3">
        <f>SUM($J$3:J515)</f>
        <v/>
      </c>
      <c r="Q515" s="3">
        <f>P515/METRICS!$C$14*100</f>
        <v/>
      </c>
      <c r="R515" s="3">
        <f>METRICS!$C$14+P515</f>
        <v/>
      </c>
      <c r="S515" s="3">
        <f>MAX($R$3:R515)</f>
        <v/>
      </c>
      <c r="T515" s="3">
        <f>R515-S515</f>
        <v/>
      </c>
      <c r="U515" s="3">
        <f>(R515-S515)/S515*100</f>
        <v/>
      </c>
      <c r="V515" s="3">
        <f>IF(K515&lt;0, (K515/100)^2, 0)</f>
        <v/>
      </c>
    </row>
    <row r="516">
      <c r="A516" s="3">
        <f>TEXT(514, """T""0000")</f>
        <v/>
      </c>
      <c r="B516" s="3">
        <f>RAW_INPUT!A516</f>
        <v/>
      </c>
      <c r="C516" s="3">
        <f>RAW_INPUT!B516</f>
        <v/>
      </c>
      <c r="D516" s="3">
        <f>RAW_INPUT!D516</f>
        <v/>
      </c>
      <c r="E516" s="3">
        <f>D516-C516</f>
        <v/>
      </c>
      <c r="F516" s="3">
        <f>RAW_INPUT!C516</f>
        <v/>
      </c>
      <c r="G516" s="3">
        <f>RAW_INPUT!E516</f>
        <v/>
      </c>
      <c r="H516" s="3">
        <f>I516/F516</f>
        <v/>
      </c>
      <c r="I516" s="3">
        <f>METRICS!$C$14 * 0.02</f>
        <v/>
      </c>
      <c r="J516" s="3">
        <f>(G516-F516)*H516</f>
        <v/>
      </c>
      <c r="K516" s="3">
        <f>(G516-F516)/F516*100</f>
        <v/>
      </c>
      <c r="L516" s="3">
        <f>RAW_INPUT!F516</f>
        <v/>
      </c>
      <c r="M516" s="3">
        <f>K516-L516</f>
        <v/>
      </c>
      <c r="N516" s="3">
        <f>IF(J516&gt;0, 1, 0)</f>
        <v/>
      </c>
      <c r="O516" s="3">
        <f>IF(J516&lt;0, 1, 0)</f>
        <v/>
      </c>
      <c r="P516" s="3">
        <f>SUM($J$3:J516)</f>
        <v/>
      </c>
      <c r="Q516" s="3">
        <f>P516/METRICS!$C$14*100</f>
        <v/>
      </c>
      <c r="R516" s="3">
        <f>METRICS!$C$14+P516</f>
        <v/>
      </c>
      <c r="S516" s="3">
        <f>MAX($R$3:R516)</f>
        <v/>
      </c>
      <c r="T516" s="3">
        <f>R516-S516</f>
        <v/>
      </c>
      <c r="U516" s="3">
        <f>(R516-S516)/S516*100</f>
        <v/>
      </c>
      <c r="V516" s="3">
        <f>IF(K516&lt;0, (K516/100)^2, 0)</f>
        <v/>
      </c>
    </row>
    <row r="517">
      <c r="A517" s="3">
        <f>TEXT(515, """T""0000")</f>
        <v/>
      </c>
      <c r="B517" s="3">
        <f>RAW_INPUT!A517</f>
        <v/>
      </c>
      <c r="C517" s="3">
        <f>RAW_INPUT!B517</f>
        <v/>
      </c>
      <c r="D517" s="3">
        <f>RAW_INPUT!D517</f>
        <v/>
      </c>
      <c r="E517" s="3">
        <f>D517-C517</f>
        <v/>
      </c>
      <c r="F517" s="3">
        <f>RAW_INPUT!C517</f>
        <v/>
      </c>
      <c r="G517" s="3">
        <f>RAW_INPUT!E517</f>
        <v/>
      </c>
      <c r="H517" s="3">
        <f>I517/F517</f>
        <v/>
      </c>
      <c r="I517" s="3">
        <f>METRICS!$C$14 * 0.02</f>
        <v/>
      </c>
      <c r="J517" s="3">
        <f>(G517-F517)*H517</f>
        <v/>
      </c>
      <c r="K517" s="3">
        <f>(G517-F517)/F517*100</f>
        <v/>
      </c>
      <c r="L517" s="3">
        <f>RAW_INPUT!F517</f>
        <v/>
      </c>
      <c r="M517" s="3">
        <f>K517-L517</f>
        <v/>
      </c>
      <c r="N517" s="3">
        <f>IF(J517&gt;0, 1, 0)</f>
        <v/>
      </c>
      <c r="O517" s="3">
        <f>IF(J517&lt;0, 1, 0)</f>
        <v/>
      </c>
      <c r="P517" s="3">
        <f>SUM($J$3:J517)</f>
        <v/>
      </c>
      <c r="Q517" s="3">
        <f>P517/METRICS!$C$14*100</f>
        <v/>
      </c>
      <c r="R517" s="3">
        <f>METRICS!$C$14+P517</f>
        <v/>
      </c>
      <c r="S517" s="3">
        <f>MAX($R$3:R517)</f>
        <v/>
      </c>
      <c r="T517" s="3">
        <f>R517-S517</f>
        <v/>
      </c>
      <c r="U517" s="3">
        <f>(R517-S517)/S517*100</f>
        <v/>
      </c>
      <c r="V517" s="3">
        <f>IF(K517&lt;0, (K517/100)^2, 0)</f>
        <v/>
      </c>
    </row>
    <row r="518">
      <c r="A518" s="3">
        <f>TEXT(516, """T""0000")</f>
        <v/>
      </c>
      <c r="B518" s="3">
        <f>RAW_INPUT!A518</f>
        <v/>
      </c>
      <c r="C518" s="3">
        <f>RAW_INPUT!B518</f>
        <v/>
      </c>
      <c r="D518" s="3">
        <f>RAW_INPUT!D518</f>
        <v/>
      </c>
      <c r="E518" s="3">
        <f>D518-C518</f>
        <v/>
      </c>
      <c r="F518" s="3">
        <f>RAW_INPUT!C518</f>
        <v/>
      </c>
      <c r="G518" s="3">
        <f>RAW_INPUT!E518</f>
        <v/>
      </c>
      <c r="H518" s="3">
        <f>I518/F518</f>
        <v/>
      </c>
      <c r="I518" s="3">
        <f>METRICS!$C$14 * 0.02</f>
        <v/>
      </c>
      <c r="J518" s="3">
        <f>(G518-F518)*H518</f>
        <v/>
      </c>
      <c r="K518" s="3">
        <f>(G518-F518)/F518*100</f>
        <v/>
      </c>
      <c r="L518" s="3">
        <f>RAW_INPUT!F518</f>
        <v/>
      </c>
      <c r="M518" s="3">
        <f>K518-L518</f>
        <v/>
      </c>
      <c r="N518" s="3">
        <f>IF(J518&gt;0, 1, 0)</f>
        <v/>
      </c>
      <c r="O518" s="3">
        <f>IF(J518&lt;0, 1, 0)</f>
        <v/>
      </c>
      <c r="P518" s="3">
        <f>SUM($J$3:J518)</f>
        <v/>
      </c>
      <c r="Q518" s="3">
        <f>P518/METRICS!$C$14*100</f>
        <v/>
      </c>
      <c r="R518" s="3">
        <f>METRICS!$C$14+P518</f>
        <v/>
      </c>
      <c r="S518" s="3">
        <f>MAX($R$3:R518)</f>
        <v/>
      </c>
      <c r="T518" s="3">
        <f>R518-S518</f>
        <v/>
      </c>
      <c r="U518" s="3">
        <f>(R518-S518)/S518*100</f>
        <v/>
      </c>
      <c r="V518" s="3">
        <f>IF(K518&lt;0, (K518/100)^2, 0)</f>
        <v/>
      </c>
    </row>
    <row r="519">
      <c r="A519" s="3">
        <f>TEXT(517, """T""0000")</f>
        <v/>
      </c>
      <c r="B519" s="3">
        <f>RAW_INPUT!A519</f>
        <v/>
      </c>
      <c r="C519" s="3">
        <f>RAW_INPUT!B519</f>
        <v/>
      </c>
      <c r="D519" s="3">
        <f>RAW_INPUT!D519</f>
        <v/>
      </c>
      <c r="E519" s="3">
        <f>D519-C519</f>
        <v/>
      </c>
      <c r="F519" s="3">
        <f>RAW_INPUT!C519</f>
        <v/>
      </c>
      <c r="G519" s="3">
        <f>RAW_INPUT!E519</f>
        <v/>
      </c>
      <c r="H519" s="3">
        <f>I519/F519</f>
        <v/>
      </c>
      <c r="I519" s="3">
        <f>METRICS!$C$14 * 0.02</f>
        <v/>
      </c>
      <c r="J519" s="3">
        <f>(G519-F519)*H519</f>
        <v/>
      </c>
      <c r="K519" s="3">
        <f>(G519-F519)/F519*100</f>
        <v/>
      </c>
      <c r="L519" s="3">
        <f>RAW_INPUT!F519</f>
        <v/>
      </c>
      <c r="M519" s="3">
        <f>K519-L519</f>
        <v/>
      </c>
      <c r="N519" s="3">
        <f>IF(J519&gt;0, 1, 0)</f>
        <v/>
      </c>
      <c r="O519" s="3">
        <f>IF(J519&lt;0, 1, 0)</f>
        <v/>
      </c>
      <c r="P519" s="3">
        <f>SUM($J$3:J519)</f>
        <v/>
      </c>
      <c r="Q519" s="3">
        <f>P519/METRICS!$C$14*100</f>
        <v/>
      </c>
      <c r="R519" s="3">
        <f>METRICS!$C$14+P519</f>
        <v/>
      </c>
      <c r="S519" s="3">
        <f>MAX($R$3:R519)</f>
        <v/>
      </c>
      <c r="T519" s="3">
        <f>R519-S519</f>
        <v/>
      </c>
      <c r="U519" s="3">
        <f>(R519-S519)/S519*100</f>
        <v/>
      </c>
      <c r="V519" s="3">
        <f>IF(K519&lt;0, (K519/100)^2, 0)</f>
        <v/>
      </c>
    </row>
    <row r="520">
      <c r="A520" s="3">
        <f>TEXT(518, """T""0000")</f>
        <v/>
      </c>
      <c r="B520" s="3">
        <f>RAW_INPUT!A520</f>
        <v/>
      </c>
      <c r="C520" s="3">
        <f>RAW_INPUT!B520</f>
        <v/>
      </c>
      <c r="D520" s="3">
        <f>RAW_INPUT!D520</f>
        <v/>
      </c>
      <c r="E520" s="3">
        <f>D520-C520</f>
        <v/>
      </c>
      <c r="F520" s="3">
        <f>RAW_INPUT!C520</f>
        <v/>
      </c>
      <c r="G520" s="3">
        <f>RAW_INPUT!E520</f>
        <v/>
      </c>
      <c r="H520" s="3">
        <f>I520/F520</f>
        <v/>
      </c>
      <c r="I520" s="3">
        <f>METRICS!$C$14 * 0.02</f>
        <v/>
      </c>
      <c r="J520" s="3">
        <f>(G520-F520)*H520</f>
        <v/>
      </c>
      <c r="K520" s="3">
        <f>(G520-F520)/F520*100</f>
        <v/>
      </c>
      <c r="L520" s="3">
        <f>RAW_INPUT!F520</f>
        <v/>
      </c>
      <c r="M520" s="3">
        <f>K520-L520</f>
        <v/>
      </c>
      <c r="N520" s="3">
        <f>IF(J520&gt;0, 1, 0)</f>
        <v/>
      </c>
      <c r="O520" s="3">
        <f>IF(J520&lt;0, 1, 0)</f>
        <v/>
      </c>
      <c r="P520" s="3">
        <f>SUM($J$3:J520)</f>
        <v/>
      </c>
      <c r="Q520" s="3">
        <f>P520/METRICS!$C$14*100</f>
        <v/>
      </c>
      <c r="R520" s="3">
        <f>METRICS!$C$14+P520</f>
        <v/>
      </c>
      <c r="S520" s="3">
        <f>MAX($R$3:R520)</f>
        <v/>
      </c>
      <c r="T520" s="3">
        <f>R520-S520</f>
        <v/>
      </c>
      <c r="U520" s="3">
        <f>(R520-S520)/S520*100</f>
        <v/>
      </c>
      <c r="V520" s="3">
        <f>IF(K520&lt;0, (K520/100)^2, 0)</f>
        <v/>
      </c>
    </row>
    <row r="521">
      <c r="A521" s="3">
        <f>TEXT(519, """T""0000")</f>
        <v/>
      </c>
      <c r="B521" s="3">
        <f>RAW_INPUT!A521</f>
        <v/>
      </c>
      <c r="C521" s="3">
        <f>RAW_INPUT!B521</f>
        <v/>
      </c>
      <c r="D521" s="3">
        <f>RAW_INPUT!D521</f>
        <v/>
      </c>
      <c r="E521" s="3">
        <f>D521-C521</f>
        <v/>
      </c>
      <c r="F521" s="3">
        <f>RAW_INPUT!C521</f>
        <v/>
      </c>
      <c r="G521" s="3">
        <f>RAW_INPUT!E521</f>
        <v/>
      </c>
      <c r="H521" s="3">
        <f>I521/F521</f>
        <v/>
      </c>
      <c r="I521" s="3">
        <f>METRICS!$C$14 * 0.02</f>
        <v/>
      </c>
      <c r="J521" s="3">
        <f>(G521-F521)*H521</f>
        <v/>
      </c>
      <c r="K521" s="3">
        <f>(G521-F521)/F521*100</f>
        <v/>
      </c>
      <c r="L521" s="3">
        <f>RAW_INPUT!F521</f>
        <v/>
      </c>
      <c r="M521" s="3">
        <f>K521-L521</f>
        <v/>
      </c>
      <c r="N521" s="3">
        <f>IF(J521&gt;0, 1, 0)</f>
        <v/>
      </c>
      <c r="O521" s="3">
        <f>IF(J521&lt;0, 1, 0)</f>
        <v/>
      </c>
      <c r="P521" s="3">
        <f>SUM($J$3:J521)</f>
        <v/>
      </c>
      <c r="Q521" s="3">
        <f>P521/METRICS!$C$14*100</f>
        <v/>
      </c>
      <c r="R521" s="3">
        <f>METRICS!$C$14+P521</f>
        <v/>
      </c>
      <c r="S521" s="3">
        <f>MAX($R$3:R521)</f>
        <v/>
      </c>
      <c r="T521" s="3">
        <f>R521-S521</f>
        <v/>
      </c>
      <c r="U521" s="3">
        <f>(R521-S521)/S521*100</f>
        <v/>
      </c>
      <c r="V521" s="3">
        <f>IF(K521&lt;0, (K521/100)^2, 0)</f>
        <v/>
      </c>
    </row>
    <row r="522">
      <c r="A522" s="3">
        <f>TEXT(520, """T""0000")</f>
        <v/>
      </c>
      <c r="B522" s="3">
        <f>RAW_INPUT!A522</f>
        <v/>
      </c>
      <c r="C522" s="3">
        <f>RAW_INPUT!B522</f>
        <v/>
      </c>
      <c r="D522" s="3">
        <f>RAW_INPUT!D522</f>
        <v/>
      </c>
      <c r="E522" s="3">
        <f>D522-C522</f>
        <v/>
      </c>
      <c r="F522" s="3">
        <f>RAW_INPUT!C522</f>
        <v/>
      </c>
      <c r="G522" s="3">
        <f>RAW_INPUT!E522</f>
        <v/>
      </c>
      <c r="H522" s="3">
        <f>I522/F522</f>
        <v/>
      </c>
      <c r="I522" s="3">
        <f>METRICS!$C$14 * 0.02</f>
        <v/>
      </c>
      <c r="J522" s="3">
        <f>(G522-F522)*H522</f>
        <v/>
      </c>
      <c r="K522" s="3">
        <f>(G522-F522)/F522*100</f>
        <v/>
      </c>
      <c r="L522" s="3">
        <f>RAW_INPUT!F522</f>
        <v/>
      </c>
      <c r="M522" s="3">
        <f>K522-L522</f>
        <v/>
      </c>
      <c r="N522" s="3">
        <f>IF(J522&gt;0, 1, 0)</f>
        <v/>
      </c>
      <c r="O522" s="3">
        <f>IF(J522&lt;0, 1, 0)</f>
        <v/>
      </c>
      <c r="P522" s="3">
        <f>SUM($J$3:J522)</f>
        <v/>
      </c>
      <c r="Q522" s="3">
        <f>P522/METRICS!$C$14*100</f>
        <v/>
      </c>
      <c r="R522" s="3">
        <f>METRICS!$C$14+P522</f>
        <v/>
      </c>
      <c r="S522" s="3">
        <f>MAX($R$3:R522)</f>
        <v/>
      </c>
      <c r="T522" s="3">
        <f>R522-S522</f>
        <v/>
      </c>
      <c r="U522" s="3">
        <f>(R522-S522)/S522*100</f>
        <v/>
      </c>
      <c r="V522" s="3">
        <f>IF(K522&lt;0, (K522/100)^2, 0)</f>
        <v/>
      </c>
    </row>
    <row r="523">
      <c r="A523" s="3">
        <f>TEXT(521, """T""0000")</f>
        <v/>
      </c>
      <c r="B523" s="3">
        <f>RAW_INPUT!A523</f>
        <v/>
      </c>
      <c r="C523" s="3">
        <f>RAW_INPUT!B523</f>
        <v/>
      </c>
      <c r="D523" s="3">
        <f>RAW_INPUT!D523</f>
        <v/>
      </c>
      <c r="E523" s="3">
        <f>D523-C523</f>
        <v/>
      </c>
      <c r="F523" s="3">
        <f>RAW_INPUT!C523</f>
        <v/>
      </c>
      <c r="G523" s="3">
        <f>RAW_INPUT!E523</f>
        <v/>
      </c>
      <c r="H523" s="3">
        <f>I523/F523</f>
        <v/>
      </c>
      <c r="I523" s="3">
        <f>METRICS!$C$14 * 0.02</f>
        <v/>
      </c>
      <c r="J523" s="3">
        <f>(G523-F523)*H523</f>
        <v/>
      </c>
      <c r="K523" s="3">
        <f>(G523-F523)/F523*100</f>
        <v/>
      </c>
      <c r="L523" s="3">
        <f>RAW_INPUT!F523</f>
        <v/>
      </c>
      <c r="M523" s="3">
        <f>K523-L523</f>
        <v/>
      </c>
      <c r="N523" s="3">
        <f>IF(J523&gt;0, 1, 0)</f>
        <v/>
      </c>
      <c r="O523" s="3">
        <f>IF(J523&lt;0, 1, 0)</f>
        <v/>
      </c>
      <c r="P523" s="3">
        <f>SUM($J$3:J523)</f>
        <v/>
      </c>
      <c r="Q523" s="3">
        <f>P523/METRICS!$C$14*100</f>
        <v/>
      </c>
      <c r="R523" s="3">
        <f>METRICS!$C$14+P523</f>
        <v/>
      </c>
      <c r="S523" s="3">
        <f>MAX($R$3:R523)</f>
        <v/>
      </c>
      <c r="T523" s="3">
        <f>R523-S523</f>
        <v/>
      </c>
      <c r="U523" s="3">
        <f>(R523-S523)/S523*100</f>
        <v/>
      </c>
      <c r="V523" s="3">
        <f>IF(K523&lt;0, (K523/100)^2, 0)</f>
        <v/>
      </c>
    </row>
    <row r="524">
      <c r="A524" s="3">
        <f>TEXT(522, """T""0000")</f>
        <v/>
      </c>
      <c r="B524" s="3">
        <f>RAW_INPUT!A524</f>
        <v/>
      </c>
      <c r="C524" s="3">
        <f>RAW_INPUT!B524</f>
        <v/>
      </c>
      <c r="D524" s="3">
        <f>RAW_INPUT!D524</f>
        <v/>
      </c>
      <c r="E524" s="3">
        <f>D524-C524</f>
        <v/>
      </c>
      <c r="F524" s="3">
        <f>RAW_INPUT!C524</f>
        <v/>
      </c>
      <c r="G524" s="3">
        <f>RAW_INPUT!E524</f>
        <v/>
      </c>
      <c r="H524" s="3">
        <f>I524/F524</f>
        <v/>
      </c>
      <c r="I524" s="3">
        <f>METRICS!$C$14 * 0.02</f>
        <v/>
      </c>
      <c r="J524" s="3">
        <f>(G524-F524)*H524</f>
        <v/>
      </c>
      <c r="K524" s="3">
        <f>(G524-F524)/F524*100</f>
        <v/>
      </c>
      <c r="L524" s="3">
        <f>RAW_INPUT!F524</f>
        <v/>
      </c>
      <c r="M524" s="3">
        <f>K524-L524</f>
        <v/>
      </c>
      <c r="N524" s="3">
        <f>IF(J524&gt;0, 1, 0)</f>
        <v/>
      </c>
      <c r="O524" s="3">
        <f>IF(J524&lt;0, 1, 0)</f>
        <v/>
      </c>
      <c r="P524" s="3">
        <f>SUM($J$3:J524)</f>
        <v/>
      </c>
      <c r="Q524" s="3">
        <f>P524/METRICS!$C$14*100</f>
        <v/>
      </c>
      <c r="R524" s="3">
        <f>METRICS!$C$14+P524</f>
        <v/>
      </c>
      <c r="S524" s="3">
        <f>MAX($R$3:R524)</f>
        <v/>
      </c>
      <c r="T524" s="3">
        <f>R524-S524</f>
        <v/>
      </c>
      <c r="U524" s="3">
        <f>(R524-S524)/S524*100</f>
        <v/>
      </c>
      <c r="V524" s="3">
        <f>IF(K524&lt;0, (K524/100)^2, 0)</f>
        <v/>
      </c>
    </row>
    <row r="525">
      <c r="A525" s="3">
        <f>TEXT(523, """T""0000")</f>
        <v/>
      </c>
      <c r="B525" s="3">
        <f>RAW_INPUT!A525</f>
        <v/>
      </c>
      <c r="C525" s="3">
        <f>RAW_INPUT!B525</f>
        <v/>
      </c>
      <c r="D525" s="3">
        <f>RAW_INPUT!D525</f>
        <v/>
      </c>
      <c r="E525" s="3">
        <f>D525-C525</f>
        <v/>
      </c>
      <c r="F525" s="3">
        <f>RAW_INPUT!C525</f>
        <v/>
      </c>
      <c r="G525" s="3">
        <f>RAW_INPUT!E525</f>
        <v/>
      </c>
      <c r="H525" s="3">
        <f>I525/F525</f>
        <v/>
      </c>
      <c r="I525" s="3">
        <f>METRICS!$C$14 * 0.02</f>
        <v/>
      </c>
      <c r="J525" s="3">
        <f>(G525-F525)*H525</f>
        <v/>
      </c>
      <c r="K525" s="3">
        <f>(G525-F525)/F525*100</f>
        <v/>
      </c>
      <c r="L525" s="3">
        <f>RAW_INPUT!F525</f>
        <v/>
      </c>
      <c r="M525" s="3">
        <f>K525-L525</f>
        <v/>
      </c>
      <c r="N525" s="3">
        <f>IF(J525&gt;0, 1, 0)</f>
        <v/>
      </c>
      <c r="O525" s="3">
        <f>IF(J525&lt;0, 1, 0)</f>
        <v/>
      </c>
      <c r="P525" s="3">
        <f>SUM($J$3:J525)</f>
        <v/>
      </c>
      <c r="Q525" s="3">
        <f>P525/METRICS!$C$14*100</f>
        <v/>
      </c>
      <c r="R525" s="3">
        <f>METRICS!$C$14+P525</f>
        <v/>
      </c>
      <c r="S525" s="3">
        <f>MAX($R$3:R525)</f>
        <v/>
      </c>
      <c r="T525" s="3">
        <f>R525-S525</f>
        <v/>
      </c>
      <c r="U525" s="3">
        <f>(R525-S525)/S525*100</f>
        <v/>
      </c>
      <c r="V525" s="3">
        <f>IF(K525&lt;0, (K525/100)^2, 0)</f>
        <v/>
      </c>
    </row>
    <row r="526">
      <c r="A526" s="3">
        <f>TEXT(524, """T""0000")</f>
        <v/>
      </c>
      <c r="B526" s="3">
        <f>RAW_INPUT!A526</f>
        <v/>
      </c>
      <c r="C526" s="3">
        <f>RAW_INPUT!B526</f>
        <v/>
      </c>
      <c r="D526" s="3">
        <f>RAW_INPUT!D526</f>
        <v/>
      </c>
      <c r="E526" s="3">
        <f>D526-C526</f>
        <v/>
      </c>
      <c r="F526" s="3">
        <f>RAW_INPUT!C526</f>
        <v/>
      </c>
      <c r="G526" s="3">
        <f>RAW_INPUT!E526</f>
        <v/>
      </c>
      <c r="H526" s="3">
        <f>I526/F526</f>
        <v/>
      </c>
      <c r="I526" s="3">
        <f>METRICS!$C$14 * 0.02</f>
        <v/>
      </c>
      <c r="J526" s="3">
        <f>(G526-F526)*H526</f>
        <v/>
      </c>
      <c r="K526" s="3">
        <f>(G526-F526)/F526*100</f>
        <v/>
      </c>
      <c r="L526" s="3">
        <f>RAW_INPUT!F526</f>
        <v/>
      </c>
      <c r="M526" s="3">
        <f>K526-L526</f>
        <v/>
      </c>
      <c r="N526" s="3">
        <f>IF(J526&gt;0, 1, 0)</f>
        <v/>
      </c>
      <c r="O526" s="3">
        <f>IF(J526&lt;0, 1, 0)</f>
        <v/>
      </c>
      <c r="P526" s="3">
        <f>SUM($J$3:J526)</f>
        <v/>
      </c>
      <c r="Q526" s="3">
        <f>P526/METRICS!$C$14*100</f>
        <v/>
      </c>
      <c r="R526" s="3">
        <f>METRICS!$C$14+P526</f>
        <v/>
      </c>
      <c r="S526" s="3">
        <f>MAX($R$3:R526)</f>
        <v/>
      </c>
      <c r="T526" s="3">
        <f>R526-S526</f>
        <v/>
      </c>
      <c r="U526" s="3">
        <f>(R526-S526)/S526*100</f>
        <v/>
      </c>
      <c r="V526" s="3">
        <f>IF(K526&lt;0, (K526/100)^2, 0)</f>
        <v/>
      </c>
    </row>
    <row r="527">
      <c r="A527" s="3">
        <f>TEXT(525, """T""0000")</f>
        <v/>
      </c>
      <c r="B527" s="3">
        <f>RAW_INPUT!A527</f>
        <v/>
      </c>
      <c r="C527" s="3">
        <f>RAW_INPUT!B527</f>
        <v/>
      </c>
      <c r="D527" s="3">
        <f>RAW_INPUT!D527</f>
        <v/>
      </c>
      <c r="E527" s="3">
        <f>D527-C527</f>
        <v/>
      </c>
      <c r="F527" s="3">
        <f>RAW_INPUT!C527</f>
        <v/>
      </c>
      <c r="G527" s="3">
        <f>RAW_INPUT!E527</f>
        <v/>
      </c>
      <c r="H527" s="3">
        <f>I527/F527</f>
        <v/>
      </c>
      <c r="I527" s="3">
        <f>METRICS!$C$14 * 0.02</f>
        <v/>
      </c>
      <c r="J527" s="3">
        <f>(G527-F527)*H527</f>
        <v/>
      </c>
      <c r="K527" s="3">
        <f>(G527-F527)/F527*100</f>
        <v/>
      </c>
      <c r="L527" s="3">
        <f>RAW_INPUT!F527</f>
        <v/>
      </c>
      <c r="M527" s="3">
        <f>K527-L527</f>
        <v/>
      </c>
      <c r="N527" s="3">
        <f>IF(J527&gt;0, 1, 0)</f>
        <v/>
      </c>
      <c r="O527" s="3">
        <f>IF(J527&lt;0, 1, 0)</f>
        <v/>
      </c>
      <c r="P527" s="3">
        <f>SUM($J$3:J527)</f>
        <v/>
      </c>
      <c r="Q527" s="3">
        <f>P527/METRICS!$C$14*100</f>
        <v/>
      </c>
      <c r="R527" s="3">
        <f>METRICS!$C$14+P527</f>
        <v/>
      </c>
      <c r="S527" s="3">
        <f>MAX($R$3:R527)</f>
        <v/>
      </c>
      <c r="T527" s="3">
        <f>R527-S527</f>
        <v/>
      </c>
      <c r="U527" s="3">
        <f>(R527-S527)/S527*100</f>
        <v/>
      </c>
      <c r="V527" s="3">
        <f>IF(K527&lt;0, (K527/100)^2, 0)</f>
        <v/>
      </c>
    </row>
    <row r="528">
      <c r="A528" s="3">
        <f>TEXT(526, """T""0000")</f>
        <v/>
      </c>
      <c r="B528" s="3">
        <f>RAW_INPUT!A528</f>
        <v/>
      </c>
      <c r="C528" s="3">
        <f>RAW_INPUT!B528</f>
        <v/>
      </c>
      <c r="D528" s="3">
        <f>RAW_INPUT!D528</f>
        <v/>
      </c>
      <c r="E528" s="3">
        <f>D528-C528</f>
        <v/>
      </c>
      <c r="F528" s="3">
        <f>RAW_INPUT!C528</f>
        <v/>
      </c>
      <c r="G528" s="3">
        <f>RAW_INPUT!E528</f>
        <v/>
      </c>
      <c r="H528" s="3">
        <f>I528/F528</f>
        <v/>
      </c>
      <c r="I528" s="3">
        <f>METRICS!$C$14 * 0.02</f>
        <v/>
      </c>
      <c r="J528" s="3">
        <f>(G528-F528)*H528</f>
        <v/>
      </c>
      <c r="K528" s="3">
        <f>(G528-F528)/F528*100</f>
        <v/>
      </c>
      <c r="L528" s="3">
        <f>RAW_INPUT!F528</f>
        <v/>
      </c>
      <c r="M528" s="3">
        <f>K528-L528</f>
        <v/>
      </c>
      <c r="N528" s="3">
        <f>IF(J528&gt;0, 1, 0)</f>
        <v/>
      </c>
      <c r="O528" s="3">
        <f>IF(J528&lt;0, 1, 0)</f>
        <v/>
      </c>
      <c r="P528" s="3">
        <f>SUM($J$3:J528)</f>
        <v/>
      </c>
      <c r="Q528" s="3">
        <f>P528/METRICS!$C$14*100</f>
        <v/>
      </c>
      <c r="R528" s="3">
        <f>METRICS!$C$14+P528</f>
        <v/>
      </c>
      <c r="S528" s="3">
        <f>MAX($R$3:R528)</f>
        <v/>
      </c>
      <c r="T528" s="3">
        <f>R528-S528</f>
        <v/>
      </c>
      <c r="U528" s="3">
        <f>(R528-S528)/S528*100</f>
        <v/>
      </c>
      <c r="V528" s="3">
        <f>IF(K528&lt;0, (K528/100)^2, 0)</f>
        <v/>
      </c>
    </row>
    <row r="529">
      <c r="A529" s="3">
        <f>TEXT(527, """T""0000")</f>
        <v/>
      </c>
      <c r="B529" s="3">
        <f>RAW_INPUT!A529</f>
        <v/>
      </c>
      <c r="C529" s="3">
        <f>RAW_INPUT!B529</f>
        <v/>
      </c>
      <c r="D529" s="3">
        <f>RAW_INPUT!D529</f>
        <v/>
      </c>
      <c r="E529" s="3">
        <f>D529-C529</f>
        <v/>
      </c>
      <c r="F529" s="3">
        <f>RAW_INPUT!C529</f>
        <v/>
      </c>
      <c r="G529" s="3">
        <f>RAW_INPUT!E529</f>
        <v/>
      </c>
      <c r="H529" s="3">
        <f>I529/F529</f>
        <v/>
      </c>
      <c r="I529" s="3">
        <f>METRICS!$C$14 * 0.02</f>
        <v/>
      </c>
      <c r="J529" s="3">
        <f>(G529-F529)*H529</f>
        <v/>
      </c>
      <c r="K529" s="3">
        <f>(G529-F529)/F529*100</f>
        <v/>
      </c>
      <c r="L529" s="3">
        <f>RAW_INPUT!F529</f>
        <v/>
      </c>
      <c r="M529" s="3">
        <f>K529-L529</f>
        <v/>
      </c>
      <c r="N529" s="3">
        <f>IF(J529&gt;0, 1, 0)</f>
        <v/>
      </c>
      <c r="O529" s="3">
        <f>IF(J529&lt;0, 1, 0)</f>
        <v/>
      </c>
      <c r="P529" s="3">
        <f>SUM($J$3:J529)</f>
        <v/>
      </c>
      <c r="Q529" s="3">
        <f>P529/METRICS!$C$14*100</f>
        <v/>
      </c>
      <c r="R529" s="3">
        <f>METRICS!$C$14+P529</f>
        <v/>
      </c>
      <c r="S529" s="3">
        <f>MAX($R$3:R529)</f>
        <v/>
      </c>
      <c r="T529" s="3">
        <f>R529-S529</f>
        <v/>
      </c>
      <c r="U529" s="3">
        <f>(R529-S529)/S529*100</f>
        <v/>
      </c>
      <c r="V529" s="3">
        <f>IF(K529&lt;0, (K529/100)^2, 0)</f>
        <v/>
      </c>
    </row>
    <row r="530">
      <c r="A530" s="3">
        <f>TEXT(528, """T""0000")</f>
        <v/>
      </c>
      <c r="B530" s="3">
        <f>RAW_INPUT!A530</f>
        <v/>
      </c>
      <c r="C530" s="3">
        <f>RAW_INPUT!B530</f>
        <v/>
      </c>
      <c r="D530" s="3">
        <f>RAW_INPUT!D530</f>
        <v/>
      </c>
      <c r="E530" s="3">
        <f>D530-C530</f>
        <v/>
      </c>
      <c r="F530" s="3">
        <f>RAW_INPUT!C530</f>
        <v/>
      </c>
      <c r="G530" s="3">
        <f>RAW_INPUT!E530</f>
        <v/>
      </c>
      <c r="H530" s="3">
        <f>I530/F530</f>
        <v/>
      </c>
      <c r="I530" s="3">
        <f>METRICS!$C$14 * 0.02</f>
        <v/>
      </c>
      <c r="J530" s="3">
        <f>(G530-F530)*H530</f>
        <v/>
      </c>
      <c r="K530" s="3">
        <f>(G530-F530)/F530*100</f>
        <v/>
      </c>
      <c r="L530" s="3">
        <f>RAW_INPUT!F530</f>
        <v/>
      </c>
      <c r="M530" s="3">
        <f>K530-L530</f>
        <v/>
      </c>
      <c r="N530" s="3">
        <f>IF(J530&gt;0, 1, 0)</f>
        <v/>
      </c>
      <c r="O530" s="3">
        <f>IF(J530&lt;0, 1, 0)</f>
        <v/>
      </c>
      <c r="P530" s="3">
        <f>SUM($J$3:J530)</f>
        <v/>
      </c>
      <c r="Q530" s="3">
        <f>P530/METRICS!$C$14*100</f>
        <v/>
      </c>
      <c r="R530" s="3">
        <f>METRICS!$C$14+P530</f>
        <v/>
      </c>
      <c r="S530" s="3">
        <f>MAX($R$3:R530)</f>
        <v/>
      </c>
      <c r="T530" s="3">
        <f>R530-S530</f>
        <v/>
      </c>
      <c r="U530" s="3">
        <f>(R530-S530)/S530*100</f>
        <v/>
      </c>
      <c r="V530" s="3">
        <f>IF(K530&lt;0, (K530/100)^2, 0)</f>
        <v/>
      </c>
    </row>
    <row r="531">
      <c r="A531" s="3">
        <f>TEXT(529, """T""0000")</f>
        <v/>
      </c>
      <c r="B531" s="3">
        <f>RAW_INPUT!A531</f>
        <v/>
      </c>
      <c r="C531" s="3">
        <f>RAW_INPUT!B531</f>
        <v/>
      </c>
      <c r="D531" s="3">
        <f>RAW_INPUT!D531</f>
        <v/>
      </c>
      <c r="E531" s="3">
        <f>D531-C531</f>
        <v/>
      </c>
      <c r="F531" s="3">
        <f>RAW_INPUT!C531</f>
        <v/>
      </c>
      <c r="G531" s="3">
        <f>RAW_INPUT!E531</f>
        <v/>
      </c>
      <c r="H531" s="3">
        <f>I531/F531</f>
        <v/>
      </c>
      <c r="I531" s="3">
        <f>METRICS!$C$14 * 0.02</f>
        <v/>
      </c>
      <c r="J531" s="3">
        <f>(G531-F531)*H531</f>
        <v/>
      </c>
      <c r="K531" s="3">
        <f>(G531-F531)/F531*100</f>
        <v/>
      </c>
      <c r="L531" s="3">
        <f>RAW_INPUT!F531</f>
        <v/>
      </c>
      <c r="M531" s="3">
        <f>K531-L531</f>
        <v/>
      </c>
      <c r="N531" s="3">
        <f>IF(J531&gt;0, 1, 0)</f>
        <v/>
      </c>
      <c r="O531" s="3">
        <f>IF(J531&lt;0, 1, 0)</f>
        <v/>
      </c>
      <c r="P531" s="3">
        <f>SUM($J$3:J531)</f>
        <v/>
      </c>
      <c r="Q531" s="3">
        <f>P531/METRICS!$C$14*100</f>
        <v/>
      </c>
      <c r="R531" s="3">
        <f>METRICS!$C$14+P531</f>
        <v/>
      </c>
      <c r="S531" s="3">
        <f>MAX($R$3:R531)</f>
        <v/>
      </c>
      <c r="T531" s="3">
        <f>R531-S531</f>
        <v/>
      </c>
      <c r="U531" s="3">
        <f>(R531-S531)/S531*100</f>
        <v/>
      </c>
      <c r="V531" s="3">
        <f>IF(K531&lt;0, (K531/100)^2, 0)</f>
        <v/>
      </c>
    </row>
    <row r="532">
      <c r="A532" s="3">
        <f>TEXT(530, """T""0000")</f>
        <v/>
      </c>
      <c r="B532" s="3">
        <f>RAW_INPUT!A532</f>
        <v/>
      </c>
      <c r="C532" s="3">
        <f>RAW_INPUT!B532</f>
        <v/>
      </c>
      <c r="D532" s="3">
        <f>RAW_INPUT!D532</f>
        <v/>
      </c>
      <c r="E532" s="3">
        <f>D532-C532</f>
        <v/>
      </c>
      <c r="F532" s="3">
        <f>RAW_INPUT!C532</f>
        <v/>
      </c>
      <c r="G532" s="3">
        <f>RAW_INPUT!E532</f>
        <v/>
      </c>
      <c r="H532" s="3">
        <f>I532/F532</f>
        <v/>
      </c>
      <c r="I532" s="3">
        <f>METRICS!$C$14 * 0.02</f>
        <v/>
      </c>
      <c r="J532" s="3">
        <f>(G532-F532)*H532</f>
        <v/>
      </c>
      <c r="K532" s="3">
        <f>(G532-F532)/F532*100</f>
        <v/>
      </c>
      <c r="L532" s="3">
        <f>RAW_INPUT!F532</f>
        <v/>
      </c>
      <c r="M532" s="3">
        <f>K532-L532</f>
        <v/>
      </c>
      <c r="N532" s="3">
        <f>IF(J532&gt;0, 1, 0)</f>
        <v/>
      </c>
      <c r="O532" s="3">
        <f>IF(J532&lt;0, 1, 0)</f>
        <v/>
      </c>
      <c r="P532" s="3">
        <f>SUM($J$3:J532)</f>
        <v/>
      </c>
      <c r="Q532" s="3">
        <f>P532/METRICS!$C$14*100</f>
        <v/>
      </c>
      <c r="R532" s="3">
        <f>METRICS!$C$14+P532</f>
        <v/>
      </c>
      <c r="S532" s="3">
        <f>MAX($R$3:R532)</f>
        <v/>
      </c>
      <c r="T532" s="3">
        <f>R532-S532</f>
        <v/>
      </c>
      <c r="U532" s="3">
        <f>(R532-S532)/S532*100</f>
        <v/>
      </c>
      <c r="V532" s="3">
        <f>IF(K532&lt;0, (K532/100)^2, 0)</f>
        <v/>
      </c>
    </row>
    <row r="533">
      <c r="A533" s="3">
        <f>TEXT(531, """T""0000")</f>
        <v/>
      </c>
      <c r="B533" s="3">
        <f>RAW_INPUT!A533</f>
        <v/>
      </c>
      <c r="C533" s="3">
        <f>RAW_INPUT!B533</f>
        <v/>
      </c>
      <c r="D533" s="3">
        <f>RAW_INPUT!D533</f>
        <v/>
      </c>
      <c r="E533" s="3">
        <f>D533-C533</f>
        <v/>
      </c>
      <c r="F533" s="3">
        <f>RAW_INPUT!C533</f>
        <v/>
      </c>
      <c r="G533" s="3">
        <f>RAW_INPUT!E533</f>
        <v/>
      </c>
      <c r="H533" s="3">
        <f>I533/F533</f>
        <v/>
      </c>
      <c r="I533" s="3">
        <f>METRICS!$C$14 * 0.02</f>
        <v/>
      </c>
      <c r="J533" s="3">
        <f>(G533-F533)*H533</f>
        <v/>
      </c>
      <c r="K533" s="3">
        <f>(G533-F533)/F533*100</f>
        <v/>
      </c>
      <c r="L533" s="3">
        <f>RAW_INPUT!F533</f>
        <v/>
      </c>
      <c r="M533" s="3">
        <f>K533-L533</f>
        <v/>
      </c>
      <c r="N533" s="3">
        <f>IF(J533&gt;0, 1, 0)</f>
        <v/>
      </c>
      <c r="O533" s="3">
        <f>IF(J533&lt;0, 1, 0)</f>
        <v/>
      </c>
      <c r="P533" s="3">
        <f>SUM($J$3:J533)</f>
        <v/>
      </c>
      <c r="Q533" s="3">
        <f>P533/METRICS!$C$14*100</f>
        <v/>
      </c>
      <c r="R533" s="3">
        <f>METRICS!$C$14+P533</f>
        <v/>
      </c>
      <c r="S533" s="3">
        <f>MAX($R$3:R533)</f>
        <v/>
      </c>
      <c r="T533" s="3">
        <f>R533-S533</f>
        <v/>
      </c>
      <c r="U533" s="3">
        <f>(R533-S533)/S533*100</f>
        <v/>
      </c>
      <c r="V533" s="3">
        <f>IF(K533&lt;0, (K533/100)^2, 0)</f>
        <v/>
      </c>
    </row>
    <row r="534">
      <c r="A534" s="3">
        <f>TEXT(532, """T""0000")</f>
        <v/>
      </c>
      <c r="B534" s="3">
        <f>RAW_INPUT!A534</f>
        <v/>
      </c>
      <c r="C534" s="3">
        <f>RAW_INPUT!B534</f>
        <v/>
      </c>
      <c r="D534" s="3">
        <f>RAW_INPUT!D534</f>
        <v/>
      </c>
      <c r="E534" s="3">
        <f>D534-C534</f>
        <v/>
      </c>
      <c r="F534" s="3">
        <f>RAW_INPUT!C534</f>
        <v/>
      </c>
      <c r="G534" s="3">
        <f>RAW_INPUT!E534</f>
        <v/>
      </c>
      <c r="H534" s="3">
        <f>I534/F534</f>
        <v/>
      </c>
      <c r="I534" s="3">
        <f>METRICS!$C$14 * 0.02</f>
        <v/>
      </c>
      <c r="J534" s="3">
        <f>(G534-F534)*H534</f>
        <v/>
      </c>
      <c r="K534" s="3">
        <f>(G534-F534)/F534*100</f>
        <v/>
      </c>
      <c r="L534" s="3">
        <f>RAW_INPUT!F534</f>
        <v/>
      </c>
      <c r="M534" s="3">
        <f>K534-L534</f>
        <v/>
      </c>
      <c r="N534" s="3">
        <f>IF(J534&gt;0, 1, 0)</f>
        <v/>
      </c>
      <c r="O534" s="3">
        <f>IF(J534&lt;0, 1, 0)</f>
        <v/>
      </c>
      <c r="P534" s="3">
        <f>SUM($J$3:J534)</f>
        <v/>
      </c>
      <c r="Q534" s="3">
        <f>P534/METRICS!$C$14*100</f>
        <v/>
      </c>
      <c r="R534" s="3">
        <f>METRICS!$C$14+P534</f>
        <v/>
      </c>
      <c r="S534" s="3">
        <f>MAX($R$3:R534)</f>
        <v/>
      </c>
      <c r="T534" s="3">
        <f>R534-S534</f>
        <v/>
      </c>
      <c r="U534" s="3">
        <f>(R534-S534)/S534*100</f>
        <v/>
      </c>
      <c r="V534" s="3">
        <f>IF(K534&lt;0, (K534/100)^2, 0)</f>
        <v/>
      </c>
    </row>
    <row r="535">
      <c r="A535" s="3">
        <f>TEXT(533, """T""0000")</f>
        <v/>
      </c>
      <c r="B535" s="3">
        <f>RAW_INPUT!A535</f>
        <v/>
      </c>
      <c r="C535" s="3">
        <f>RAW_INPUT!B535</f>
        <v/>
      </c>
      <c r="D535" s="3">
        <f>RAW_INPUT!D535</f>
        <v/>
      </c>
      <c r="E535" s="3">
        <f>D535-C535</f>
        <v/>
      </c>
      <c r="F535" s="3">
        <f>RAW_INPUT!C535</f>
        <v/>
      </c>
      <c r="G535" s="3">
        <f>RAW_INPUT!E535</f>
        <v/>
      </c>
      <c r="H535" s="3">
        <f>I535/F535</f>
        <v/>
      </c>
      <c r="I535" s="3">
        <f>METRICS!$C$14 * 0.02</f>
        <v/>
      </c>
      <c r="J535" s="3">
        <f>(G535-F535)*H535</f>
        <v/>
      </c>
      <c r="K535" s="3">
        <f>(G535-F535)/F535*100</f>
        <v/>
      </c>
      <c r="L535" s="3">
        <f>RAW_INPUT!F535</f>
        <v/>
      </c>
      <c r="M535" s="3">
        <f>K535-L535</f>
        <v/>
      </c>
      <c r="N535" s="3">
        <f>IF(J535&gt;0, 1, 0)</f>
        <v/>
      </c>
      <c r="O535" s="3">
        <f>IF(J535&lt;0, 1, 0)</f>
        <v/>
      </c>
      <c r="P535" s="3">
        <f>SUM($J$3:J535)</f>
        <v/>
      </c>
      <c r="Q535" s="3">
        <f>P535/METRICS!$C$14*100</f>
        <v/>
      </c>
      <c r="R535" s="3">
        <f>METRICS!$C$14+P535</f>
        <v/>
      </c>
      <c r="S535" s="3">
        <f>MAX($R$3:R535)</f>
        <v/>
      </c>
      <c r="T535" s="3">
        <f>R535-S535</f>
        <v/>
      </c>
      <c r="U535" s="3">
        <f>(R535-S535)/S535*100</f>
        <v/>
      </c>
      <c r="V535" s="3">
        <f>IF(K535&lt;0, (K535/100)^2, 0)</f>
        <v/>
      </c>
    </row>
    <row r="536">
      <c r="A536" s="3">
        <f>TEXT(534, """T""0000")</f>
        <v/>
      </c>
      <c r="B536" s="3">
        <f>RAW_INPUT!A536</f>
        <v/>
      </c>
      <c r="C536" s="3">
        <f>RAW_INPUT!B536</f>
        <v/>
      </c>
      <c r="D536" s="3">
        <f>RAW_INPUT!D536</f>
        <v/>
      </c>
      <c r="E536" s="3">
        <f>D536-C536</f>
        <v/>
      </c>
      <c r="F536" s="3">
        <f>RAW_INPUT!C536</f>
        <v/>
      </c>
      <c r="G536" s="3">
        <f>RAW_INPUT!E536</f>
        <v/>
      </c>
      <c r="H536" s="3">
        <f>I536/F536</f>
        <v/>
      </c>
      <c r="I536" s="3">
        <f>METRICS!$C$14 * 0.02</f>
        <v/>
      </c>
      <c r="J536" s="3">
        <f>(G536-F536)*H536</f>
        <v/>
      </c>
      <c r="K536" s="3">
        <f>(G536-F536)/F536*100</f>
        <v/>
      </c>
      <c r="L536" s="3">
        <f>RAW_INPUT!F536</f>
        <v/>
      </c>
      <c r="M536" s="3">
        <f>K536-L536</f>
        <v/>
      </c>
      <c r="N536" s="3">
        <f>IF(J536&gt;0, 1, 0)</f>
        <v/>
      </c>
      <c r="O536" s="3">
        <f>IF(J536&lt;0, 1, 0)</f>
        <v/>
      </c>
      <c r="P536" s="3">
        <f>SUM($J$3:J536)</f>
        <v/>
      </c>
      <c r="Q536" s="3">
        <f>P536/METRICS!$C$14*100</f>
        <v/>
      </c>
      <c r="R536" s="3">
        <f>METRICS!$C$14+P536</f>
        <v/>
      </c>
      <c r="S536" s="3">
        <f>MAX($R$3:R536)</f>
        <v/>
      </c>
      <c r="T536" s="3">
        <f>R536-S536</f>
        <v/>
      </c>
      <c r="U536" s="3">
        <f>(R536-S536)/S536*100</f>
        <v/>
      </c>
      <c r="V536" s="3">
        <f>IF(K536&lt;0, (K536/100)^2, 0)</f>
        <v/>
      </c>
    </row>
    <row r="537">
      <c r="A537" s="3">
        <f>TEXT(535, """T""0000")</f>
        <v/>
      </c>
      <c r="B537" s="3">
        <f>RAW_INPUT!A537</f>
        <v/>
      </c>
      <c r="C537" s="3">
        <f>RAW_INPUT!B537</f>
        <v/>
      </c>
      <c r="D537" s="3">
        <f>RAW_INPUT!D537</f>
        <v/>
      </c>
      <c r="E537" s="3">
        <f>D537-C537</f>
        <v/>
      </c>
      <c r="F537" s="3">
        <f>RAW_INPUT!C537</f>
        <v/>
      </c>
      <c r="G537" s="3">
        <f>RAW_INPUT!E537</f>
        <v/>
      </c>
      <c r="H537" s="3">
        <f>I537/F537</f>
        <v/>
      </c>
      <c r="I537" s="3">
        <f>METRICS!$C$14 * 0.02</f>
        <v/>
      </c>
      <c r="J537" s="3">
        <f>(G537-F537)*H537</f>
        <v/>
      </c>
      <c r="K537" s="3">
        <f>(G537-F537)/F537*100</f>
        <v/>
      </c>
      <c r="L537" s="3">
        <f>RAW_INPUT!F537</f>
        <v/>
      </c>
      <c r="M537" s="3">
        <f>K537-L537</f>
        <v/>
      </c>
      <c r="N537" s="3">
        <f>IF(J537&gt;0, 1, 0)</f>
        <v/>
      </c>
      <c r="O537" s="3">
        <f>IF(J537&lt;0, 1, 0)</f>
        <v/>
      </c>
      <c r="P537" s="3">
        <f>SUM($J$3:J537)</f>
        <v/>
      </c>
      <c r="Q537" s="3">
        <f>P537/METRICS!$C$14*100</f>
        <v/>
      </c>
      <c r="R537" s="3">
        <f>METRICS!$C$14+P537</f>
        <v/>
      </c>
      <c r="S537" s="3">
        <f>MAX($R$3:R537)</f>
        <v/>
      </c>
      <c r="T537" s="3">
        <f>R537-S537</f>
        <v/>
      </c>
      <c r="U537" s="3">
        <f>(R537-S537)/S537*100</f>
        <v/>
      </c>
      <c r="V537" s="3">
        <f>IF(K537&lt;0, (K537/100)^2, 0)</f>
        <v/>
      </c>
    </row>
    <row r="538">
      <c r="A538" s="3">
        <f>TEXT(536, """T""0000")</f>
        <v/>
      </c>
      <c r="B538" s="3">
        <f>RAW_INPUT!A538</f>
        <v/>
      </c>
      <c r="C538" s="3">
        <f>RAW_INPUT!B538</f>
        <v/>
      </c>
      <c r="D538" s="3">
        <f>RAW_INPUT!D538</f>
        <v/>
      </c>
      <c r="E538" s="3">
        <f>D538-C538</f>
        <v/>
      </c>
      <c r="F538" s="3">
        <f>RAW_INPUT!C538</f>
        <v/>
      </c>
      <c r="G538" s="3">
        <f>RAW_INPUT!E538</f>
        <v/>
      </c>
      <c r="H538" s="3">
        <f>I538/F538</f>
        <v/>
      </c>
      <c r="I538" s="3">
        <f>METRICS!$C$14 * 0.02</f>
        <v/>
      </c>
      <c r="J538" s="3">
        <f>(G538-F538)*H538</f>
        <v/>
      </c>
      <c r="K538" s="3">
        <f>(G538-F538)/F538*100</f>
        <v/>
      </c>
      <c r="L538" s="3">
        <f>RAW_INPUT!F538</f>
        <v/>
      </c>
      <c r="M538" s="3">
        <f>K538-L538</f>
        <v/>
      </c>
      <c r="N538" s="3">
        <f>IF(J538&gt;0, 1, 0)</f>
        <v/>
      </c>
      <c r="O538" s="3">
        <f>IF(J538&lt;0, 1, 0)</f>
        <v/>
      </c>
      <c r="P538" s="3">
        <f>SUM($J$3:J538)</f>
        <v/>
      </c>
      <c r="Q538" s="3">
        <f>P538/METRICS!$C$14*100</f>
        <v/>
      </c>
      <c r="R538" s="3">
        <f>METRICS!$C$14+P538</f>
        <v/>
      </c>
      <c r="S538" s="3">
        <f>MAX($R$3:R538)</f>
        <v/>
      </c>
      <c r="T538" s="3">
        <f>R538-S538</f>
        <v/>
      </c>
      <c r="U538" s="3">
        <f>(R538-S538)/S538*100</f>
        <v/>
      </c>
      <c r="V538" s="3">
        <f>IF(K538&lt;0, (K538/100)^2, 0)</f>
        <v/>
      </c>
    </row>
    <row r="539">
      <c r="A539" s="3">
        <f>TEXT(537, """T""0000")</f>
        <v/>
      </c>
      <c r="B539" s="3">
        <f>RAW_INPUT!A539</f>
        <v/>
      </c>
      <c r="C539" s="3">
        <f>RAW_INPUT!B539</f>
        <v/>
      </c>
      <c r="D539" s="3">
        <f>RAW_INPUT!D539</f>
        <v/>
      </c>
      <c r="E539" s="3">
        <f>D539-C539</f>
        <v/>
      </c>
      <c r="F539" s="3">
        <f>RAW_INPUT!C539</f>
        <v/>
      </c>
      <c r="G539" s="3">
        <f>RAW_INPUT!E539</f>
        <v/>
      </c>
      <c r="H539" s="3">
        <f>I539/F539</f>
        <v/>
      </c>
      <c r="I539" s="3">
        <f>METRICS!$C$14 * 0.02</f>
        <v/>
      </c>
      <c r="J539" s="3">
        <f>(G539-F539)*H539</f>
        <v/>
      </c>
      <c r="K539" s="3">
        <f>(G539-F539)/F539*100</f>
        <v/>
      </c>
      <c r="L539" s="3">
        <f>RAW_INPUT!F539</f>
        <v/>
      </c>
      <c r="M539" s="3">
        <f>K539-L539</f>
        <v/>
      </c>
      <c r="N539" s="3">
        <f>IF(J539&gt;0, 1, 0)</f>
        <v/>
      </c>
      <c r="O539" s="3">
        <f>IF(J539&lt;0, 1, 0)</f>
        <v/>
      </c>
      <c r="P539" s="3">
        <f>SUM($J$3:J539)</f>
        <v/>
      </c>
      <c r="Q539" s="3">
        <f>P539/METRICS!$C$14*100</f>
        <v/>
      </c>
      <c r="R539" s="3">
        <f>METRICS!$C$14+P539</f>
        <v/>
      </c>
      <c r="S539" s="3">
        <f>MAX($R$3:R539)</f>
        <v/>
      </c>
      <c r="T539" s="3">
        <f>R539-S539</f>
        <v/>
      </c>
      <c r="U539" s="3">
        <f>(R539-S539)/S539*100</f>
        <v/>
      </c>
      <c r="V539" s="3">
        <f>IF(K539&lt;0, (K539/100)^2, 0)</f>
        <v/>
      </c>
    </row>
    <row r="540">
      <c r="A540" s="3">
        <f>TEXT(538, """T""0000")</f>
        <v/>
      </c>
      <c r="B540" s="3">
        <f>RAW_INPUT!A540</f>
        <v/>
      </c>
      <c r="C540" s="3">
        <f>RAW_INPUT!B540</f>
        <v/>
      </c>
      <c r="D540" s="3">
        <f>RAW_INPUT!D540</f>
        <v/>
      </c>
      <c r="E540" s="3">
        <f>D540-C540</f>
        <v/>
      </c>
      <c r="F540" s="3">
        <f>RAW_INPUT!C540</f>
        <v/>
      </c>
      <c r="G540" s="3">
        <f>RAW_INPUT!E540</f>
        <v/>
      </c>
      <c r="H540" s="3">
        <f>I540/F540</f>
        <v/>
      </c>
      <c r="I540" s="3">
        <f>METRICS!$C$14 * 0.02</f>
        <v/>
      </c>
      <c r="J540" s="3">
        <f>(G540-F540)*H540</f>
        <v/>
      </c>
      <c r="K540" s="3">
        <f>(G540-F540)/F540*100</f>
        <v/>
      </c>
      <c r="L540" s="3">
        <f>RAW_INPUT!F540</f>
        <v/>
      </c>
      <c r="M540" s="3">
        <f>K540-L540</f>
        <v/>
      </c>
      <c r="N540" s="3">
        <f>IF(J540&gt;0, 1, 0)</f>
        <v/>
      </c>
      <c r="O540" s="3">
        <f>IF(J540&lt;0, 1, 0)</f>
        <v/>
      </c>
      <c r="P540" s="3">
        <f>SUM($J$3:J540)</f>
        <v/>
      </c>
      <c r="Q540" s="3">
        <f>P540/METRICS!$C$14*100</f>
        <v/>
      </c>
      <c r="R540" s="3">
        <f>METRICS!$C$14+P540</f>
        <v/>
      </c>
      <c r="S540" s="3">
        <f>MAX($R$3:R540)</f>
        <v/>
      </c>
      <c r="T540" s="3">
        <f>R540-S540</f>
        <v/>
      </c>
      <c r="U540" s="3">
        <f>(R540-S540)/S540*100</f>
        <v/>
      </c>
      <c r="V540" s="3">
        <f>IF(K540&lt;0, (K540/100)^2, 0)</f>
        <v/>
      </c>
    </row>
    <row r="541">
      <c r="A541" s="3">
        <f>TEXT(539, """T""0000")</f>
        <v/>
      </c>
      <c r="B541" s="3">
        <f>RAW_INPUT!A541</f>
        <v/>
      </c>
      <c r="C541" s="3">
        <f>RAW_INPUT!B541</f>
        <v/>
      </c>
      <c r="D541" s="3">
        <f>RAW_INPUT!D541</f>
        <v/>
      </c>
      <c r="E541" s="3">
        <f>D541-C541</f>
        <v/>
      </c>
      <c r="F541" s="3">
        <f>RAW_INPUT!C541</f>
        <v/>
      </c>
      <c r="G541" s="3">
        <f>RAW_INPUT!E541</f>
        <v/>
      </c>
      <c r="H541" s="3">
        <f>I541/F541</f>
        <v/>
      </c>
      <c r="I541" s="3">
        <f>METRICS!$C$14 * 0.02</f>
        <v/>
      </c>
      <c r="J541" s="3">
        <f>(G541-F541)*H541</f>
        <v/>
      </c>
      <c r="K541" s="3">
        <f>(G541-F541)/F541*100</f>
        <v/>
      </c>
      <c r="L541" s="3">
        <f>RAW_INPUT!F541</f>
        <v/>
      </c>
      <c r="M541" s="3">
        <f>K541-L541</f>
        <v/>
      </c>
      <c r="N541" s="3">
        <f>IF(J541&gt;0, 1, 0)</f>
        <v/>
      </c>
      <c r="O541" s="3">
        <f>IF(J541&lt;0, 1, 0)</f>
        <v/>
      </c>
      <c r="P541" s="3">
        <f>SUM($J$3:J541)</f>
        <v/>
      </c>
      <c r="Q541" s="3">
        <f>P541/METRICS!$C$14*100</f>
        <v/>
      </c>
      <c r="R541" s="3">
        <f>METRICS!$C$14+P541</f>
        <v/>
      </c>
      <c r="S541" s="3">
        <f>MAX($R$3:R541)</f>
        <v/>
      </c>
      <c r="T541" s="3">
        <f>R541-S541</f>
        <v/>
      </c>
      <c r="U541" s="3">
        <f>(R541-S541)/S541*100</f>
        <v/>
      </c>
      <c r="V541" s="3">
        <f>IF(K541&lt;0, (K541/100)^2, 0)</f>
        <v/>
      </c>
    </row>
    <row r="542">
      <c r="A542" s="3">
        <f>TEXT(540, """T""0000")</f>
        <v/>
      </c>
      <c r="B542" s="3">
        <f>RAW_INPUT!A542</f>
        <v/>
      </c>
      <c r="C542" s="3">
        <f>RAW_INPUT!B542</f>
        <v/>
      </c>
      <c r="D542" s="3">
        <f>RAW_INPUT!D542</f>
        <v/>
      </c>
      <c r="E542" s="3">
        <f>D542-C542</f>
        <v/>
      </c>
      <c r="F542" s="3">
        <f>RAW_INPUT!C542</f>
        <v/>
      </c>
      <c r="G542" s="3">
        <f>RAW_INPUT!E542</f>
        <v/>
      </c>
      <c r="H542" s="3">
        <f>I542/F542</f>
        <v/>
      </c>
      <c r="I542" s="3">
        <f>METRICS!$C$14 * 0.02</f>
        <v/>
      </c>
      <c r="J542" s="3">
        <f>(G542-F542)*H542</f>
        <v/>
      </c>
      <c r="K542" s="3">
        <f>(G542-F542)/F542*100</f>
        <v/>
      </c>
      <c r="L542" s="3">
        <f>RAW_INPUT!F542</f>
        <v/>
      </c>
      <c r="M542" s="3">
        <f>K542-L542</f>
        <v/>
      </c>
      <c r="N542" s="3">
        <f>IF(J542&gt;0, 1, 0)</f>
        <v/>
      </c>
      <c r="O542" s="3">
        <f>IF(J542&lt;0, 1, 0)</f>
        <v/>
      </c>
      <c r="P542" s="3">
        <f>SUM($J$3:J542)</f>
        <v/>
      </c>
      <c r="Q542" s="3">
        <f>P542/METRICS!$C$14*100</f>
        <v/>
      </c>
      <c r="R542" s="3">
        <f>METRICS!$C$14+P542</f>
        <v/>
      </c>
      <c r="S542" s="3">
        <f>MAX($R$3:R542)</f>
        <v/>
      </c>
      <c r="T542" s="3">
        <f>R542-S542</f>
        <v/>
      </c>
      <c r="U542" s="3">
        <f>(R542-S542)/S542*100</f>
        <v/>
      </c>
      <c r="V542" s="3">
        <f>IF(K542&lt;0, (K542/100)^2, 0)</f>
        <v/>
      </c>
    </row>
    <row r="543">
      <c r="A543" s="3">
        <f>TEXT(541, """T""0000")</f>
        <v/>
      </c>
      <c r="B543" s="3">
        <f>RAW_INPUT!A543</f>
        <v/>
      </c>
      <c r="C543" s="3">
        <f>RAW_INPUT!B543</f>
        <v/>
      </c>
      <c r="D543" s="3">
        <f>RAW_INPUT!D543</f>
        <v/>
      </c>
      <c r="E543" s="3">
        <f>D543-C543</f>
        <v/>
      </c>
      <c r="F543" s="3">
        <f>RAW_INPUT!C543</f>
        <v/>
      </c>
      <c r="G543" s="3">
        <f>RAW_INPUT!E543</f>
        <v/>
      </c>
      <c r="H543" s="3">
        <f>I543/F543</f>
        <v/>
      </c>
      <c r="I543" s="3">
        <f>METRICS!$C$14 * 0.02</f>
        <v/>
      </c>
      <c r="J543" s="3">
        <f>(G543-F543)*H543</f>
        <v/>
      </c>
      <c r="K543" s="3">
        <f>(G543-F543)/F543*100</f>
        <v/>
      </c>
      <c r="L543" s="3">
        <f>RAW_INPUT!F543</f>
        <v/>
      </c>
      <c r="M543" s="3">
        <f>K543-L543</f>
        <v/>
      </c>
      <c r="N543" s="3">
        <f>IF(J543&gt;0, 1, 0)</f>
        <v/>
      </c>
      <c r="O543" s="3">
        <f>IF(J543&lt;0, 1, 0)</f>
        <v/>
      </c>
      <c r="P543" s="3">
        <f>SUM($J$3:J543)</f>
        <v/>
      </c>
      <c r="Q543" s="3">
        <f>P543/METRICS!$C$14*100</f>
        <v/>
      </c>
      <c r="R543" s="3">
        <f>METRICS!$C$14+P543</f>
        <v/>
      </c>
      <c r="S543" s="3">
        <f>MAX($R$3:R543)</f>
        <v/>
      </c>
      <c r="T543" s="3">
        <f>R543-S543</f>
        <v/>
      </c>
      <c r="U543" s="3">
        <f>(R543-S543)/S543*100</f>
        <v/>
      </c>
      <c r="V543" s="3">
        <f>IF(K543&lt;0, (K543/100)^2, 0)</f>
        <v/>
      </c>
    </row>
    <row r="544">
      <c r="A544" s="3">
        <f>TEXT(542, """T""0000")</f>
        <v/>
      </c>
      <c r="B544" s="3">
        <f>RAW_INPUT!A544</f>
        <v/>
      </c>
      <c r="C544" s="3">
        <f>RAW_INPUT!B544</f>
        <v/>
      </c>
      <c r="D544" s="3">
        <f>RAW_INPUT!D544</f>
        <v/>
      </c>
      <c r="E544" s="3">
        <f>D544-C544</f>
        <v/>
      </c>
      <c r="F544" s="3">
        <f>RAW_INPUT!C544</f>
        <v/>
      </c>
      <c r="G544" s="3">
        <f>RAW_INPUT!E544</f>
        <v/>
      </c>
      <c r="H544" s="3">
        <f>I544/F544</f>
        <v/>
      </c>
      <c r="I544" s="3">
        <f>METRICS!$C$14 * 0.02</f>
        <v/>
      </c>
      <c r="J544" s="3">
        <f>(G544-F544)*H544</f>
        <v/>
      </c>
      <c r="K544" s="3">
        <f>(G544-F544)/F544*100</f>
        <v/>
      </c>
      <c r="L544" s="3">
        <f>RAW_INPUT!F544</f>
        <v/>
      </c>
      <c r="M544" s="3">
        <f>K544-L544</f>
        <v/>
      </c>
      <c r="N544" s="3">
        <f>IF(J544&gt;0, 1, 0)</f>
        <v/>
      </c>
      <c r="O544" s="3">
        <f>IF(J544&lt;0, 1, 0)</f>
        <v/>
      </c>
      <c r="P544" s="3">
        <f>SUM($J$3:J544)</f>
        <v/>
      </c>
      <c r="Q544" s="3">
        <f>P544/METRICS!$C$14*100</f>
        <v/>
      </c>
      <c r="R544" s="3">
        <f>METRICS!$C$14+P544</f>
        <v/>
      </c>
      <c r="S544" s="3">
        <f>MAX($R$3:R544)</f>
        <v/>
      </c>
      <c r="T544" s="3">
        <f>R544-S544</f>
        <v/>
      </c>
      <c r="U544" s="3">
        <f>(R544-S544)/S544*100</f>
        <v/>
      </c>
      <c r="V544" s="3">
        <f>IF(K544&lt;0, (K544/100)^2, 0)</f>
        <v/>
      </c>
    </row>
    <row r="545">
      <c r="A545" s="3">
        <f>TEXT(543, """T""0000")</f>
        <v/>
      </c>
      <c r="B545" s="3">
        <f>RAW_INPUT!A545</f>
        <v/>
      </c>
      <c r="C545" s="3">
        <f>RAW_INPUT!B545</f>
        <v/>
      </c>
      <c r="D545" s="3">
        <f>RAW_INPUT!D545</f>
        <v/>
      </c>
      <c r="E545" s="3">
        <f>D545-C545</f>
        <v/>
      </c>
      <c r="F545" s="3">
        <f>RAW_INPUT!C545</f>
        <v/>
      </c>
      <c r="G545" s="3">
        <f>RAW_INPUT!E545</f>
        <v/>
      </c>
      <c r="H545" s="3">
        <f>I545/F545</f>
        <v/>
      </c>
      <c r="I545" s="3">
        <f>METRICS!$C$14 * 0.02</f>
        <v/>
      </c>
      <c r="J545" s="3">
        <f>(G545-F545)*H545</f>
        <v/>
      </c>
      <c r="K545" s="3">
        <f>(G545-F545)/F545*100</f>
        <v/>
      </c>
      <c r="L545" s="3">
        <f>RAW_INPUT!F545</f>
        <v/>
      </c>
      <c r="M545" s="3">
        <f>K545-L545</f>
        <v/>
      </c>
      <c r="N545" s="3">
        <f>IF(J545&gt;0, 1, 0)</f>
        <v/>
      </c>
      <c r="O545" s="3">
        <f>IF(J545&lt;0, 1, 0)</f>
        <v/>
      </c>
      <c r="P545" s="3">
        <f>SUM($J$3:J545)</f>
        <v/>
      </c>
      <c r="Q545" s="3">
        <f>P545/METRICS!$C$14*100</f>
        <v/>
      </c>
      <c r="R545" s="3">
        <f>METRICS!$C$14+P545</f>
        <v/>
      </c>
      <c r="S545" s="3">
        <f>MAX($R$3:R545)</f>
        <v/>
      </c>
      <c r="T545" s="3">
        <f>R545-S545</f>
        <v/>
      </c>
      <c r="U545" s="3">
        <f>(R545-S545)/S545*100</f>
        <v/>
      </c>
      <c r="V545" s="3">
        <f>IF(K545&lt;0, (K545/100)^2, 0)</f>
        <v/>
      </c>
    </row>
    <row r="546">
      <c r="A546" s="3">
        <f>TEXT(544, """T""0000")</f>
        <v/>
      </c>
      <c r="B546" s="3">
        <f>RAW_INPUT!A546</f>
        <v/>
      </c>
      <c r="C546" s="3">
        <f>RAW_INPUT!B546</f>
        <v/>
      </c>
      <c r="D546" s="3">
        <f>RAW_INPUT!D546</f>
        <v/>
      </c>
      <c r="E546" s="3">
        <f>D546-C546</f>
        <v/>
      </c>
      <c r="F546" s="3">
        <f>RAW_INPUT!C546</f>
        <v/>
      </c>
      <c r="G546" s="3">
        <f>RAW_INPUT!E546</f>
        <v/>
      </c>
      <c r="H546" s="3">
        <f>I546/F546</f>
        <v/>
      </c>
      <c r="I546" s="3">
        <f>METRICS!$C$14 * 0.02</f>
        <v/>
      </c>
      <c r="J546" s="3">
        <f>(G546-F546)*H546</f>
        <v/>
      </c>
      <c r="K546" s="3">
        <f>(G546-F546)/F546*100</f>
        <v/>
      </c>
      <c r="L546" s="3">
        <f>RAW_INPUT!F546</f>
        <v/>
      </c>
      <c r="M546" s="3">
        <f>K546-L546</f>
        <v/>
      </c>
      <c r="N546" s="3">
        <f>IF(J546&gt;0, 1, 0)</f>
        <v/>
      </c>
      <c r="O546" s="3">
        <f>IF(J546&lt;0, 1, 0)</f>
        <v/>
      </c>
      <c r="P546" s="3">
        <f>SUM($J$3:J546)</f>
        <v/>
      </c>
      <c r="Q546" s="3">
        <f>P546/METRICS!$C$14*100</f>
        <v/>
      </c>
      <c r="R546" s="3">
        <f>METRICS!$C$14+P546</f>
        <v/>
      </c>
      <c r="S546" s="3">
        <f>MAX($R$3:R546)</f>
        <v/>
      </c>
      <c r="T546" s="3">
        <f>R546-S546</f>
        <v/>
      </c>
      <c r="U546" s="3">
        <f>(R546-S546)/S546*100</f>
        <v/>
      </c>
      <c r="V546" s="3">
        <f>IF(K546&lt;0, (K546/100)^2, 0)</f>
        <v/>
      </c>
    </row>
    <row r="547">
      <c r="A547" s="3">
        <f>TEXT(545, """T""0000")</f>
        <v/>
      </c>
      <c r="B547" s="3">
        <f>RAW_INPUT!A547</f>
        <v/>
      </c>
      <c r="C547" s="3">
        <f>RAW_INPUT!B547</f>
        <v/>
      </c>
      <c r="D547" s="3">
        <f>RAW_INPUT!D547</f>
        <v/>
      </c>
      <c r="E547" s="3">
        <f>D547-C547</f>
        <v/>
      </c>
      <c r="F547" s="3">
        <f>RAW_INPUT!C547</f>
        <v/>
      </c>
      <c r="G547" s="3">
        <f>RAW_INPUT!E547</f>
        <v/>
      </c>
      <c r="H547" s="3">
        <f>I547/F547</f>
        <v/>
      </c>
      <c r="I547" s="3">
        <f>METRICS!$C$14 * 0.02</f>
        <v/>
      </c>
      <c r="J547" s="3">
        <f>(G547-F547)*H547</f>
        <v/>
      </c>
      <c r="K547" s="3">
        <f>(G547-F547)/F547*100</f>
        <v/>
      </c>
      <c r="L547" s="3">
        <f>RAW_INPUT!F547</f>
        <v/>
      </c>
      <c r="M547" s="3">
        <f>K547-L547</f>
        <v/>
      </c>
      <c r="N547" s="3">
        <f>IF(J547&gt;0, 1, 0)</f>
        <v/>
      </c>
      <c r="O547" s="3">
        <f>IF(J547&lt;0, 1, 0)</f>
        <v/>
      </c>
      <c r="P547" s="3">
        <f>SUM($J$3:J547)</f>
        <v/>
      </c>
      <c r="Q547" s="3">
        <f>P547/METRICS!$C$14*100</f>
        <v/>
      </c>
      <c r="R547" s="3">
        <f>METRICS!$C$14+P547</f>
        <v/>
      </c>
      <c r="S547" s="3">
        <f>MAX($R$3:R547)</f>
        <v/>
      </c>
      <c r="T547" s="3">
        <f>R547-S547</f>
        <v/>
      </c>
      <c r="U547" s="3">
        <f>(R547-S547)/S547*100</f>
        <v/>
      </c>
      <c r="V547" s="3">
        <f>IF(K547&lt;0, (K547/100)^2, 0)</f>
        <v/>
      </c>
    </row>
    <row r="548">
      <c r="A548" s="3">
        <f>TEXT(546, """T""0000")</f>
        <v/>
      </c>
      <c r="B548" s="3">
        <f>RAW_INPUT!A548</f>
        <v/>
      </c>
      <c r="C548" s="3">
        <f>RAW_INPUT!B548</f>
        <v/>
      </c>
      <c r="D548" s="3">
        <f>RAW_INPUT!D548</f>
        <v/>
      </c>
      <c r="E548" s="3">
        <f>D548-C548</f>
        <v/>
      </c>
      <c r="F548" s="3">
        <f>RAW_INPUT!C548</f>
        <v/>
      </c>
      <c r="G548" s="3">
        <f>RAW_INPUT!E548</f>
        <v/>
      </c>
      <c r="H548" s="3">
        <f>I548/F548</f>
        <v/>
      </c>
      <c r="I548" s="3">
        <f>METRICS!$C$14 * 0.02</f>
        <v/>
      </c>
      <c r="J548" s="3">
        <f>(G548-F548)*H548</f>
        <v/>
      </c>
      <c r="K548" s="3">
        <f>(G548-F548)/F548*100</f>
        <v/>
      </c>
      <c r="L548" s="3">
        <f>RAW_INPUT!F548</f>
        <v/>
      </c>
      <c r="M548" s="3">
        <f>K548-L548</f>
        <v/>
      </c>
      <c r="N548" s="3">
        <f>IF(J548&gt;0, 1, 0)</f>
        <v/>
      </c>
      <c r="O548" s="3">
        <f>IF(J548&lt;0, 1, 0)</f>
        <v/>
      </c>
      <c r="P548" s="3">
        <f>SUM($J$3:J548)</f>
        <v/>
      </c>
      <c r="Q548" s="3">
        <f>P548/METRICS!$C$14*100</f>
        <v/>
      </c>
      <c r="R548" s="3">
        <f>METRICS!$C$14+P548</f>
        <v/>
      </c>
      <c r="S548" s="3">
        <f>MAX($R$3:R548)</f>
        <v/>
      </c>
      <c r="T548" s="3">
        <f>R548-S548</f>
        <v/>
      </c>
      <c r="U548" s="3">
        <f>(R548-S548)/S548*100</f>
        <v/>
      </c>
      <c r="V548" s="3">
        <f>IF(K548&lt;0, (K548/100)^2, 0)</f>
        <v/>
      </c>
    </row>
    <row r="549">
      <c r="A549" s="3">
        <f>TEXT(547, """T""0000")</f>
        <v/>
      </c>
      <c r="B549" s="3">
        <f>RAW_INPUT!A549</f>
        <v/>
      </c>
      <c r="C549" s="3">
        <f>RAW_INPUT!B549</f>
        <v/>
      </c>
      <c r="D549" s="3">
        <f>RAW_INPUT!D549</f>
        <v/>
      </c>
      <c r="E549" s="3">
        <f>D549-C549</f>
        <v/>
      </c>
      <c r="F549" s="3">
        <f>RAW_INPUT!C549</f>
        <v/>
      </c>
      <c r="G549" s="3">
        <f>RAW_INPUT!E549</f>
        <v/>
      </c>
      <c r="H549" s="3">
        <f>I549/F549</f>
        <v/>
      </c>
      <c r="I549" s="3">
        <f>METRICS!$C$14 * 0.02</f>
        <v/>
      </c>
      <c r="J549" s="3">
        <f>(G549-F549)*H549</f>
        <v/>
      </c>
      <c r="K549" s="3">
        <f>(G549-F549)/F549*100</f>
        <v/>
      </c>
      <c r="L549" s="3">
        <f>RAW_INPUT!F549</f>
        <v/>
      </c>
      <c r="M549" s="3">
        <f>K549-L549</f>
        <v/>
      </c>
      <c r="N549" s="3">
        <f>IF(J549&gt;0, 1, 0)</f>
        <v/>
      </c>
      <c r="O549" s="3">
        <f>IF(J549&lt;0, 1, 0)</f>
        <v/>
      </c>
      <c r="P549" s="3">
        <f>SUM($J$3:J549)</f>
        <v/>
      </c>
      <c r="Q549" s="3">
        <f>P549/METRICS!$C$14*100</f>
        <v/>
      </c>
      <c r="R549" s="3">
        <f>METRICS!$C$14+P549</f>
        <v/>
      </c>
      <c r="S549" s="3">
        <f>MAX($R$3:R549)</f>
        <v/>
      </c>
      <c r="T549" s="3">
        <f>R549-S549</f>
        <v/>
      </c>
      <c r="U549" s="3">
        <f>(R549-S549)/S549*100</f>
        <v/>
      </c>
      <c r="V549" s="3">
        <f>IF(K549&lt;0, (K549/100)^2, 0)</f>
        <v/>
      </c>
    </row>
    <row r="550">
      <c r="A550" s="3">
        <f>TEXT(548, """T""0000")</f>
        <v/>
      </c>
      <c r="B550" s="3">
        <f>RAW_INPUT!A550</f>
        <v/>
      </c>
      <c r="C550" s="3">
        <f>RAW_INPUT!B550</f>
        <v/>
      </c>
      <c r="D550" s="3">
        <f>RAW_INPUT!D550</f>
        <v/>
      </c>
      <c r="E550" s="3">
        <f>D550-C550</f>
        <v/>
      </c>
      <c r="F550" s="3">
        <f>RAW_INPUT!C550</f>
        <v/>
      </c>
      <c r="G550" s="3">
        <f>RAW_INPUT!E550</f>
        <v/>
      </c>
      <c r="H550" s="3">
        <f>I550/F550</f>
        <v/>
      </c>
      <c r="I550" s="3">
        <f>METRICS!$C$14 * 0.02</f>
        <v/>
      </c>
      <c r="J550" s="3">
        <f>(G550-F550)*H550</f>
        <v/>
      </c>
      <c r="K550" s="3">
        <f>(G550-F550)/F550*100</f>
        <v/>
      </c>
      <c r="L550" s="3">
        <f>RAW_INPUT!F550</f>
        <v/>
      </c>
      <c r="M550" s="3">
        <f>K550-L550</f>
        <v/>
      </c>
      <c r="N550" s="3">
        <f>IF(J550&gt;0, 1, 0)</f>
        <v/>
      </c>
      <c r="O550" s="3">
        <f>IF(J550&lt;0, 1, 0)</f>
        <v/>
      </c>
      <c r="P550" s="3">
        <f>SUM($J$3:J550)</f>
        <v/>
      </c>
      <c r="Q550" s="3">
        <f>P550/METRICS!$C$14*100</f>
        <v/>
      </c>
      <c r="R550" s="3">
        <f>METRICS!$C$14+P550</f>
        <v/>
      </c>
      <c r="S550" s="3">
        <f>MAX($R$3:R550)</f>
        <v/>
      </c>
      <c r="T550" s="3">
        <f>R550-S550</f>
        <v/>
      </c>
      <c r="U550" s="3">
        <f>(R550-S550)/S550*100</f>
        <v/>
      </c>
      <c r="V550" s="3">
        <f>IF(K550&lt;0, (K550/100)^2, 0)</f>
        <v/>
      </c>
    </row>
    <row r="551">
      <c r="A551" s="3">
        <f>TEXT(549, """T""0000")</f>
        <v/>
      </c>
      <c r="B551" s="3">
        <f>RAW_INPUT!A551</f>
        <v/>
      </c>
      <c r="C551" s="3">
        <f>RAW_INPUT!B551</f>
        <v/>
      </c>
      <c r="D551" s="3">
        <f>RAW_INPUT!D551</f>
        <v/>
      </c>
      <c r="E551" s="3">
        <f>D551-C551</f>
        <v/>
      </c>
      <c r="F551" s="3">
        <f>RAW_INPUT!C551</f>
        <v/>
      </c>
      <c r="G551" s="3">
        <f>RAW_INPUT!E551</f>
        <v/>
      </c>
      <c r="H551" s="3">
        <f>I551/F551</f>
        <v/>
      </c>
      <c r="I551" s="3">
        <f>METRICS!$C$14 * 0.02</f>
        <v/>
      </c>
      <c r="J551" s="3">
        <f>(G551-F551)*H551</f>
        <v/>
      </c>
      <c r="K551" s="3">
        <f>(G551-F551)/F551*100</f>
        <v/>
      </c>
      <c r="L551" s="3">
        <f>RAW_INPUT!F551</f>
        <v/>
      </c>
      <c r="M551" s="3">
        <f>K551-L551</f>
        <v/>
      </c>
      <c r="N551" s="3">
        <f>IF(J551&gt;0, 1, 0)</f>
        <v/>
      </c>
      <c r="O551" s="3">
        <f>IF(J551&lt;0, 1, 0)</f>
        <v/>
      </c>
      <c r="P551" s="3">
        <f>SUM($J$3:J551)</f>
        <v/>
      </c>
      <c r="Q551" s="3">
        <f>P551/METRICS!$C$14*100</f>
        <v/>
      </c>
      <c r="R551" s="3">
        <f>METRICS!$C$14+P551</f>
        <v/>
      </c>
      <c r="S551" s="3">
        <f>MAX($R$3:R551)</f>
        <v/>
      </c>
      <c r="T551" s="3">
        <f>R551-S551</f>
        <v/>
      </c>
      <c r="U551" s="3">
        <f>(R551-S551)/S551*100</f>
        <v/>
      </c>
      <c r="V551" s="3">
        <f>IF(K551&lt;0, (K551/100)^2, 0)</f>
        <v/>
      </c>
    </row>
    <row r="552">
      <c r="A552" s="3">
        <f>TEXT(550, """T""0000")</f>
        <v/>
      </c>
      <c r="B552" s="3">
        <f>RAW_INPUT!A552</f>
        <v/>
      </c>
      <c r="C552" s="3">
        <f>RAW_INPUT!B552</f>
        <v/>
      </c>
      <c r="D552" s="3">
        <f>RAW_INPUT!D552</f>
        <v/>
      </c>
      <c r="E552" s="3">
        <f>D552-C552</f>
        <v/>
      </c>
      <c r="F552" s="3">
        <f>RAW_INPUT!C552</f>
        <v/>
      </c>
      <c r="G552" s="3">
        <f>RAW_INPUT!E552</f>
        <v/>
      </c>
      <c r="H552" s="3">
        <f>I552/F552</f>
        <v/>
      </c>
      <c r="I552" s="3">
        <f>METRICS!$C$14 * 0.02</f>
        <v/>
      </c>
      <c r="J552" s="3">
        <f>(G552-F552)*H552</f>
        <v/>
      </c>
      <c r="K552" s="3">
        <f>(G552-F552)/F552*100</f>
        <v/>
      </c>
      <c r="L552" s="3">
        <f>RAW_INPUT!F552</f>
        <v/>
      </c>
      <c r="M552" s="3">
        <f>K552-L552</f>
        <v/>
      </c>
      <c r="N552" s="3">
        <f>IF(J552&gt;0, 1, 0)</f>
        <v/>
      </c>
      <c r="O552" s="3">
        <f>IF(J552&lt;0, 1, 0)</f>
        <v/>
      </c>
      <c r="P552" s="3">
        <f>SUM($J$3:J552)</f>
        <v/>
      </c>
      <c r="Q552" s="3">
        <f>P552/METRICS!$C$14*100</f>
        <v/>
      </c>
      <c r="R552" s="3">
        <f>METRICS!$C$14+P552</f>
        <v/>
      </c>
      <c r="S552" s="3">
        <f>MAX($R$3:R552)</f>
        <v/>
      </c>
      <c r="T552" s="3">
        <f>R552-S552</f>
        <v/>
      </c>
      <c r="U552" s="3">
        <f>(R552-S552)/S552*100</f>
        <v/>
      </c>
      <c r="V552" s="3">
        <f>IF(K552&lt;0, (K552/100)^2, 0)</f>
        <v/>
      </c>
    </row>
    <row r="553">
      <c r="A553" s="3">
        <f>TEXT(551, """T""0000")</f>
        <v/>
      </c>
      <c r="B553" s="3">
        <f>RAW_INPUT!A553</f>
        <v/>
      </c>
      <c r="C553" s="3">
        <f>RAW_INPUT!B553</f>
        <v/>
      </c>
      <c r="D553" s="3">
        <f>RAW_INPUT!D553</f>
        <v/>
      </c>
      <c r="E553" s="3">
        <f>D553-C553</f>
        <v/>
      </c>
      <c r="F553" s="3">
        <f>RAW_INPUT!C553</f>
        <v/>
      </c>
      <c r="G553" s="3">
        <f>RAW_INPUT!E553</f>
        <v/>
      </c>
      <c r="H553" s="3">
        <f>I553/F553</f>
        <v/>
      </c>
      <c r="I553" s="3">
        <f>METRICS!$C$14 * 0.02</f>
        <v/>
      </c>
      <c r="J553" s="3">
        <f>(G553-F553)*H553</f>
        <v/>
      </c>
      <c r="K553" s="3">
        <f>(G553-F553)/F553*100</f>
        <v/>
      </c>
      <c r="L553" s="3">
        <f>RAW_INPUT!F553</f>
        <v/>
      </c>
      <c r="M553" s="3">
        <f>K553-L553</f>
        <v/>
      </c>
      <c r="N553" s="3">
        <f>IF(J553&gt;0, 1, 0)</f>
        <v/>
      </c>
      <c r="O553" s="3">
        <f>IF(J553&lt;0, 1, 0)</f>
        <v/>
      </c>
      <c r="P553" s="3">
        <f>SUM($J$3:J553)</f>
        <v/>
      </c>
      <c r="Q553" s="3">
        <f>P553/METRICS!$C$14*100</f>
        <v/>
      </c>
      <c r="R553" s="3">
        <f>METRICS!$C$14+P553</f>
        <v/>
      </c>
      <c r="S553" s="3">
        <f>MAX($R$3:R553)</f>
        <v/>
      </c>
      <c r="T553" s="3">
        <f>R553-S553</f>
        <v/>
      </c>
      <c r="U553" s="3">
        <f>(R553-S553)/S553*100</f>
        <v/>
      </c>
      <c r="V553" s="3">
        <f>IF(K553&lt;0, (K553/100)^2, 0)</f>
        <v/>
      </c>
    </row>
    <row r="554">
      <c r="A554" s="3">
        <f>TEXT(552, """T""0000")</f>
        <v/>
      </c>
      <c r="B554" s="3">
        <f>RAW_INPUT!A554</f>
        <v/>
      </c>
      <c r="C554" s="3">
        <f>RAW_INPUT!B554</f>
        <v/>
      </c>
      <c r="D554" s="3">
        <f>RAW_INPUT!D554</f>
        <v/>
      </c>
      <c r="E554" s="3">
        <f>D554-C554</f>
        <v/>
      </c>
      <c r="F554" s="3">
        <f>RAW_INPUT!C554</f>
        <v/>
      </c>
      <c r="G554" s="3">
        <f>RAW_INPUT!E554</f>
        <v/>
      </c>
      <c r="H554" s="3">
        <f>I554/F554</f>
        <v/>
      </c>
      <c r="I554" s="3">
        <f>METRICS!$C$14 * 0.02</f>
        <v/>
      </c>
      <c r="J554" s="3">
        <f>(G554-F554)*H554</f>
        <v/>
      </c>
      <c r="K554" s="3">
        <f>(G554-F554)/F554*100</f>
        <v/>
      </c>
      <c r="L554" s="3">
        <f>RAW_INPUT!F554</f>
        <v/>
      </c>
      <c r="M554" s="3">
        <f>K554-L554</f>
        <v/>
      </c>
      <c r="N554" s="3">
        <f>IF(J554&gt;0, 1, 0)</f>
        <v/>
      </c>
      <c r="O554" s="3">
        <f>IF(J554&lt;0, 1, 0)</f>
        <v/>
      </c>
      <c r="P554" s="3">
        <f>SUM($J$3:J554)</f>
        <v/>
      </c>
      <c r="Q554" s="3">
        <f>P554/METRICS!$C$14*100</f>
        <v/>
      </c>
      <c r="R554" s="3">
        <f>METRICS!$C$14+P554</f>
        <v/>
      </c>
      <c r="S554" s="3">
        <f>MAX($R$3:R554)</f>
        <v/>
      </c>
      <c r="T554" s="3">
        <f>R554-S554</f>
        <v/>
      </c>
      <c r="U554" s="3">
        <f>(R554-S554)/S554*100</f>
        <v/>
      </c>
      <c r="V554" s="3">
        <f>IF(K554&lt;0, (K554/100)^2, 0)</f>
        <v/>
      </c>
    </row>
    <row r="555">
      <c r="A555" s="3">
        <f>TEXT(553, """T""0000")</f>
        <v/>
      </c>
      <c r="B555" s="3">
        <f>RAW_INPUT!A555</f>
        <v/>
      </c>
      <c r="C555" s="3">
        <f>RAW_INPUT!B555</f>
        <v/>
      </c>
      <c r="D555" s="3">
        <f>RAW_INPUT!D555</f>
        <v/>
      </c>
      <c r="E555" s="3">
        <f>D555-C555</f>
        <v/>
      </c>
      <c r="F555" s="3">
        <f>RAW_INPUT!C555</f>
        <v/>
      </c>
      <c r="G555" s="3">
        <f>RAW_INPUT!E555</f>
        <v/>
      </c>
      <c r="H555" s="3">
        <f>I555/F555</f>
        <v/>
      </c>
      <c r="I555" s="3">
        <f>METRICS!$C$14 * 0.02</f>
        <v/>
      </c>
      <c r="J555" s="3">
        <f>(G555-F555)*H555</f>
        <v/>
      </c>
      <c r="K555" s="3">
        <f>(G555-F555)/F555*100</f>
        <v/>
      </c>
      <c r="L555" s="3">
        <f>RAW_INPUT!F555</f>
        <v/>
      </c>
      <c r="M555" s="3">
        <f>K555-L555</f>
        <v/>
      </c>
      <c r="N555" s="3">
        <f>IF(J555&gt;0, 1, 0)</f>
        <v/>
      </c>
      <c r="O555" s="3">
        <f>IF(J555&lt;0, 1, 0)</f>
        <v/>
      </c>
      <c r="P555" s="3">
        <f>SUM($J$3:J555)</f>
        <v/>
      </c>
      <c r="Q555" s="3">
        <f>P555/METRICS!$C$14*100</f>
        <v/>
      </c>
      <c r="R555" s="3">
        <f>METRICS!$C$14+P555</f>
        <v/>
      </c>
      <c r="S555" s="3">
        <f>MAX($R$3:R555)</f>
        <v/>
      </c>
      <c r="T555" s="3">
        <f>R555-S555</f>
        <v/>
      </c>
      <c r="U555" s="3">
        <f>(R555-S555)/S555*100</f>
        <v/>
      </c>
      <c r="V555" s="3">
        <f>IF(K555&lt;0, (K555/100)^2, 0)</f>
        <v/>
      </c>
    </row>
    <row r="556">
      <c r="A556" s="3">
        <f>TEXT(554, """T""0000")</f>
        <v/>
      </c>
      <c r="B556" s="3">
        <f>RAW_INPUT!A556</f>
        <v/>
      </c>
      <c r="C556" s="3">
        <f>RAW_INPUT!B556</f>
        <v/>
      </c>
      <c r="D556" s="3">
        <f>RAW_INPUT!D556</f>
        <v/>
      </c>
      <c r="E556" s="3">
        <f>D556-C556</f>
        <v/>
      </c>
      <c r="F556" s="3">
        <f>RAW_INPUT!C556</f>
        <v/>
      </c>
      <c r="G556" s="3">
        <f>RAW_INPUT!E556</f>
        <v/>
      </c>
      <c r="H556" s="3">
        <f>I556/F556</f>
        <v/>
      </c>
      <c r="I556" s="3">
        <f>METRICS!$C$14 * 0.02</f>
        <v/>
      </c>
      <c r="J556" s="3">
        <f>(G556-F556)*H556</f>
        <v/>
      </c>
      <c r="K556" s="3">
        <f>(G556-F556)/F556*100</f>
        <v/>
      </c>
      <c r="L556" s="3">
        <f>RAW_INPUT!F556</f>
        <v/>
      </c>
      <c r="M556" s="3">
        <f>K556-L556</f>
        <v/>
      </c>
      <c r="N556" s="3">
        <f>IF(J556&gt;0, 1, 0)</f>
        <v/>
      </c>
      <c r="O556" s="3">
        <f>IF(J556&lt;0, 1, 0)</f>
        <v/>
      </c>
      <c r="P556" s="3">
        <f>SUM($J$3:J556)</f>
        <v/>
      </c>
      <c r="Q556" s="3">
        <f>P556/METRICS!$C$14*100</f>
        <v/>
      </c>
      <c r="R556" s="3">
        <f>METRICS!$C$14+P556</f>
        <v/>
      </c>
      <c r="S556" s="3">
        <f>MAX($R$3:R556)</f>
        <v/>
      </c>
      <c r="T556" s="3">
        <f>R556-S556</f>
        <v/>
      </c>
      <c r="U556" s="3">
        <f>(R556-S556)/S556*100</f>
        <v/>
      </c>
      <c r="V556" s="3">
        <f>IF(K556&lt;0, (K556/100)^2, 0)</f>
        <v/>
      </c>
    </row>
    <row r="557">
      <c r="A557" s="3">
        <f>TEXT(555, """T""0000")</f>
        <v/>
      </c>
      <c r="B557" s="3">
        <f>RAW_INPUT!A557</f>
        <v/>
      </c>
      <c r="C557" s="3">
        <f>RAW_INPUT!B557</f>
        <v/>
      </c>
      <c r="D557" s="3">
        <f>RAW_INPUT!D557</f>
        <v/>
      </c>
      <c r="E557" s="3">
        <f>D557-C557</f>
        <v/>
      </c>
      <c r="F557" s="3">
        <f>RAW_INPUT!C557</f>
        <v/>
      </c>
      <c r="G557" s="3">
        <f>RAW_INPUT!E557</f>
        <v/>
      </c>
      <c r="H557" s="3">
        <f>I557/F557</f>
        <v/>
      </c>
      <c r="I557" s="3">
        <f>METRICS!$C$14 * 0.02</f>
        <v/>
      </c>
      <c r="J557" s="3">
        <f>(G557-F557)*H557</f>
        <v/>
      </c>
      <c r="K557" s="3">
        <f>(G557-F557)/F557*100</f>
        <v/>
      </c>
      <c r="L557" s="3">
        <f>RAW_INPUT!F557</f>
        <v/>
      </c>
      <c r="M557" s="3">
        <f>K557-L557</f>
        <v/>
      </c>
      <c r="N557" s="3">
        <f>IF(J557&gt;0, 1, 0)</f>
        <v/>
      </c>
      <c r="O557" s="3">
        <f>IF(J557&lt;0, 1, 0)</f>
        <v/>
      </c>
      <c r="P557" s="3">
        <f>SUM($J$3:J557)</f>
        <v/>
      </c>
      <c r="Q557" s="3">
        <f>P557/METRICS!$C$14*100</f>
        <v/>
      </c>
      <c r="R557" s="3">
        <f>METRICS!$C$14+P557</f>
        <v/>
      </c>
      <c r="S557" s="3">
        <f>MAX($R$3:R557)</f>
        <v/>
      </c>
      <c r="T557" s="3">
        <f>R557-S557</f>
        <v/>
      </c>
      <c r="U557" s="3">
        <f>(R557-S557)/S557*100</f>
        <v/>
      </c>
      <c r="V557" s="3">
        <f>IF(K557&lt;0, (K557/100)^2, 0)</f>
        <v/>
      </c>
    </row>
    <row r="558">
      <c r="A558" s="3">
        <f>TEXT(556, """T""0000")</f>
        <v/>
      </c>
      <c r="B558" s="3">
        <f>RAW_INPUT!A558</f>
        <v/>
      </c>
      <c r="C558" s="3">
        <f>RAW_INPUT!B558</f>
        <v/>
      </c>
      <c r="D558" s="3">
        <f>RAW_INPUT!D558</f>
        <v/>
      </c>
      <c r="E558" s="3">
        <f>D558-C558</f>
        <v/>
      </c>
      <c r="F558" s="3">
        <f>RAW_INPUT!C558</f>
        <v/>
      </c>
      <c r="G558" s="3">
        <f>RAW_INPUT!E558</f>
        <v/>
      </c>
      <c r="H558" s="3">
        <f>I558/F558</f>
        <v/>
      </c>
      <c r="I558" s="3">
        <f>METRICS!$C$14 * 0.02</f>
        <v/>
      </c>
      <c r="J558" s="3">
        <f>(G558-F558)*H558</f>
        <v/>
      </c>
      <c r="K558" s="3">
        <f>(G558-F558)/F558*100</f>
        <v/>
      </c>
      <c r="L558" s="3">
        <f>RAW_INPUT!F558</f>
        <v/>
      </c>
      <c r="M558" s="3">
        <f>K558-L558</f>
        <v/>
      </c>
      <c r="N558" s="3">
        <f>IF(J558&gt;0, 1, 0)</f>
        <v/>
      </c>
      <c r="O558" s="3">
        <f>IF(J558&lt;0, 1, 0)</f>
        <v/>
      </c>
      <c r="P558" s="3">
        <f>SUM($J$3:J558)</f>
        <v/>
      </c>
      <c r="Q558" s="3">
        <f>P558/METRICS!$C$14*100</f>
        <v/>
      </c>
      <c r="R558" s="3">
        <f>METRICS!$C$14+P558</f>
        <v/>
      </c>
      <c r="S558" s="3">
        <f>MAX($R$3:R558)</f>
        <v/>
      </c>
      <c r="T558" s="3">
        <f>R558-S558</f>
        <v/>
      </c>
      <c r="U558" s="3">
        <f>(R558-S558)/S558*100</f>
        <v/>
      </c>
      <c r="V558" s="3">
        <f>IF(K558&lt;0, (K558/100)^2, 0)</f>
        <v/>
      </c>
    </row>
    <row r="559">
      <c r="A559" s="3">
        <f>TEXT(557, """T""0000")</f>
        <v/>
      </c>
      <c r="B559" s="3">
        <f>RAW_INPUT!A559</f>
        <v/>
      </c>
      <c r="C559" s="3">
        <f>RAW_INPUT!B559</f>
        <v/>
      </c>
      <c r="D559" s="3">
        <f>RAW_INPUT!D559</f>
        <v/>
      </c>
      <c r="E559" s="3">
        <f>D559-C559</f>
        <v/>
      </c>
      <c r="F559" s="3">
        <f>RAW_INPUT!C559</f>
        <v/>
      </c>
      <c r="G559" s="3">
        <f>RAW_INPUT!E559</f>
        <v/>
      </c>
      <c r="H559" s="3">
        <f>I559/F559</f>
        <v/>
      </c>
      <c r="I559" s="3">
        <f>METRICS!$C$14 * 0.02</f>
        <v/>
      </c>
      <c r="J559" s="3">
        <f>(G559-F559)*H559</f>
        <v/>
      </c>
      <c r="K559" s="3">
        <f>(G559-F559)/F559*100</f>
        <v/>
      </c>
      <c r="L559" s="3">
        <f>RAW_INPUT!F559</f>
        <v/>
      </c>
      <c r="M559" s="3">
        <f>K559-L559</f>
        <v/>
      </c>
      <c r="N559" s="3">
        <f>IF(J559&gt;0, 1, 0)</f>
        <v/>
      </c>
      <c r="O559" s="3">
        <f>IF(J559&lt;0, 1, 0)</f>
        <v/>
      </c>
      <c r="P559" s="3">
        <f>SUM($J$3:J559)</f>
        <v/>
      </c>
      <c r="Q559" s="3">
        <f>P559/METRICS!$C$14*100</f>
        <v/>
      </c>
      <c r="R559" s="3">
        <f>METRICS!$C$14+P559</f>
        <v/>
      </c>
      <c r="S559" s="3">
        <f>MAX($R$3:R559)</f>
        <v/>
      </c>
      <c r="T559" s="3">
        <f>R559-S559</f>
        <v/>
      </c>
      <c r="U559" s="3">
        <f>(R559-S559)/S559*100</f>
        <v/>
      </c>
      <c r="V559" s="3">
        <f>IF(K559&lt;0, (K559/100)^2, 0)</f>
        <v/>
      </c>
    </row>
    <row r="560">
      <c r="A560" s="3">
        <f>TEXT(558, """T""0000")</f>
        <v/>
      </c>
      <c r="B560" s="3">
        <f>RAW_INPUT!A560</f>
        <v/>
      </c>
      <c r="C560" s="3">
        <f>RAW_INPUT!B560</f>
        <v/>
      </c>
      <c r="D560" s="3">
        <f>RAW_INPUT!D560</f>
        <v/>
      </c>
      <c r="E560" s="3">
        <f>D560-C560</f>
        <v/>
      </c>
      <c r="F560" s="3">
        <f>RAW_INPUT!C560</f>
        <v/>
      </c>
      <c r="G560" s="3">
        <f>RAW_INPUT!E560</f>
        <v/>
      </c>
      <c r="H560" s="3">
        <f>I560/F560</f>
        <v/>
      </c>
      <c r="I560" s="3">
        <f>METRICS!$C$14 * 0.02</f>
        <v/>
      </c>
      <c r="J560" s="3">
        <f>(G560-F560)*H560</f>
        <v/>
      </c>
      <c r="K560" s="3">
        <f>(G560-F560)/F560*100</f>
        <v/>
      </c>
      <c r="L560" s="3">
        <f>RAW_INPUT!F560</f>
        <v/>
      </c>
      <c r="M560" s="3">
        <f>K560-L560</f>
        <v/>
      </c>
      <c r="N560" s="3">
        <f>IF(J560&gt;0, 1, 0)</f>
        <v/>
      </c>
      <c r="O560" s="3">
        <f>IF(J560&lt;0, 1, 0)</f>
        <v/>
      </c>
      <c r="P560" s="3">
        <f>SUM($J$3:J560)</f>
        <v/>
      </c>
      <c r="Q560" s="3">
        <f>P560/METRICS!$C$14*100</f>
        <v/>
      </c>
      <c r="R560" s="3">
        <f>METRICS!$C$14+P560</f>
        <v/>
      </c>
      <c r="S560" s="3">
        <f>MAX($R$3:R560)</f>
        <v/>
      </c>
      <c r="T560" s="3">
        <f>R560-S560</f>
        <v/>
      </c>
      <c r="U560" s="3">
        <f>(R560-S560)/S560*100</f>
        <v/>
      </c>
      <c r="V560" s="3">
        <f>IF(K560&lt;0, (K560/100)^2, 0)</f>
        <v/>
      </c>
    </row>
    <row r="561">
      <c r="A561" s="3">
        <f>TEXT(559, """T""0000")</f>
        <v/>
      </c>
      <c r="B561" s="3">
        <f>RAW_INPUT!A561</f>
        <v/>
      </c>
      <c r="C561" s="3">
        <f>RAW_INPUT!B561</f>
        <v/>
      </c>
      <c r="D561" s="3">
        <f>RAW_INPUT!D561</f>
        <v/>
      </c>
      <c r="E561" s="3">
        <f>D561-C561</f>
        <v/>
      </c>
      <c r="F561" s="3">
        <f>RAW_INPUT!C561</f>
        <v/>
      </c>
      <c r="G561" s="3">
        <f>RAW_INPUT!E561</f>
        <v/>
      </c>
      <c r="H561" s="3">
        <f>I561/F561</f>
        <v/>
      </c>
      <c r="I561" s="3">
        <f>METRICS!$C$14 * 0.02</f>
        <v/>
      </c>
      <c r="J561" s="3">
        <f>(G561-F561)*H561</f>
        <v/>
      </c>
      <c r="K561" s="3">
        <f>(G561-F561)/F561*100</f>
        <v/>
      </c>
      <c r="L561" s="3">
        <f>RAW_INPUT!F561</f>
        <v/>
      </c>
      <c r="M561" s="3">
        <f>K561-L561</f>
        <v/>
      </c>
      <c r="N561" s="3">
        <f>IF(J561&gt;0, 1, 0)</f>
        <v/>
      </c>
      <c r="O561" s="3">
        <f>IF(J561&lt;0, 1, 0)</f>
        <v/>
      </c>
      <c r="P561" s="3">
        <f>SUM($J$3:J561)</f>
        <v/>
      </c>
      <c r="Q561" s="3">
        <f>P561/METRICS!$C$14*100</f>
        <v/>
      </c>
      <c r="R561" s="3">
        <f>METRICS!$C$14+P561</f>
        <v/>
      </c>
      <c r="S561" s="3">
        <f>MAX($R$3:R561)</f>
        <v/>
      </c>
      <c r="T561" s="3">
        <f>R561-S561</f>
        <v/>
      </c>
      <c r="U561" s="3">
        <f>(R561-S561)/S561*100</f>
        <v/>
      </c>
      <c r="V561" s="3">
        <f>IF(K561&lt;0, (K561/100)^2, 0)</f>
        <v/>
      </c>
    </row>
    <row r="562">
      <c r="A562" s="3">
        <f>TEXT(560, """T""0000")</f>
        <v/>
      </c>
      <c r="B562" s="3">
        <f>RAW_INPUT!A562</f>
        <v/>
      </c>
      <c r="C562" s="3">
        <f>RAW_INPUT!B562</f>
        <v/>
      </c>
      <c r="D562" s="3">
        <f>RAW_INPUT!D562</f>
        <v/>
      </c>
      <c r="E562" s="3">
        <f>D562-C562</f>
        <v/>
      </c>
      <c r="F562" s="3">
        <f>RAW_INPUT!C562</f>
        <v/>
      </c>
      <c r="G562" s="3">
        <f>RAW_INPUT!E562</f>
        <v/>
      </c>
      <c r="H562" s="3">
        <f>I562/F562</f>
        <v/>
      </c>
      <c r="I562" s="3">
        <f>METRICS!$C$14 * 0.02</f>
        <v/>
      </c>
      <c r="J562" s="3">
        <f>(G562-F562)*H562</f>
        <v/>
      </c>
      <c r="K562" s="3">
        <f>(G562-F562)/F562*100</f>
        <v/>
      </c>
      <c r="L562" s="3">
        <f>RAW_INPUT!F562</f>
        <v/>
      </c>
      <c r="M562" s="3">
        <f>K562-L562</f>
        <v/>
      </c>
      <c r="N562" s="3">
        <f>IF(J562&gt;0, 1, 0)</f>
        <v/>
      </c>
      <c r="O562" s="3">
        <f>IF(J562&lt;0, 1, 0)</f>
        <v/>
      </c>
      <c r="P562" s="3">
        <f>SUM($J$3:J562)</f>
        <v/>
      </c>
      <c r="Q562" s="3">
        <f>P562/METRICS!$C$14*100</f>
        <v/>
      </c>
      <c r="R562" s="3">
        <f>METRICS!$C$14+P562</f>
        <v/>
      </c>
      <c r="S562" s="3">
        <f>MAX($R$3:R562)</f>
        <v/>
      </c>
      <c r="T562" s="3">
        <f>R562-S562</f>
        <v/>
      </c>
      <c r="U562" s="3">
        <f>(R562-S562)/S562*100</f>
        <v/>
      </c>
      <c r="V562" s="3">
        <f>IF(K562&lt;0, (K562/100)^2, 0)</f>
        <v/>
      </c>
    </row>
    <row r="563">
      <c r="A563" s="3">
        <f>TEXT(561, """T""0000")</f>
        <v/>
      </c>
      <c r="B563" s="3">
        <f>RAW_INPUT!A563</f>
        <v/>
      </c>
      <c r="C563" s="3">
        <f>RAW_INPUT!B563</f>
        <v/>
      </c>
      <c r="D563" s="3">
        <f>RAW_INPUT!D563</f>
        <v/>
      </c>
      <c r="E563" s="3">
        <f>D563-C563</f>
        <v/>
      </c>
      <c r="F563" s="3">
        <f>RAW_INPUT!C563</f>
        <v/>
      </c>
      <c r="G563" s="3">
        <f>RAW_INPUT!E563</f>
        <v/>
      </c>
      <c r="H563" s="3">
        <f>I563/F563</f>
        <v/>
      </c>
      <c r="I563" s="3">
        <f>METRICS!$C$14 * 0.02</f>
        <v/>
      </c>
      <c r="J563" s="3">
        <f>(G563-F563)*H563</f>
        <v/>
      </c>
      <c r="K563" s="3">
        <f>(G563-F563)/F563*100</f>
        <v/>
      </c>
      <c r="L563" s="3">
        <f>RAW_INPUT!F563</f>
        <v/>
      </c>
      <c r="M563" s="3">
        <f>K563-L563</f>
        <v/>
      </c>
      <c r="N563" s="3">
        <f>IF(J563&gt;0, 1, 0)</f>
        <v/>
      </c>
      <c r="O563" s="3">
        <f>IF(J563&lt;0, 1, 0)</f>
        <v/>
      </c>
      <c r="P563" s="3">
        <f>SUM($J$3:J563)</f>
        <v/>
      </c>
      <c r="Q563" s="3">
        <f>P563/METRICS!$C$14*100</f>
        <v/>
      </c>
      <c r="R563" s="3">
        <f>METRICS!$C$14+P563</f>
        <v/>
      </c>
      <c r="S563" s="3">
        <f>MAX($R$3:R563)</f>
        <v/>
      </c>
      <c r="T563" s="3">
        <f>R563-S563</f>
        <v/>
      </c>
      <c r="U563" s="3">
        <f>(R563-S563)/S563*100</f>
        <v/>
      </c>
      <c r="V563" s="3">
        <f>IF(K563&lt;0, (K563/100)^2, 0)</f>
        <v/>
      </c>
    </row>
    <row r="564">
      <c r="A564" s="3">
        <f>TEXT(562, """T""0000")</f>
        <v/>
      </c>
      <c r="B564" s="3">
        <f>RAW_INPUT!A564</f>
        <v/>
      </c>
      <c r="C564" s="3">
        <f>RAW_INPUT!B564</f>
        <v/>
      </c>
      <c r="D564" s="3">
        <f>RAW_INPUT!D564</f>
        <v/>
      </c>
      <c r="E564" s="3">
        <f>D564-C564</f>
        <v/>
      </c>
      <c r="F564" s="3">
        <f>RAW_INPUT!C564</f>
        <v/>
      </c>
      <c r="G564" s="3">
        <f>RAW_INPUT!E564</f>
        <v/>
      </c>
      <c r="H564" s="3">
        <f>I564/F564</f>
        <v/>
      </c>
      <c r="I564" s="3">
        <f>METRICS!$C$14 * 0.02</f>
        <v/>
      </c>
      <c r="J564" s="3">
        <f>(G564-F564)*H564</f>
        <v/>
      </c>
      <c r="K564" s="3">
        <f>(G564-F564)/F564*100</f>
        <v/>
      </c>
      <c r="L564" s="3">
        <f>RAW_INPUT!F564</f>
        <v/>
      </c>
      <c r="M564" s="3">
        <f>K564-L564</f>
        <v/>
      </c>
      <c r="N564" s="3">
        <f>IF(J564&gt;0, 1, 0)</f>
        <v/>
      </c>
      <c r="O564" s="3">
        <f>IF(J564&lt;0, 1, 0)</f>
        <v/>
      </c>
      <c r="P564" s="3">
        <f>SUM($J$3:J564)</f>
        <v/>
      </c>
      <c r="Q564" s="3">
        <f>P564/METRICS!$C$14*100</f>
        <v/>
      </c>
      <c r="R564" s="3">
        <f>METRICS!$C$14+P564</f>
        <v/>
      </c>
      <c r="S564" s="3">
        <f>MAX($R$3:R564)</f>
        <v/>
      </c>
      <c r="T564" s="3">
        <f>R564-S564</f>
        <v/>
      </c>
      <c r="U564" s="3">
        <f>(R564-S564)/S564*100</f>
        <v/>
      </c>
      <c r="V564" s="3">
        <f>IF(K564&lt;0, (K564/100)^2, 0)</f>
        <v/>
      </c>
    </row>
    <row r="565">
      <c r="A565" s="3">
        <f>TEXT(563, """T""0000")</f>
        <v/>
      </c>
      <c r="B565" s="3">
        <f>RAW_INPUT!A565</f>
        <v/>
      </c>
      <c r="C565" s="3">
        <f>RAW_INPUT!B565</f>
        <v/>
      </c>
      <c r="D565" s="3">
        <f>RAW_INPUT!D565</f>
        <v/>
      </c>
      <c r="E565" s="3">
        <f>D565-C565</f>
        <v/>
      </c>
      <c r="F565" s="3">
        <f>RAW_INPUT!C565</f>
        <v/>
      </c>
      <c r="G565" s="3">
        <f>RAW_INPUT!E565</f>
        <v/>
      </c>
      <c r="H565" s="3">
        <f>I565/F565</f>
        <v/>
      </c>
      <c r="I565" s="3">
        <f>METRICS!$C$14 * 0.02</f>
        <v/>
      </c>
      <c r="J565" s="3">
        <f>(G565-F565)*H565</f>
        <v/>
      </c>
      <c r="K565" s="3">
        <f>(G565-F565)/F565*100</f>
        <v/>
      </c>
      <c r="L565" s="3">
        <f>RAW_INPUT!F565</f>
        <v/>
      </c>
      <c r="M565" s="3">
        <f>K565-L565</f>
        <v/>
      </c>
      <c r="N565" s="3">
        <f>IF(J565&gt;0, 1, 0)</f>
        <v/>
      </c>
      <c r="O565" s="3">
        <f>IF(J565&lt;0, 1, 0)</f>
        <v/>
      </c>
      <c r="P565" s="3">
        <f>SUM($J$3:J565)</f>
        <v/>
      </c>
      <c r="Q565" s="3">
        <f>P565/METRICS!$C$14*100</f>
        <v/>
      </c>
      <c r="R565" s="3">
        <f>METRICS!$C$14+P565</f>
        <v/>
      </c>
      <c r="S565" s="3">
        <f>MAX($R$3:R565)</f>
        <v/>
      </c>
      <c r="T565" s="3">
        <f>R565-S565</f>
        <v/>
      </c>
      <c r="U565" s="3">
        <f>(R565-S565)/S565*100</f>
        <v/>
      </c>
      <c r="V565" s="3">
        <f>IF(K565&lt;0, (K565/100)^2, 0)</f>
        <v/>
      </c>
    </row>
    <row r="566">
      <c r="A566" s="3">
        <f>TEXT(564, """T""0000")</f>
        <v/>
      </c>
      <c r="B566" s="3">
        <f>RAW_INPUT!A566</f>
        <v/>
      </c>
      <c r="C566" s="3">
        <f>RAW_INPUT!B566</f>
        <v/>
      </c>
      <c r="D566" s="3">
        <f>RAW_INPUT!D566</f>
        <v/>
      </c>
      <c r="E566" s="3">
        <f>D566-C566</f>
        <v/>
      </c>
      <c r="F566" s="3">
        <f>RAW_INPUT!C566</f>
        <v/>
      </c>
      <c r="G566" s="3">
        <f>RAW_INPUT!E566</f>
        <v/>
      </c>
      <c r="H566" s="3">
        <f>I566/F566</f>
        <v/>
      </c>
      <c r="I566" s="3">
        <f>METRICS!$C$14 * 0.02</f>
        <v/>
      </c>
      <c r="J566" s="3">
        <f>(G566-F566)*H566</f>
        <v/>
      </c>
      <c r="K566" s="3">
        <f>(G566-F566)/F566*100</f>
        <v/>
      </c>
      <c r="L566" s="3">
        <f>RAW_INPUT!F566</f>
        <v/>
      </c>
      <c r="M566" s="3">
        <f>K566-L566</f>
        <v/>
      </c>
      <c r="N566" s="3">
        <f>IF(J566&gt;0, 1, 0)</f>
        <v/>
      </c>
      <c r="O566" s="3">
        <f>IF(J566&lt;0, 1, 0)</f>
        <v/>
      </c>
      <c r="P566" s="3">
        <f>SUM($J$3:J566)</f>
        <v/>
      </c>
      <c r="Q566" s="3">
        <f>P566/METRICS!$C$14*100</f>
        <v/>
      </c>
      <c r="R566" s="3">
        <f>METRICS!$C$14+P566</f>
        <v/>
      </c>
      <c r="S566" s="3">
        <f>MAX($R$3:R566)</f>
        <v/>
      </c>
      <c r="T566" s="3">
        <f>R566-S566</f>
        <v/>
      </c>
      <c r="U566" s="3">
        <f>(R566-S566)/S566*100</f>
        <v/>
      </c>
      <c r="V566" s="3">
        <f>IF(K566&lt;0, (K566/100)^2, 0)</f>
        <v/>
      </c>
    </row>
    <row r="567">
      <c r="A567" s="3">
        <f>TEXT(565, """T""0000")</f>
        <v/>
      </c>
      <c r="B567" s="3">
        <f>RAW_INPUT!A567</f>
        <v/>
      </c>
      <c r="C567" s="3">
        <f>RAW_INPUT!B567</f>
        <v/>
      </c>
      <c r="D567" s="3">
        <f>RAW_INPUT!D567</f>
        <v/>
      </c>
      <c r="E567" s="3">
        <f>D567-C567</f>
        <v/>
      </c>
      <c r="F567" s="3">
        <f>RAW_INPUT!C567</f>
        <v/>
      </c>
      <c r="G567" s="3">
        <f>RAW_INPUT!E567</f>
        <v/>
      </c>
      <c r="H567" s="3">
        <f>I567/F567</f>
        <v/>
      </c>
      <c r="I567" s="3">
        <f>METRICS!$C$14 * 0.02</f>
        <v/>
      </c>
      <c r="J567" s="3">
        <f>(G567-F567)*H567</f>
        <v/>
      </c>
      <c r="K567" s="3">
        <f>(G567-F567)/F567*100</f>
        <v/>
      </c>
      <c r="L567" s="3">
        <f>RAW_INPUT!F567</f>
        <v/>
      </c>
      <c r="M567" s="3">
        <f>K567-L567</f>
        <v/>
      </c>
      <c r="N567" s="3">
        <f>IF(J567&gt;0, 1, 0)</f>
        <v/>
      </c>
      <c r="O567" s="3">
        <f>IF(J567&lt;0, 1, 0)</f>
        <v/>
      </c>
      <c r="P567" s="3">
        <f>SUM($J$3:J567)</f>
        <v/>
      </c>
      <c r="Q567" s="3">
        <f>P567/METRICS!$C$14*100</f>
        <v/>
      </c>
      <c r="R567" s="3">
        <f>METRICS!$C$14+P567</f>
        <v/>
      </c>
      <c r="S567" s="3">
        <f>MAX($R$3:R567)</f>
        <v/>
      </c>
      <c r="T567" s="3">
        <f>R567-S567</f>
        <v/>
      </c>
      <c r="U567" s="3">
        <f>(R567-S567)/S567*100</f>
        <v/>
      </c>
      <c r="V567" s="3">
        <f>IF(K567&lt;0, (K567/100)^2, 0)</f>
        <v/>
      </c>
    </row>
    <row r="568">
      <c r="A568" s="3">
        <f>TEXT(566, """T""0000")</f>
        <v/>
      </c>
      <c r="B568" s="3">
        <f>RAW_INPUT!A568</f>
        <v/>
      </c>
      <c r="C568" s="3">
        <f>RAW_INPUT!B568</f>
        <v/>
      </c>
      <c r="D568" s="3">
        <f>RAW_INPUT!D568</f>
        <v/>
      </c>
      <c r="E568" s="3">
        <f>D568-C568</f>
        <v/>
      </c>
      <c r="F568" s="3">
        <f>RAW_INPUT!C568</f>
        <v/>
      </c>
      <c r="G568" s="3">
        <f>RAW_INPUT!E568</f>
        <v/>
      </c>
      <c r="H568" s="3">
        <f>I568/F568</f>
        <v/>
      </c>
      <c r="I568" s="3">
        <f>METRICS!$C$14 * 0.02</f>
        <v/>
      </c>
      <c r="J568" s="3">
        <f>(G568-F568)*H568</f>
        <v/>
      </c>
      <c r="K568" s="3">
        <f>(G568-F568)/F568*100</f>
        <v/>
      </c>
      <c r="L568" s="3">
        <f>RAW_INPUT!F568</f>
        <v/>
      </c>
      <c r="M568" s="3">
        <f>K568-L568</f>
        <v/>
      </c>
      <c r="N568" s="3">
        <f>IF(J568&gt;0, 1, 0)</f>
        <v/>
      </c>
      <c r="O568" s="3">
        <f>IF(J568&lt;0, 1, 0)</f>
        <v/>
      </c>
      <c r="P568" s="3">
        <f>SUM($J$3:J568)</f>
        <v/>
      </c>
      <c r="Q568" s="3">
        <f>P568/METRICS!$C$14*100</f>
        <v/>
      </c>
      <c r="R568" s="3">
        <f>METRICS!$C$14+P568</f>
        <v/>
      </c>
      <c r="S568" s="3">
        <f>MAX($R$3:R568)</f>
        <v/>
      </c>
      <c r="T568" s="3">
        <f>R568-S568</f>
        <v/>
      </c>
      <c r="U568" s="3">
        <f>(R568-S568)/S568*100</f>
        <v/>
      </c>
      <c r="V568" s="3">
        <f>IF(K568&lt;0, (K568/100)^2, 0)</f>
        <v/>
      </c>
    </row>
    <row r="569">
      <c r="A569" s="3">
        <f>TEXT(567, """T""0000")</f>
        <v/>
      </c>
      <c r="B569" s="3">
        <f>RAW_INPUT!A569</f>
        <v/>
      </c>
      <c r="C569" s="3">
        <f>RAW_INPUT!B569</f>
        <v/>
      </c>
      <c r="D569" s="3">
        <f>RAW_INPUT!D569</f>
        <v/>
      </c>
      <c r="E569" s="3">
        <f>D569-C569</f>
        <v/>
      </c>
      <c r="F569" s="3">
        <f>RAW_INPUT!C569</f>
        <v/>
      </c>
      <c r="G569" s="3">
        <f>RAW_INPUT!E569</f>
        <v/>
      </c>
      <c r="H569" s="3">
        <f>I569/F569</f>
        <v/>
      </c>
      <c r="I569" s="3">
        <f>METRICS!$C$14 * 0.02</f>
        <v/>
      </c>
      <c r="J569" s="3">
        <f>(G569-F569)*H569</f>
        <v/>
      </c>
      <c r="K569" s="3">
        <f>(G569-F569)/F569*100</f>
        <v/>
      </c>
      <c r="L569" s="3">
        <f>RAW_INPUT!F569</f>
        <v/>
      </c>
      <c r="M569" s="3">
        <f>K569-L569</f>
        <v/>
      </c>
      <c r="N569" s="3">
        <f>IF(J569&gt;0, 1, 0)</f>
        <v/>
      </c>
      <c r="O569" s="3">
        <f>IF(J569&lt;0, 1, 0)</f>
        <v/>
      </c>
      <c r="P569" s="3">
        <f>SUM($J$3:J569)</f>
        <v/>
      </c>
      <c r="Q569" s="3">
        <f>P569/METRICS!$C$14*100</f>
        <v/>
      </c>
      <c r="R569" s="3">
        <f>METRICS!$C$14+P569</f>
        <v/>
      </c>
      <c r="S569" s="3">
        <f>MAX($R$3:R569)</f>
        <v/>
      </c>
      <c r="T569" s="3">
        <f>R569-S569</f>
        <v/>
      </c>
      <c r="U569" s="3">
        <f>(R569-S569)/S569*100</f>
        <v/>
      </c>
      <c r="V569" s="3">
        <f>IF(K569&lt;0, (K569/100)^2, 0)</f>
        <v/>
      </c>
    </row>
    <row r="570">
      <c r="A570" s="3">
        <f>TEXT(568, """T""0000")</f>
        <v/>
      </c>
      <c r="B570" s="3">
        <f>RAW_INPUT!A570</f>
        <v/>
      </c>
      <c r="C570" s="3">
        <f>RAW_INPUT!B570</f>
        <v/>
      </c>
      <c r="D570" s="3">
        <f>RAW_INPUT!D570</f>
        <v/>
      </c>
      <c r="E570" s="3">
        <f>D570-C570</f>
        <v/>
      </c>
      <c r="F570" s="3">
        <f>RAW_INPUT!C570</f>
        <v/>
      </c>
      <c r="G570" s="3">
        <f>RAW_INPUT!E570</f>
        <v/>
      </c>
      <c r="H570" s="3">
        <f>I570/F570</f>
        <v/>
      </c>
      <c r="I570" s="3">
        <f>METRICS!$C$14 * 0.02</f>
        <v/>
      </c>
      <c r="J570" s="3">
        <f>(G570-F570)*H570</f>
        <v/>
      </c>
      <c r="K570" s="3">
        <f>(G570-F570)/F570*100</f>
        <v/>
      </c>
      <c r="L570" s="3">
        <f>RAW_INPUT!F570</f>
        <v/>
      </c>
      <c r="M570" s="3">
        <f>K570-L570</f>
        <v/>
      </c>
      <c r="N570" s="3">
        <f>IF(J570&gt;0, 1, 0)</f>
        <v/>
      </c>
      <c r="O570" s="3">
        <f>IF(J570&lt;0, 1, 0)</f>
        <v/>
      </c>
      <c r="P570" s="3">
        <f>SUM($J$3:J570)</f>
        <v/>
      </c>
      <c r="Q570" s="3">
        <f>P570/METRICS!$C$14*100</f>
        <v/>
      </c>
      <c r="R570" s="3">
        <f>METRICS!$C$14+P570</f>
        <v/>
      </c>
      <c r="S570" s="3">
        <f>MAX($R$3:R570)</f>
        <v/>
      </c>
      <c r="T570" s="3">
        <f>R570-S570</f>
        <v/>
      </c>
      <c r="U570" s="3">
        <f>(R570-S570)/S570*100</f>
        <v/>
      </c>
      <c r="V570" s="3">
        <f>IF(K570&lt;0, (K570/100)^2, 0)</f>
        <v/>
      </c>
    </row>
    <row r="571">
      <c r="A571" s="3">
        <f>TEXT(569, """T""0000")</f>
        <v/>
      </c>
      <c r="B571" s="3">
        <f>RAW_INPUT!A571</f>
        <v/>
      </c>
      <c r="C571" s="3">
        <f>RAW_INPUT!B571</f>
        <v/>
      </c>
      <c r="D571" s="3">
        <f>RAW_INPUT!D571</f>
        <v/>
      </c>
      <c r="E571" s="3">
        <f>D571-C571</f>
        <v/>
      </c>
      <c r="F571" s="3">
        <f>RAW_INPUT!C571</f>
        <v/>
      </c>
      <c r="G571" s="3">
        <f>RAW_INPUT!E571</f>
        <v/>
      </c>
      <c r="H571" s="3">
        <f>I571/F571</f>
        <v/>
      </c>
      <c r="I571" s="3">
        <f>METRICS!$C$14 * 0.02</f>
        <v/>
      </c>
      <c r="J571" s="3">
        <f>(G571-F571)*H571</f>
        <v/>
      </c>
      <c r="K571" s="3">
        <f>(G571-F571)/F571*100</f>
        <v/>
      </c>
      <c r="L571" s="3">
        <f>RAW_INPUT!F571</f>
        <v/>
      </c>
      <c r="M571" s="3">
        <f>K571-L571</f>
        <v/>
      </c>
      <c r="N571" s="3">
        <f>IF(J571&gt;0, 1, 0)</f>
        <v/>
      </c>
      <c r="O571" s="3">
        <f>IF(J571&lt;0, 1, 0)</f>
        <v/>
      </c>
      <c r="P571" s="3">
        <f>SUM($J$3:J571)</f>
        <v/>
      </c>
      <c r="Q571" s="3">
        <f>P571/METRICS!$C$14*100</f>
        <v/>
      </c>
      <c r="R571" s="3">
        <f>METRICS!$C$14+P571</f>
        <v/>
      </c>
      <c r="S571" s="3">
        <f>MAX($R$3:R571)</f>
        <v/>
      </c>
      <c r="T571" s="3">
        <f>R571-S571</f>
        <v/>
      </c>
      <c r="U571" s="3">
        <f>(R571-S571)/S571*100</f>
        <v/>
      </c>
      <c r="V571" s="3">
        <f>IF(K571&lt;0, (K571/100)^2, 0)</f>
        <v/>
      </c>
    </row>
    <row r="572">
      <c r="A572" s="3">
        <f>TEXT(570, """T""0000")</f>
        <v/>
      </c>
      <c r="B572" s="3">
        <f>RAW_INPUT!A572</f>
        <v/>
      </c>
      <c r="C572" s="3">
        <f>RAW_INPUT!B572</f>
        <v/>
      </c>
      <c r="D572" s="3">
        <f>RAW_INPUT!D572</f>
        <v/>
      </c>
      <c r="E572" s="3">
        <f>D572-C572</f>
        <v/>
      </c>
      <c r="F572" s="3">
        <f>RAW_INPUT!C572</f>
        <v/>
      </c>
      <c r="G572" s="3">
        <f>RAW_INPUT!E572</f>
        <v/>
      </c>
      <c r="H572" s="3">
        <f>I572/F572</f>
        <v/>
      </c>
      <c r="I572" s="3">
        <f>METRICS!$C$14 * 0.02</f>
        <v/>
      </c>
      <c r="J572" s="3">
        <f>(G572-F572)*H572</f>
        <v/>
      </c>
      <c r="K572" s="3">
        <f>(G572-F572)/F572*100</f>
        <v/>
      </c>
      <c r="L572" s="3">
        <f>RAW_INPUT!F572</f>
        <v/>
      </c>
      <c r="M572" s="3">
        <f>K572-L572</f>
        <v/>
      </c>
      <c r="N572" s="3">
        <f>IF(J572&gt;0, 1, 0)</f>
        <v/>
      </c>
      <c r="O572" s="3">
        <f>IF(J572&lt;0, 1, 0)</f>
        <v/>
      </c>
      <c r="P572" s="3">
        <f>SUM($J$3:J572)</f>
        <v/>
      </c>
      <c r="Q572" s="3">
        <f>P572/METRICS!$C$14*100</f>
        <v/>
      </c>
      <c r="R572" s="3">
        <f>METRICS!$C$14+P572</f>
        <v/>
      </c>
      <c r="S572" s="3">
        <f>MAX($R$3:R572)</f>
        <v/>
      </c>
      <c r="T572" s="3">
        <f>R572-S572</f>
        <v/>
      </c>
      <c r="U572" s="3">
        <f>(R572-S572)/S572*100</f>
        <v/>
      </c>
      <c r="V572" s="3">
        <f>IF(K572&lt;0, (K572/100)^2, 0)</f>
        <v/>
      </c>
    </row>
    <row r="573">
      <c r="A573" s="3">
        <f>TEXT(571, """T""0000")</f>
        <v/>
      </c>
      <c r="B573" s="3">
        <f>RAW_INPUT!A573</f>
        <v/>
      </c>
      <c r="C573" s="3">
        <f>RAW_INPUT!B573</f>
        <v/>
      </c>
      <c r="D573" s="3">
        <f>RAW_INPUT!D573</f>
        <v/>
      </c>
      <c r="E573" s="3">
        <f>D573-C573</f>
        <v/>
      </c>
      <c r="F573" s="3">
        <f>RAW_INPUT!C573</f>
        <v/>
      </c>
      <c r="G573" s="3">
        <f>RAW_INPUT!E573</f>
        <v/>
      </c>
      <c r="H573" s="3">
        <f>I573/F573</f>
        <v/>
      </c>
      <c r="I573" s="3">
        <f>METRICS!$C$14 * 0.02</f>
        <v/>
      </c>
      <c r="J573" s="3">
        <f>(G573-F573)*H573</f>
        <v/>
      </c>
      <c r="K573" s="3">
        <f>(G573-F573)/F573*100</f>
        <v/>
      </c>
      <c r="L573" s="3">
        <f>RAW_INPUT!F573</f>
        <v/>
      </c>
      <c r="M573" s="3">
        <f>K573-L573</f>
        <v/>
      </c>
      <c r="N573" s="3">
        <f>IF(J573&gt;0, 1, 0)</f>
        <v/>
      </c>
      <c r="O573" s="3">
        <f>IF(J573&lt;0, 1, 0)</f>
        <v/>
      </c>
      <c r="P573" s="3">
        <f>SUM($J$3:J573)</f>
        <v/>
      </c>
      <c r="Q573" s="3">
        <f>P573/METRICS!$C$14*100</f>
        <v/>
      </c>
      <c r="R573" s="3">
        <f>METRICS!$C$14+P573</f>
        <v/>
      </c>
      <c r="S573" s="3">
        <f>MAX($R$3:R573)</f>
        <v/>
      </c>
      <c r="T573" s="3">
        <f>R573-S573</f>
        <v/>
      </c>
      <c r="U573" s="3">
        <f>(R573-S573)/S573*100</f>
        <v/>
      </c>
      <c r="V573" s="3">
        <f>IF(K573&lt;0, (K573/100)^2, 0)</f>
        <v/>
      </c>
    </row>
    <row r="574">
      <c r="A574" s="3">
        <f>TEXT(572, """T""0000")</f>
        <v/>
      </c>
      <c r="B574" s="3">
        <f>RAW_INPUT!A574</f>
        <v/>
      </c>
      <c r="C574" s="3">
        <f>RAW_INPUT!B574</f>
        <v/>
      </c>
      <c r="D574" s="3">
        <f>RAW_INPUT!D574</f>
        <v/>
      </c>
      <c r="E574" s="3">
        <f>D574-C574</f>
        <v/>
      </c>
      <c r="F574" s="3">
        <f>RAW_INPUT!C574</f>
        <v/>
      </c>
      <c r="G574" s="3">
        <f>RAW_INPUT!E574</f>
        <v/>
      </c>
      <c r="H574" s="3">
        <f>I574/F574</f>
        <v/>
      </c>
      <c r="I574" s="3">
        <f>METRICS!$C$14 * 0.02</f>
        <v/>
      </c>
      <c r="J574" s="3">
        <f>(G574-F574)*H574</f>
        <v/>
      </c>
      <c r="K574" s="3">
        <f>(G574-F574)/F574*100</f>
        <v/>
      </c>
      <c r="L574" s="3">
        <f>RAW_INPUT!F574</f>
        <v/>
      </c>
      <c r="M574" s="3">
        <f>K574-L574</f>
        <v/>
      </c>
      <c r="N574" s="3">
        <f>IF(J574&gt;0, 1, 0)</f>
        <v/>
      </c>
      <c r="O574" s="3">
        <f>IF(J574&lt;0, 1, 0)</f>
        <v/>
      </c>
      <c r="P574" s="3">
        <f>SUM($J$3:J574)</f>
        <v/>
      </c>
      <c r="Q574" s="3">
        <f>P574/METRICS!$C$14*100</f>
        <v/>
      </c>
      <c r="R574" s="3">
        <f>METRICS!$C$14+P574</f>
        <v/>
      </c>
      <c r="S574" s="3">
        <f>MAX($R$3:R574)</f>
        <v/>
      </c>
      <c r="T574" s="3">
        <f>R574-S574</f>
        <v/>
      </c>
      <c r="U574" s="3">
        <f>(R574-S574)/S574*100</f>
        <v/>
      </c>
      <c r="V574" s="3">
        <f>IF(K574&lt;0, (K574/100)^2, 0)</f>
        <v/>
      </c>
    </row>
    <row r="575">
      <c r="A575" s="3">
        <f>TEXT(573, """T""0000")</f>
        <v/>
      </c>
      <c r="B575" s="3">
        <f>RAW_INPUT!A575</f>
        <v/>
      </c>
      <c r="C575" s="3">
        <f>RAW_INPUT!B575</f>
        <v/>
      </c>
      <c r="D575" s="3">
        <f>RAW_INPUT!D575</f>
        <v/>
      </c>
      <c r="E575" s="3">
        <f>D575-C575</f>
        <v/>
      </c>
      <c r="F575" s="3">
        <f>RAW_INPUT!C575</f>
        <v/>
      </c>
      <c r="G575" s="3">
        <f>RAW_INPUT!E575</f>
        <v/>
      </c>
      <c r="H575" s="3">
        <f>I575/F575</f>
        <v/>
      </c>
      <c r="I575" s="3">
        <f>METRICS!$C$14 * 0.02</f>
        <v/>
      </c>
      <c r="J575" s="3">
        <f>(G575-F575)*H575</f>
        <v/>
      </c>
      <c r="K575" s="3">
        <f>(G575-F575)/F575*100</f>
        <v/>
      </c>
      <c r="L575" s="3">
        <f>RAW_INPUT!F575</f>
        <v/>
      </c>
      <c r="M575" s="3">
        <f>K575-L575</f>
        <v/>
      </c>
      <c r="N575" s="3">
        <f>IF(J575&gt;0, 1, 0)</f>
        <v/>
      </c>
      <c r="O575" s="3">
        <f>IF(J575&lt;0, 1, 0)</f>
        <v/>
      </c>
      <c r="P575" s="3">
        <f>SUM($J$3:J575)</f>
        <v/>
      </c>
      <c r="Q575" s="3">
        <f>P575/METRICS!$C$14*100</f>
        <v/>
      </c>
      <c r="R575" s="3">
        <f>METRICS!$C$14+P575</f>
        <v/>
      </c>
      <c r="S575" s="3">
        <f>MAX($R$3:R575)</f>
        <v/>
      </c>
      <c r="T575" s="3">
        <f>R575-S575</f>
        <v/>
      </c>
      <c r="U575" s="3">
        <f>(R575-S575)/S575*100</f>
        <v/>
      </c>
      <c r="V575" s="3">
        <f>IF(K575&lt;0, (K575/100)^2, 0)</f>
        <v/>
      </c>
    </row>
    <row r="576">
      <c r="A576" s="3">
        <f>TEXT(574, """T""0000")</f>
        <v/>
      </c>
      <c r="B576" s="3">
        <f>RAW_INPUT!A576</f>
        <v/>
      </c>
      <c r="C576" s="3">
        <f>RAW_INPUT!B576</f>
        <v/>
      </c>
      <c r="D576" s="3">
        <f>RAW_INPUT!D576</f>
        <v/>
      </c>
      <c r="E576" s="3">
        <f>D576-C576</f>
        <v/>
      </c>
      <c r="F576" s="3">
        <f>RAW_INPUT!C576</f>
        <v/>
      </c>
      <c r="G576" s="3">
        <f>RAW_INPUT!E576</f>
        <v/>
      </c>
      <c r="H576" s="3">
        <f>I576/F576</f>
        <v/>
      </c>
      <c r="I576" s="3">
        <f>METRICS!$C$14 * 0.02</f>
        <v/>
      </c>
      <c r="J576" s="3">
        <f>(G576-F576)*H576</f>
        <v/>
      </c>
      <c r="K576" s="3">
        <f>(G576-F576)/F576*100</f>
        <v/>
      </c>
      <c r="L576" s="3">
        <f>RAW_INPUT!F576</f>
        <v/>
      </c>
      <c r="M576" s="3">
        <f>K576-L576</f>
        <v/>
      </c>
      <c r="N576" s="3">
        <f>IF(J576&gt;0, 1, 0)</f>
        <v/>
      </c>
      <c r="O576" s="3">
        <f>IF(J576&lt;0, 1, 0)</f>
        <v/>
      </c>
      <c r="P576" s="3">
        <f>SUM($J$3:J576)</f>
        <v/>
      </c>
      <c r="Q576" s="3">
        <f>P576/METRICS!$C$14*100</f>
        <v/>
      </c>
      <c r="R576" s="3">
        <f>METRICS!$C$14+P576</f>
        <v/>
      </c>
      <c r="S576" s="3">
        <f>MAX($R$3:R576)</f>
        <v/>
      </c>
      <c r="T576" s="3">
        <f>R576-S576</f>
        <v/>
      </c>
      <c r="U576" s="3">
        <f>(R576-S576)/S576*100</f>
        <v/>
      </c>
      <c r="V576" s="3">
        <f>IF(K576&lt;0, (K576/100)^2, 0)</f>
        <v/>
      </c>
    </row>
    <row r="577">
      <c r="A577" s="3">
        <f>TEXT(575, """T""0000")</f>
        <v/>
      </c>
      <c r="B577" s="3">
        <f>RAW_INPUT!A577</f>
        <v/>
      </c>
      <c r="C577" s="3">
        <f>RAW_INPUT!B577</f>
        <v/>
      </c>
      <c r="D577" s="3">
        <f>RAW_INPUT!D577</f>
        <v/>
      </c>
      <c r="E577" s="3">
        <f>D577-C577</f>
        <v/>
      </c>
      <c r="F577" s="3">
        <f>RAW_INPUT!C577</f>
        <v/>
      </c>
      <c r="G577" s="3">
        <f>RAW_INPUT!E577</f>
        <v/>
      </c>
      <c r="H577" s="3">
        <f>I577/F577</f>
        <v/>
      </c>
      <c r="I577" s="3">
        <f>METRICS!$C$14 * 0.02</f>
        <v/>
      </c>
      <c r="J577" s="3">
        <f>(G577-F577)*H577</f>
        <v/>
      </c>
      <c r="K577" s="3">
        <f>(G577-F577)/F577*100</f>
        <v/>
      </c>
      <c r="L577" s="3">
        <f>RAW_INPUT!F577</f>
        <v/>
      </c>
      <c r="M577" s="3">
        <f>K577-L577</f>
        <v/>
      </c>
      <c r="N577" s="3">
        <f>IF(J577&gt;0, 1, 0)</f>
        <v/>
      </c>
      <c r="O577" s="3">
        <f>IF(J577&lt;0, 1, 0)</f>
        <v/>
      </c>
      <c r="P577" s="3">
        <f>SUM($J$3:J577)</f>
        <v/>
      </c>
      <c r="Q577" s="3">
        <f>P577/METRICS!$C$14*100</f>
        <v/>
      </c>
      <c r="R577" s="3">
        <f>METRICS!$C$14+P577</f>
        <v/>
      </c>
      <c r="S577" s="3">
        <f>MAX($R$3:R577)</f>
        <v/>
      </c>
      <c r="T577" s="3">
        <f>R577-S577</f>
        <v/>
      </c>
      <c r="U577" s="3">
        <f>(R577-S577)/S577*100</f>
        <v/>
      </c>
      <c r="V577" s="3">
        <f>IF(K577&lt;0, (K577/100)^2, 0)</f>
        <v/>
      </c>
    </row>
    <row r="578">
      <c r="A578" s="3">
        <f>TEXT(576, """T""0000")</f>
        <v/>
      </c>
      <c r="B578" s="3">
        <f>RAW_INPUT!A578</f>
        <v/>
      </c>
      <c r="C578" s="3">
        <f>RAW_INPUT!B578</f>
        <v/>
      </c>
      <c r="D578" s="3">
        <f>RAW_INPUT!D578</f>
        <v/>
      </c>
      <c r="E578" s="3">
        <f>D578-C578</f>
        <v/>
      </c>
      <c r="F578" s="3">
        <f>RAW_INPUT!C578</f>
        <v/>
      </c>
      <c r="G578" s="3">
        <f>RAW_INPUT!E578</f>
        <v/>
      </c>
      <c r="H578" s="3">
        <f>I578/F578</f>
        <v/>
      </c>
      <c r="I578" s="3">
        <f>METRICS!$C$14 * 0.02</f>
        <v/>
      </c>
      <c r="J578" s="3">
        <f>(G578-F578)*H578</f>
        <v/>
      </c>
      <c r="K578" s="3">
        <f>(G578-F578)/F578*100</f>
        <v/>
      </c>
      <c r="L578" s="3">
        <f>RAW_INPUT!F578</f>
        <v/>
      </c>
      <c r="M578" s="3">
        <f>K578-L578</f>
        <v/>
      </c>
      <c r="N578" s="3">
        <f>IF(J578&gt;0, 1, 0)</f>
        <v/>
      </c>
      <c r="O578" s="3">
        <f>IF(J578&lt;0, 1, 0)</f>
        <v/>
      </c>
      <c r="P578" s="3">
        <f>SUM($J$3:J578)</f>
        <v/>
      </c>
      <c r="Q578" s="3">
        <f>P578/METRICS!$C$14*100</f>
        <v/>
      </c>
      <c r="R578" s="3">
        <f>METRICS!$C$14+P578</f>
        <v/>
      </c>
      <c r="S578" s="3">
        <f>MAX($R$3:R578)</f>
        <v/>
      </c>
      <c r="T578" s="3">
        <f>R578-S578</f>
        <v/>
      </c>
      <c r="U578" s="3">
        <f>(R578-S578)/S578*100</f>
        <v/>
      </c>
      <c r="V578" s="3">
        <f>IF(K578&lt;0, (K578/100)^2, 0)</f>
        <v/>
      </c>
    </row>
    <row r="579">
      <c r="A579" s="3">
        <f>TEXT(577, """T""0000")</f>
        <v/>
      </c>
      <c r="B579" s="3">
        <f>RAW_INPUT!A579</f>
        <v/>
      </c>
      <c r="C579" s="3">
        <f>RAW_INPUT!B579</f>
        <v/>
      </c>
      <c r="D579" s="3">
        <f>RAW_INPUT!D579</f>
        <v/>
      </c>
      <c r="E579" s="3">
        <f>D579-C579</f>
        <v/>
      </c>
      <c r="F579" s="3">
        <f>RAW_INPUT!C579</f>
        <v/>
      </c>
      <c r="G579" s="3">
        <f>RAW_INPUT!E579</f>
        <v/>
      </c>
      <c r="H579" s="3">
        <f>I579/F579</f>
        <v/>
      </c>
      <c r="I579" s="3">
        <f>METRICS!$C$14 * 0.02</f>
        <v/>
      </c>
      <c r="J579" s="3">
        <f>(G579-F579)*H579</f>
        <v/>
      </c>
      <c r="K579" s="3">
        <f>(G579-F579)/F579*100</f>
        <v/>
      </c>
      <c r="L579" s="3">
        <f>RAW_INPUT!F579</f>
        <v/>
      </c>
      <c r="M579" s="3">
        <f>K579-L579</f>
        <v/>
      </c>
      <c r="N579" s="3">
        <f>IF(J579&gt;0, 1, 0)</f>
        <v/>
      </c>
      <c r="O579" s="3">
        <f>IF(J579&lt;0, 1, 0)</f>
        <v/>
      </c>
      <c r="P579" s="3">
        <f>SUM($J$3:J579)</f>
        <v/>
      </c>
      <c r="Q579" s="3">
        <f>P579/METRICS!$C$14*100</f>
        <v/>
      </c>
      <c r="R579" s="3">
        <f>METRICS!$C$14+P579</f>
        <v/>
      </c>
      <c r="S579" s="3">
        <f>MAX($R$3:R579)</f>
        <v/>
      </c>
      <c r="T579" s="3">
        <f>R579-S579</f>
        <v/>
      </c>
      <c r="U579" s="3">
        <f>(R579-S579)/S579*100</f>
        <v/>
      </c>
      <c r="V579" s="3">
        <f>IF(K579&lt;0, (K579/100)^2, 0)</f>
        <v/>
      </c>
    </row>
    <row r="580">
      <c r="A580" s="3">
        <f>TEXT(578, """T""0000")</f>
        <v/>
      </c>
      <c r="B580" s="3">
        <f>RAW_INPUT!A580</f>
        <v/>
      </c>
      <c r="C580" s="3">
        <f>RAW_INPUT!B580</f>
        <v/>
      </c>
      <c r="D580" s="3">
        <f>RAW_INPUT!D580</f>
        <v/>
      </c>
      <c r="E580" s="3">
        <f>D580-C580</f>
        <v/>
      </c>
      <c r="F580" s="3">
        <f>RAW_INPUT!C580</f>
        <v/>
      </c>
      <c r="G580" s="3">
        <f>RAW_INPUT!E580</f>
        <v/>
      </c>
      <c r="H580" s="3">
        <f>I580/F580</f>
        <v/>
      </c>
      <c r="I580" s="3">
        <f>METRICS!$C$14 * 0.02</f>
        <v/>
      </c>
      <c r="J580" s="3">
        <f>(G580-F580)*H580</f>
        <v/>
      </c>
      <c r="K580" s="3">
        <f>(G580-F580)/F580*100</f>
        <v/>
      </c>
      <c r="L580" s="3">
        <f>RAW_INPUT!F580</f>
        <v/>
      </c>
      <c r="M580" s="3">
        <f>K580-L580</f>
        <v/>
      </c>
      <c r="N580" s="3">
        <f>IF(J580&gt;0, 1, 0)</f>
        <v/>
      </c>
      <c r="O580" s="3">
        <f>IF(J580&lt;0, 1, 0)</f>
        <v/>
      </c>
      <c r="P580" s="3">
        <f>SUM($J$3:J580)</f>
        <v/>
      </c>
      <c r="Q580" s="3">
        <f>P580/METRICS!$C$14*100</f>
        <v/>
      </c>
      <c r="R580" s="3">
        <f>METRICS!$C$14+P580</f>
        <v/>
      </c>
      <c r="S580" s="3">
        <f>MAX($R$3:R580)</f>
        <v/>
      </c>
      <c r="T580" s="3">
        <f>R580-S580</f>
        <v/>
      </c>
      <c r="U580" s="3">
        <f>(R580-S580)/S580*100</f>
        <v/>
      </c>
      <c r="V580" s="3">
        <f>IF(K580&lt;0, (K580/100)^2, 0)</f>
        <v/>
      </c>
    </row>
    <row r="581">
      <c r="A581" s="3">
        <f>TEXT(579, """T""0000")</f>
        <v/>
      </c>
      <c r="B581" s="3">
        <f>RAW_INPUT!A581</f>
        <v/>
      </c>
      <c r="C581" s="3">
        <f>RAW_INPUT!B581</f>
        <v/>
      </c>
      <c r="D581" s="3">
        <f>RAW_INPUT!D581</f>
        <v/>
      </c>
      <c r="E581" s="3">
        <f>D581-C581</f>
        <v/>
      </c>
      <c r="F581" s="3">
        <f>RAW_INPUT!C581</f>
        <v/>
      </c>
      <c r="G581" s="3">
        <f>RAW_INPUT!E581</f>
        <v/>
      </c>
      <c r="H581" s="3">
        <f>I581/F581</f>
        <v/>
      </c>
      <c r="I581" s="3">
        <f>METRICS!$C$14 * 0.02</f>
        <v/>
      </c>
      <c r="J581" s="3">
        <f>(G581-F581)*H581</f>
        <v/>
      </c>
      <c r="K581" s="3">
        <f>(G581-F581)/F581*100</f>
        <v/>
      </c>
      <c r="L581" s="3">
        <f>RAW_INPUT!F581</f>
        <v/>
      </c>
      <c r="M581" s="3">
        <f>K581-L581</f>
        <v/>
      </c>
      <c r="N581" s="3">
        <f>IF(J581&gt;0, 1, 0)</f>
        <v/>
      </c>
      <c r="O581" s="3">
        <f>IF(J581&lt;0, 1, 0)</f>
        <v/>
      </c>
      <c r="P581" s="3">
        <f>SUM($J$3:J581)</f>
        <v/>
      </c>
      <c r="Q581" s="3">
        <f>P581/METRICS!$C$14*100</f>
        <v/>
      </c>
      <c r="R581" s="3">
        <f>METRICS!$C$14+P581</f>
        <v/>
      </c>
      <c r="S581" s="3">
        <f>MAX($R$3:R581)</f>
        <v/>
      </c>
      <c r="T581" s="3">
        <f>R581-S581</f>
        <v/>
      </c>
      <c r="U581" s="3">
        <f>(R581-S581)/S581*100</f>
        <v/>
      </c>
      <c r="V581" s="3">
        <f>IF(K581&lt;0, (K581/100)^2, 0)</f>
        <v/>
      </c>
    </row>
    <row r="582">
      <c r="A582" s="3">
        <f>TEXT(580, """T""0000")</f>
        <v/>
      </c>
      <c r="B582" s="3">
        <f>RAW_INPUT!A582</f>
        <v/>
      </c>
      <c r="C582" s="3">
        <f>RAW_INPUT!B582</f>
        <v/>
      </c>
      <c r="D582" s="3">
        <f>RAW_INPUT!D582</f>
        <v/>
      </c>
      <c r="E582" s="3">
        <f>D582-C582</f>
        <v/>
      </c>
      <c r="F582" s="3">
        <f>RAW_INPUT!C582</f>
        <v/>
      </c>
      <c r="G582" s="3">
        <f>RAW_INPUT!E582</f>
        <v/>
      </c>
      <c r="H582" s="3">
        <f>I582/F582</f>
        <v/>
      </c>
      <c r="I582" s="3">
        <f>METRICS!$C$14 * 0.02</f>
        <v/>
      </c>
      <c r="J582" s="3">
        <f>(G582-F582)*H582</f>
        <v/>
      </c>
      <c r="K582" s="3">
        <f>(G582-F582)/F582*100</f>
        <v/>
      </c>
      <c r="L582" s="3">
        <f>RAW_INPUT!F582</f>
        <v/>
      </c>
      <c r="M582" s="3">
        <f>K582-L582</f>
        <v/>
      </c>
      <c r="N582" s="3">
        <f>IF(J582&gt;0, 1, 0)</f>
        <v/>
      </c>
      <c r="O582" s="3">
        <f>IF(J582&lt;0, 1, 0)</f>
        <v/>
      </c>
      <c r="P582" s="3">
        <f>SUM($J$3:J582)</f>
        <v/>
      </c>
      <c r="Q582" s="3">
        <f>P582/METRICS!$C$14*100</f>
        <v/>
      </c>
      <c r="R582" s="3">
        <f>METRICS!$C$14+P582</f>
        <v/>
      </c>
      <c r="S582" s="3">
        <f>MAX($R$3:R582)</f>
        <v/>
      </c>
      <c r="T582" s="3">
        <f>R582-S582</f>
        <v/>
      </c>
      <c r="U582" s="3">
        <f>(R582-S582)/S582*100</f>
        <v/>
      </c>
      <c r="V582" s="3">
        <f>IF(K582&lt;0, (K582/100)^2, 0)</f>
        <v/>
      </c>
    </row>
    <row r="583">
      <c r="A583" s="3">
        <f>TEXT(581, """T""0000")</f>
        <v/>
      </c>
      <c r="B583" s="3">
        <f>RAW_INPUT!A583</f>
        <v/>
      </c>
      <c r="C583" s="3">
        <f>RAW_INPUT!B583</f>
        <v/>
      </c>
      <c r="D583" s="3">
        <f>RAW_INPUT!D583</f>
        <v/>
      </c>
      <c r="E583" s="3">
        <f>D583-C583</f>
        <v/>
      </c>
      <c r="F583" s="3">
        <f>RAW_INPUT!C583</f>
        <v/>
      </c>
      <c r="G583" s="3">
        <f>RAW_INPUT!E583</f>
        <v/>
      </c>
      <c r="H583" s="3">
        <f>I583/F583</f>
        <v/>
      </c>
      <c r="I583" s="3">
        <f>METRICS!$C$14 * 0.02</f>
        <v/>
      </c>
      <c r="J583" s="3">
        <f>(G583-F583)*H583</f>
        <v/>
      </c>
      <c r="K583" s="3">
        <f>(G583-F583)/F583*100</f>
        <v/>
      </c>
      <c r="L583" s="3">
        <f>RAW_INPUT!F583</f>
        <v/>
      </c>
      <c r="M583" s="3">
        <f>K583-L583</f>
        <v/>
      </c>
      <c r="N583" s="3">
        <f>IF(J583&gt;0, 1, 0)</f>
        <v/>
      </c>
      <c r="O583" s="3">
        <f>IF(J583&lt;0, 1, 0)</f>
        <v/>
      </c>
      <c r="P583" s="3">
        <f>SUM($J$3:J583)</f>
        <v/>
      </c>
      <c r="Q583" s="3">
        <f>P583/METRICS!$C$14*100</f>
        <v/>
      </c>
      <c r="R583" s="3">
        <f>METRICS!$C$14+P583</f>
        <v/>
      </c>
      <c r="S583" s="3">
        <f>MAX($R$3:R583)</f>
        <v/>
      </c>
      <c r="T583" s="3">
        <f>R583-S583</f>
        <v/>
      </c>
      <c r="U583" s="3">
        <f>(R583-S583)/S583*100</f>
        <v/>
      </c>
      <c r="V583" s="3">
        <f>IF(K583&lt;0, (K583/100)^2, 0)</f>
        <v/>
      </c>
    </row>
    <row r="584">
      <c r="A584" s="3">
        <f>TEXT(582, """T""0000")</f>
        <v/>
      </c>
      <c r="B584" s="3">
        <f>RAW_INPUT!A584</f>
        <v/>
      </c>
      <c r="C584" s="3">
        <f>RAW_INPUT!B584</f>
        <v/>
      </c>
      <c r="D584" s="3">
        <f>RAW_INPUT!D584</f>
        <v/>
      </c>
      <c r="E584" s="3">
        <f>D584-C584</f>
        <v/>
      </c>
      <c r="F584" s="3">
        <f>RAW_INPUT!C584</f>
        <v/>
      </c>
      <c r="G584" s="3">
        <f>RAW_INPUT!E584</f>
        <v/>
      </c>
      <c r="H584" s="3">
        <f>I584/F584</f>
        <v/>
      </c>
      <c r="I584" s="3">
        <f>METRICS!$C$14 * 0.02</f>
        <v/>
      </c>
      <c r="J584" s="3">
        <f>(G584-F584)*H584</f>
        <v/>
      </c>
      <c r="K584" s="3">
        <f>(G584-F584)/F584*100</f>
        <v/>
      </c>
      <c r="L584" s="3">
        <f>RAW_INPUT!F584</f>
        <v/>
      </c>
      <c r="M584" s="3">
        <f>K584-L584</f>
        <v/>
      </c>
      <c r="N584" s="3">
        <f>IF(J584&gt;0, 1, 0)</f>
        <v/>
      </c>
      <c r="O584" s="3">
        <f>IF(J584&lt;0, 1, 0)</f>
        <v/>
      </c>
      <c r="P584" s="3">
        <f>SUM($J$3:J584)</f>
        <v/>
      </c>
      <c r="Q584" s="3">
        <f>P584/METRICS!$C$14*100</f>
        <v/>
      </c>
      <c r="R584" s="3">
        <f>METRICS!$C$14+P584</f>
        <v/>
      </c>
      <c r="S584" s="3">
        <f>MAX($R$3:R584)</f>
        <v/>
      </c>
      <c r="T584" s="3">
        <f>R584-S584</f>
        <v/>
      </c>
      <c r="U584" s="3">
        <f>(R584-S584)/S584*100</f>
        <v/>
      </c>
      <c r="V584" s="3">
        <f>IF(K584&lt;0, (K584/100)^2, 0)</f>
        <v/>
      </c>
    </row>
    <row r="585">
      <c r="A585" s="3">
        <f>TEXT(583, """T""0000")</f>
        <v/>
      </c>
      <c r="B585" s="3">
        <f>RAW_INPUT!A585</f>
        <v/>
      </c>
      <c r="C585" s="3">
        <f>RAW_INPUT!B585</f>
        <v/>
      </c>
      <c r="D585" s="3">
        <f>RAW_INPUT!D585</f>
        <v/>
      </c>
      <c r="E585" s="3">
        <f>D585-C585</f>
        <v/>
      </c>
      <c r="F585" s="3">
        <f>RAW_INPUT!C585</f>
        <v/>
      </c>
      <c r="G585" s="3">
        <f>RAW_INPUT!E585</f>
        <v/>
      </c>
      <c r="H585" s="3">
        <f>I585/F585</f>
        <v/>
      </c>
      <c r="I585" s="3">
        <f>METRICS!$C$14 * 0.02</f>
        <v/>
      </c>
      <c r="J585" s="3">
        <f>(G585-F585)*H585</f>
        <v/>
      </c>
      <c r="K585" s="3">
        <f>(G585-F585)/F585*100</f>
        <v/>
      </c>
      <c r="L585" s="3">
        <f>RAW_INPUT!F585</f>
        <v/>
      </c>
      <c r="M585" s="3">
        <f>K585-L585</f>
        <v/>
      </c>
      <c r="N585" s="3">
        <f>IF(J585&gt;0, 1, 0)</f>
        <v/>
      </c>
      <c r="O585" s="3">
        <f>IF(J585&lt;0, 1, 0)</f>
        <v/>
      </c>
      <c r="P585" s="3">
        <f>SUM($J$3:J585)</f>
        <v/>
      </c>
      <c r="Q585" s="3">
        <f>P585/METRICS!$C$14*100</f>
        <v/>
      </c>
      <c r="R585" s="3">
        <f>METRICS!$C$14+P585</f>
        <v/>
      </c>
      <c r="S585" s="3">
        <f>MAX($R$3:R585)</f>
        <v/>
      </c>
      <c r="T585" s="3">
        <f>R585-S585</f>
        <v/>
      </c>
      <c r="U585" s="3">
        <f>(R585-S585)/S585*100</f>
        <v/>
      </c>
      <c r="V585" s="3">
        <f>IF(K585&lt;0, (K585/100)^2, 0)</f>
        <v/>
      </c>
    </row>
    <row r="586">
      <c r="A586" s="3">
        <f>TEXT(584, """T""0000")</f>
        <v/>
      </c>
      <c r="B586" s="3">
        <f>RAW_INPUT!A586</f>
        <v/>
      </c>
      <c r="C586" s="3">
        <f>RAW_INPUT!B586</f>
        <v/>
      </c>
      <c r="D586" s="3">
        <f>RAW_INPUT!D586</f>
        <v/>
      </c>
      <c r="E586" s="3">
        <f>D586-C586</f>
        <v/>
      </c>
      <c r="F586" s="3">
        <f>RAW_INPUT!C586</f>
        <v/>
      </c>
      <c r="G586" s="3">
        <f>RAW_INPUT!E586</f>
        <v/>
      </c>
      <c r="H586" s="3">
        <f>I586/F586</f>
        <v/>
      </c>
      <c r="I586" s="3">
        <f>METRICS!$C$14 * 0.02</f>
        <v/>
      </c>
      <c r="J586" s="3">
        <f>(G586-F586)*H586</f>
        <v/>
      </c>
      <c r="K586" s="3">
        <f>(G586-F586)/F586*100</f>
        <v/>
      </c>
      <c r="L586" s="3">
        <f>RAW_INPUT!F586</f>
        <v/>
      </c>
      <c r="M586" s="3">
        <f>K586-L586</f>
        <v/>
      </c>
      <c r="N586" s="3">
        <f>IF(J586&gt;0, 1, 0)</f>
        <v/>
      </c>
      <c r="O586" s="3">
        <f>IF(J586&lt;0, 1, 0)</f>
        <v/>
      </c>
      <c r="P586" s="3">
        <f>SUM($J$3:J586)</f>
        <v/>
      </c>
      <c r="Q586" s="3">
        <f>P586/METRICS!$C$14*100</f>
        <v/>
      </c>
      <c r="R586" s="3">
        <f>METRICS!$C$14+P586</f>
        <v/>
      </c>
      <c r="S586" s="3">
        <f>MAX($R$3:R586)</f>
        <v/>
      </c>
      <c r="T586" s="3">
        <f>R586-S586</f>
        <v/>
      </c>
      <c r="U586" s="3">
        <f>(R586-S586)/S586*100</f>
        <v/>
      </c>
      <c r="V586" s="3">
        <f>IF(K586&lt;0, (K586/100)^2, 0)</f>
        <v/>
      </c>
    </row>
    <row r="587">
      <c r="A587" s="3">
        <f>TEXT(585, """T""0000")</f>
        <v/>
      </c>
      <c r="B587" s="3">
        <f>RAW_INPUT!A587</f>
        <v/>
      </c>
      <c r="C587" s="3">
        <f>RAW_INPUT!B587</f>
        <v/>
      </c>
      <c r="D587" s="3">
        <f>RAW_INPUT!D587</f>
        <v/>
      </c>
      <c r="E587" s="3">
        <f>D587-C587</f>
        <v/>
      </c>
      <c r="F587" s="3">
        <f>RAW_INPUT!C587</f>
        <v/>
      </c>
      <c r="G587" s="3">
        <f>RAW_INPUT!E587</f>
        <v/>
      </c>
      <c r="H587" s="3">
        <f>I587/F587</f>
        <v/>
      </c>
      <c r="I587" s="3">
        <f>METRICS!$C$14 * 0.02</f>
        <v/>
      </c>
      <c r="J587" s="3">
        <f>(G587-F587)*H587</f>
        <v/>
      </c>
      <c r="K587" s="3">
        <f>(G587-F587)/F587*100</f>
        <v/>
      </c>
      <c r="L587" s="3">
        <f>RAW_INPUT!F587</f>
        <v/>
      </c>
      <c r="M587" s="3">
        <f>K587-L587</f>
        <v/>
      </c>
      <c r="N587" s="3">
        <f>IF(J587&gt;0, 1, 0)</f>
        <v/>
      </c>
      <c r="O587" s="3">
        <f>IF(J587&lt;0, 1, 0)</f>
        <v/>
      </c>
      <c r="P587" s="3">
        <f>SUM($J$3:J587)</f>
        <v/>
      </c>
      <c r="Q587" s="3">
        <f>P587/METRICS!$C$14*100</f>
        <v/>
      </c>
      <c r="R587" s="3">
        <f>METRICS!$C$14+P587</f>
        <v/>
      </c>
      <c r="S587" s="3">
        <f>MAX($R$3:R587)</f>
        <v/>
      </c>
      <c r="T587" s="3">
        <f>R587-S587</f>
        <v/>
      </c>
      <c r="U587" s="3">
        <f>(R587-S587)/S587*100</f>
        <v/>
      </c>
      <c r="V587" s="3">
        <f>IF(K587&lt;0, (K587/100)^2, 0)</f>
        <v/>
      </c>
    </row>
    <row r="588">
      <c r="A588" s="3">
        <f>TEXT(586, """T""0000")</f>
        <v/>
      </c>
      <c r="B588" s="3">
        <f>RAW_INPUT!A588</f>
        <v/>
      </c>
      <c r="C588" s="3">
        <f>RAW_INPUT!B588</f>
        <v/>
      </c>
      <c r="D588" s="3">
        <f>RAW_INPUT!D588</f>
        <v/>
      </c>
      <c r="E588" s="3">
        <f>D588-C588</f>
        <v/>
      </c>
      <c r="F588" s="3">
        <f>RAW_INPUT!C588</f>
        <v/>
      </c>
      <c r="G588" s="3">
        <f>RAW_INPUT!E588</f>
        <v/>
      </c>
      <c r="H588" s="3">
        <f>I588/F588</f>
        <v/>
      </c>
      <c r="I588" s="3">
        <f>METRICS!$C$14 * 0.02</f>
        <v/>
      </c>
      <c r="J588" s="3">
        <f>(G588-F588)*H588</f>
        <v/>
      </c>
      <c r="K588" s="3">
        <f>(G588-F588)/F588*100</f>
        <v/>
      </c>
      <c r="L588" s="3">
        <f>RAW_INPUT!F588</f>
        <v/>
      </c>
      <c r="M588" s="3">
        <f>K588-L588</f>
        <v/>
      </c>
      <c r="N588" s="3">
        <f>IF(J588&gt;0, 1, 0)</f>
        <v/>
      </c>
      <c r="O588" s="3">
        <f>IF(J588&lt;0, 1, 0)</f>
        <v/>
      </c>
      <c r="P588" s="3">
        <f>SUM($J$3:J588)</f>
        <v/>
      </c>
      <c r="Q588" s="3">
        <f>P588/METRICS!$C$14*100</f>
        <v/>
      </c>
      <c r="R588" s="3">
        <f>METRICS!$C$14+P588</f>
        <v/>
      </c>
      <c r="S588" s="3">
        <f>MAX($R$3:R588)</f>
        <v/>
      </c>
      <c r="T588" s="3">
        <f>R588-S588</f>
        <v/>
      </c>
      <c r="U588" s="3">
        <f>(R588-S588)/S588*100</f>
        <v/>
      </c>
      <c r="V588" s="3">
        <f>IF(K588&lt;0, (K588/100)^2, 0)</f>
        <v/>
      </c>
    </row>
    <row r="589">
      <c r="A589" s="3">
        <f>TEXT(587, """T""0000")</f>
        <v/>
      </c>
      <c r="B589" s="3">
        <f>RAW_INPUT!A589</f>
        <v/>
      </c>
      <c r="C589" s="3">
        <f>RAW_INPUT!B589</f>
        <v/>
      </c>
      <c r="D589" s="3">
        <f>RAW_INPUT!D589</f>
        <v/>
      </c>
      <c r="E589" s="3">
        <f>D589-C589</f>
        <v/>
      </c>
      <c r="F589" s="3">
        <f>RAW_INPUT!C589</f>
        <v/>
      </c>
      <c r="G589" s="3">
        <f>RAW_INPUT!E589</f>
        <v/>
      </c>
      <c r="H589" s="3">
        <f>I589/F589</f>
        <v/>
      </c>
      <c r="I589" s="3">
        <f>METRICS!$C$14 * 0.02</f>
        <v/>
      </c>
      <c r="J589" s="3">
        <f>(G589-F589)*H589</f>
        <v/>
      </c>
      <c r="K589" s="3">
        <f>(G589-F589)/F589*100</f>
        <v/>
      </c>
      <c r="L589" s="3">
        <f>RAW_INPUT!F589</f>
        <v/>
      </c>
      <c r="M589" s="3">
        <f>K589-L589</f>
        <v/>
      </c>
      <c r="N589" s="3">
        <f>IF(J589&gt;0, 1, 0)</f>
        <v/>
      </c>
      <c r="O589" s="3">
        <f>IF(J589&lt;0, 1, 0)</f>
        <v/>
      </c>
      <c r="P589" s="3">
        <f>SUM($J$3:J589)</f>
        <v/>
      </c>
      <c r="Q589" s="3">
        <f>P589/METRICS!$C$14*100</f>
        <v/>
      </c>
      <c r="R589" s="3">
        <f>METRICS!$C$14+P589</f>
        <v/>
      </c>
      <c r="S589" s="3">
        <f>MAX($R$3:R589)</f>
        <v/>
      </c>
      <c r="T589" s="3">
        <f>R589-S589</f>
        <v/>
      </c>
      <c r="U589" s="3">
        <f>(R589-S589)/S589*100</f>
        <v/>
      </c>
      <c r="V589" s="3">
        <f>IF(K589&lt;0, (K589/100)^2, 0)</f>
        <v/>
      </c>
    </row>
    <row r="590">
      <c r="A590" s="3">
        <f>TEXT(588, """T""0000")</f>
        <v/>
      </c>
      <c r="B590" s="3">
        <f>RAW_INPUT!A590</f>
        <v/>
      </c>
      <c r="C590" s="3">
        <f>RAW_INPUT!B590</f>
        <v/>
      </c>
      <c r="D590" s="3">
        <f>RAW_INPUT!D590</f>
        <v/>
      </c>
      <c r="E590" s="3">
        <f>D590-C590</f>
        <v/>
      </c>
      <c r="F590" s="3">
        <f>RAW_INPUT!C590</f>
        <v/>
      </c>
      <c r="G590" s="3">
        <f>RAW_INPUT!E590</f>
        <v/>
      </c>
      <c r="H590" s="3">
        <f>I590/F590</f>
        <v/>
      </c>
      <c r="I590" s="3">
        <f>METRICS!$C$14 * 0.02</f>
        <v/>
      </c>
      <c r="J590" s="3">
        <f>(G590-F590)*H590</f>
        <v/>
      </c>
      <c r="K590" s="3">
        <f>(G590-F590)/F590*100</f>
        <v/>
      </c>
      <c r="L590" s="3">
        <f>RAW_INPUT!F590</f>
        <v/>
      </c>
      <c r="M590" s="3">
        <f>K590-L590</f>
        <v/>
      </c>
      <c r="N590" s="3">
        <f>IF(J590&gt;0, 1, 0)</f>
        <v/>
      </c>
      <c r="O590" s="3">
        <f>IF(J590&lt;0, 1, 0)</f>
        <v/>
      </c>
      <c r="P590" s="3">
        <f>SUM($J$3:J590)</f>
        <v/>
      </c>
      <c r="Q590" s="3">
        <f>P590/METRICS!$C$14*100</f>
        <v/>
      </c>
      <c r="R590" s="3">
        <f>METRICS!$C$14+P590</f>
        <v/>
      </c>
      <c r="S590" s="3">
        <f>MAX($R$3:R590)</f>
        <v/>
      </c>
      <c r="T590" s="3">
        <f>R590-S590</f>
        <v/>
      </c>
      <c r="U590" s="3">
        <f>(R590-S590)/S590*100</f>
        <v/>
      </c>
      <c r="V590" s="3">
        <f>IF(K590&lt;0, (K590/100)^2, 0)</f>
        <v/>
      </c>
    </row>
    <row r="591">
      <c r="A591" s="3">
        <f>TEXT(589, """T""0000")</f>
        <v/>
      </c>
      <c r="B591" s="3">
        <f>RAW_INPUT!A591</f>
        <v/>
      </c>
      <c r="C591" s="3">
        <f>RAW_INPUT!B591</f>
        <v/>
      </c>
      <c r="D591" s="3">
        <f>RAW_INPUT!D591</f>
        <v/>
      </c>
      <c r="E591" s="3">
        <f>D591-C591</f>
        <v/>
      </c>
      <c r="F591" s="3">
        <f>RAW_INPUT!C591</f>
        <v/>
      </c>
      <c r="G591" s="3">
        <f>RAW_INPUT!E591</f>
        <v/>
      </c>
      <c r="H591" s="3">
        <f>I591/F591</f>
        <v/>
      </c>
      <c r="I591" s="3">
        <f>METRICS!$C$14 * 0.02</f>
        <v/>
      </c>
      <c r="J591" s="3">
        <f>(G591-F591)*H591</f>
        <v/>
      </c>
      <c r="K591" s="3">
        <f>(G591-F591)/F591*100</f>
        <v/>
      </c>
      <c r="L591" s="3">
        <f>RAW_INPUT!F591</f>
        <v/>
      </c>
      <c r="M591" s="3">
        <f>K591-L591</f>
        <v/>
      </c>
      <c r="N591" s="3">
        <f>IF(J591&gt;0, 1, 0)</f>
        <v/>
      </c>
      <c r="O591" s="3">
        <f>IF(J591&lt;0, 1, 0)</f>
        <v/>
      </c>
      <c r="P591" s="3">
        <f>SUM($J$3:J591)</f>
        <v/>
      </c>
      <c r="Q591" s="3">
        <f>P591/METRICS!$C$14*100</f>
        <v/>
      </c>
      <c r="R591" s="3">
        <f>METRICS!$C$14+P591</f>
        <v/>
      </c>
      <c r="S591" s="3">
        <f>MAX($R$3:R591)</f>
        <v/>
      </c>
      <c r="T591" s="3">
        <f>R591-S591</f>
        <v/>
      </c>
      <c r="U591" s="3">
        <f>(R591-S591)/S591*100</f>
        <v/>
      </c>
      <c r="V591" s="3">
        <f>IF(K591&lt;0, (K591/100)^2, 0)</f>
        <v/>
      </c>
    </row>
    <row r="592">
      <c r="A592" s="3">
        <f>TEXT(590, """T""0000")</f>
        <v/>
      </c>
      <c r="B592" s="3">
        <f>RAW_INPUT!A592</f>
        <v/>
      </c>
      <c r="C592" s="3">
        <f>RAW_INPUT!B592</f>
        <v/>
      </c>
      <c r="D592" s="3">
        <f>RAW_INPUT!D592</f>
        <v/>
      </c>
      <c r="E592" s="3">
        <f>D592-C592</f>
        <v/>
      </c>
      <c r="F592" s="3">
        <f>RAW_INPUT!C592</f>
        <v/>
      </c>
      <c r="G592" s="3">
        <f>RAW_INPUT!E592</f>
        <v/>
      </c>
      <c r="H592" s="3">
        <f>I592/F592</f>
        <v/>
      </c>
      <c r="I592" s="3">
        <f>METRICS!$C$14 * 0.02</f>
        <v/>
      </c>
      <c r="J592" s="3">
        <f>(G592-F592)*H592</f>
        <v/>
      </c>
      <c r="K592" s="3">
        <f>(G592-F592)/F592*100</f>
        <v/>
      </c>
      <c r="L592" s="3">
        <f>RAW_INPUT!F592</f>
        <v/>
      </c>
      <c r="M592" s="3">
        <f>K592-L592</f>
        <v/>
      </c>
      <c r="N592" s="3">
        <f>IF(J592&gt;0, 1, 0)</f>
        <v/>
      </c>
      <c r="O592" s="3">
        <f>IF(J592&lt;0, 1, 0)</f>
        <v/>
      </c>
      <c r="P592" s="3">
        <f>SUM($J$3:J592)</f>
        <v/>
      </c>
      <c r="Q592" s="3">
        <f>P592/METRICS!$C$14*100</f>
        <v/>
      </c>
      <c r="R592" s="3">
        <f>METRICS!$C$14+P592</f>
        <v/>
      </c>
      <c r="S592" s="3">
        <f>MAX($R$3:R592)</f>
        <v/>
      </c>
      <c r="T592" s="3">
        <f>R592-S592</f>
        <v/>
      </c>
      <c r="U592" s="3">
        <f>(R592-S592)/S592*100</f>
        <v/>
      </c>
      <c r="V592" s="3">
        <f>IF(K592&lt;0, (K592/100)^2, 0)</f>
        <v/>
      </c>
    </row>
    <row r="593">
      <c r="A593" s="3">
        <f>TEXT(591, """T""0000")</f>
        <v/>
      </c>
      <c r="B593" s="3">
        <f>RAW_INPUT!A593</f>
        <v/>
      </c>
      <c r="C593" s="3">
        <f>RAW_INPUT!B593</f>
        <v/>
      </c>
      <c r="D593" s="3">
        <f>RAW_INPUT!D593</f>
        <v/>
      </c>
      <c r="E593" s="3">
        <f>D593-C593</f>
        <v/>
      </c>
      <c r="F593" s="3">
        <f>RAW_INPUT!C593</f>
        <v/>
      </c>
      <c r="G593" s="3">
        <f>RAW_INPUT!E593</f>
        <v/>
      </c>
      <c r="H593" s="3">
        <f>I593/F593</f>
        <v/>
      </c>
      <c r="I593" s="3">
        <f>METRICS!$C$14 * 0.02</f>
        <v/>
      </c>
      <c r="J593" s="3">
        <f>(G593-F593)*H593</f>
        <v/>
      </c>
      <c r="K593" s="3">
        <f>(G593-F593)/F593*100</f>
        <v/>
      </c>
      <c r="L593" s="3">
        <f>RAW_INPUT!F593</f>
        <v/>
      </c>
      <c r="M593" s="3">
        <f>K593-L593</f>
        <v/>
      </c>
      <c r="N593" s="3">
        <f>IF(J593&gt;0, 1, 0)</f>
        <v/>
      </c>
      <c r="O593" s="3">
        <f>IF(J593&lt;0, 1, 0)</f>
        <v/>
      </c>
      <c r="P593" s="3">
        <f>SUM($J$3:J593)</f>
        <v/>
      </c>
      <c r="Q593" s="3">
        <f>P593/METRICS!$C$14*100</f>
        <v/>
      </c>
      <c r="R593" s="3">
        <f>METRICS!$C$14+P593</f>
        <v/>
      </c>
      <c r="S593" s="3">
        <f>MAX($R$3:R593)</f>
        <v/>
      </c>
      <c r="T593" s="3">
        <f>R593-S593</f>
        <v/>
      </c>
      <c r="U593" s="3">
        <f>(R593-S593)/S593*100</f>
        <v/>
      </c>
      <c r="V593" s="3">
        <f>IF(K593&lt;0, (K593/100)^2, 0)</f>
        <v/>
      </c>
    </row>
    <row r="594">
      <c r="A594" s="3">
        <f>TEXT(592, """T""0000")</f>
        <v/>
      </c>
      <c r="B594" s="3">
        <f>RAW_INPUT!A594</f>
        <v/>
      </c>
      <c r="C594" s="3">
        <f>RAW_INPUT!B594</f>
        <v/>
      </c>
      <c r="D594" s="3">
        <f>RAW_INPUT!D594</f>
        <v/>
      </c>
      <c r="E594" s="3">
        <f>D594-C594</f>
        <v/>
      </c>
      <c r="F594" s="3">
        <f>RAW_INPUT!C594</f>
        <v/>
      </c>
      <c r="G594" s="3">
        <f>RAW_INPUT!E594</f>
        <v/>
      </c>
      <c r="H594" s="3">
        <f>I594/F594</f>
        <v/>
      </c>
      <c r="I594" s="3">
        <f>METRICS!$C$14 * 0.02</f>
        <v/>
      </c>
      <c r="J594" s="3">
        <f>(G594-F594)*H594</f>
        <v/>
      </c>
      <c r="K594" s="3">
        <f>(G594-F594)/F594*100</f>
        <v/>
      </c>
      <c r="L594" s="3">
        <f>RAW_INPUT!F594</f>
        <v/>
      </c>
      <c r="M594" s="3">
        <f>K594-L594</f>
        <v/>
      </c>
      <c r="N594" s="3">
        <f>IF(J594&gt;0, 1, 0)</f>
        <v/>
      </c>
      <c r="O594" s="3">
        <f>IF(J594&lt;0, 1, 0)</f>
        <v/>
      </c>
      <c r="P594" s="3">
        <f>SUM($J$3:J594)</f>
        <v/>
      </c>
      <c r="Q594" s="3">
        <f>P594/METRICS!$C$14*100</f>
        <v/>
      </c>
      <c r="R594" s="3">
        <f>METRICS!$C$14+P594</f>
        <v/>
      </c>
      <c r="S594" s="3">
        <f>MAX($R$3:R594)</f>
        <v/>
      </c>
      <c r="T594" s="3">
        <f>R594-S594</f>
        <v/>
      </c>
      <c r="U594" s="3">
        <f>(R594-S594)/S594*100</f>
        <v/>
      </c>
      <c r="V594" s="3">
        <f>IF(K594&lt;0, (K594/100)^2, 0)</f>
        <v/>
      </c>
    </row>
    <row r="595">
      <c r="A595" s="3">
        <f>TEXT(593, """T""0000")</f>
        <v/>
      </c>
      <c r="B595" s="3">
        <f>RAW_INPUT!A595</f>
        <v/>
      </c>
      <c r="C595" s="3">
        <f>RAW_INPUT!B595</f>
        <v/>
      </c>
      <c r="D595" s="3">
        <f>RAW_INPUT!D595</f>
        <v/>
      </c>
      <c r="E595" s="3">
        <f>D595-C595</f>
        <v/>
      </c>
      <c r="F595" s="3">
        <f>RAW_INPUT!C595</f>
        <v/>
      </c>
      <c r="G595" s="3">
        <f>RAW_INPUT!E595</f>
        <v/>
      </c>
      <c r="H595" s="3">
        <f>I595/F595</f>
        <v/>
      </c>
      <c r="I595" s="3">
        <f>METRICS!$C$14 * 0.02</f>
        <v/>
      </c>
      <c r="J595" s="3">
        <f>(G595-F595)*H595</f>
        <v/>
      </c>
      <c r="K595" s="3">
        <f>(G595-F595)/F595*100</f>
        <v/>
      </c>
      <c r="L595" s="3">
        <f>RAW_INPUT!F595</f>
        <v/>
      </c>
      <c r="M595" s="3">
        <f>K595-L595</f>
        <v/>
      </c>
      <c r="N595" s="3">
        <f>IF(J595&gt;0, 1, 0)</f>
        <v/>
      </c>
      <c r="O595" s="3">
        <f>IF(J595&lt;0, 1, 0)</f>
        <v/>
      </c>
      <c r="P595" s="3">
        <f>SUM($J$3:J595)</f>
        <v/>
      </c>
      <c r="Q595" s="3">
        <f>P595/METRICS!$C$14*100</f>
        <v/>
      </c>
      <c r="R595" s="3">
        <f>METRICS!$C$14+P595</f>
        <v/>
      </c>
      <c r="S595" s="3">
        <f>MAX($R$3:R595)</f>
        <v/>
      </c>
      <c r="T595" s="3">
        <f>R595-S595</f>
        <v/>
      </c>
      <c r="U595" s="3">
        <f>(R595-S595)/S595*100</f>
        <v/>
      </c>
      <c r="V595" s="3">
        <f>IF(K595&lt;0, (K595/100)^2, 0)</f>
        <v/>
      </c>
    </row>
    <row r="596">
      <c r="A596" s="3">
        <f>TEXT(594, """T""0000")</f>
        <v/>
      </c>
      <c r="B596" s="3">
        <f>RAW_INPUT!A596</f>
        <v/>
      </c>
      <c r="C596" s="3">
        <f>RAW_INPUT!B596</f>
        <v/>
      </c>
      <c r="D596" s="3">
        <f>RAW_INPUT!D596</f>
        <v/>
      </c>
      <c r="E596" s="3">
        <f>D596-C596</f>
        <v/>
      </c>
      <c r="F596" s="3">
        <f>RAW_INPUT!C596</f>
        <v/>
      </c>
      <c r="G596" s="3">
        <f>RAW_INPUT!E596</f>
        <v/>
      </c>
      <c r="H596" s="3">
        <f>I596/F596</f>
        <v/>
      </c>
      <c r="I596" s="3">
        <f>METRICS!$C$14 * 0.02</f>
        <v/>
      </c>
      <c r="J596" s="3">
        <f>(G596-F596)*H596</f>
        <v/>
      </c>
      <c r="K596" s="3">
        <f>(G596-F596)/F596*100</f>
        <v/>
      </c>
      <c r="L596" s="3">
        <f>RAW_INPUT!F596</f>
        <v/>
      </c>
      <c r="M596" s="3">
        <f>K596-L596</f>
        <v/>
      </c>
      <c r="N596" s="3">
        <f>IF(J596&gt;0, 1, 0)</f>
        <v/>
      </c>
      <c r="O596" s="3">
        <f>IF(J596&lt;0, 1, 0)</f>
        <v/>
      </c>
      <c r="P596" s="3">
        <f>SUM($J$3:J596)</f>
        <v/>
      </c>
      <c r="Q596" s="3">
        <f>P596/METRICS!$C$14*100</f>
        <v/>
      </c>
      <c r="R596" s="3">
        <f>METRICS!$C$14+P596</f>
        <v/>
      </c>
      <c r="S596" s="3">
        <f>MAX($R$3:R596)</f>
        <v/>
      </c>
      <c r="T596" s="3">
        <f>R596-S596</f>
        <v/>
      </c>
      <c r="U596" s="3">
        <f>(R596-S596)/S596*100</f>
        <v/>
      </c>
      <c r="V596" s="3">
        <f>IF(K596&lt;0, (K596/100)^2, 0)</f>
        <v/>
      </c>
    </row>
    <row r="597">
      <c r="A597" s="3">
        <f>TEXT(595, """T""0000")</f>
        <v/>
      </c>
      <c r="B597" s="3">
        <f>RAW_INPUT!A597</f>
        <v/>
      </c>
      <c r="C597" s="3">
        <f>RAW_INPUT!B597</f>
        <v/>
      </c>
      <c r="D597" s="3">
        <f>RAW_INPUT!D597</f>
        <v/>
      </c>
      <c r="E597" s="3">
        <f>D597-C597</f>
        <v/>
      </c>
      <c r="F597" s="3">
        <f>RAW_INPUT!C597</f>
        <v/>
      </c>
      <c r="G597" s="3">
        <f>RAW_INPUT!E597</f>
        <v/>
      </c>
      <c r="H597" s="3">
        <f>I597/F597</f>
        <v/>
      </c>
      <c r="I597" s="3">
        <f>METRICS!$C$14 * 0.02</f>
        <v/>
      </c>
      <c r="J597" s="3">
        <f>(G597-F597)*H597</f>
        <v/>
      </c>
      <c r="K597" s="3">
        <f>(G597-F597)/F597*100</f>
        <v/>
      </c>
      <c r="L597" s="3">
        <f>RAW_INPUT!F597</f>
        <v/>
      </c>
      <c r="M597" s="3">
        <f>K597-L597</f>
        <v/>
      </c>
      <c r="N597" s="3">
        <f>IF(J597&gt;0, 1, 0)</f>
        <v/>
      </c>
      <c r="O597" s="3">
        <f>IF(J597&lt;0, 1, 0)</f>
        <v/>
      </c>
      <c r="P597" s="3">
        <f>SUM($J$3:J597)</f>
        <v/>
      </c>
      <c r="Q597" s="3">
        <f>P597/METRICS!$C$14*100</f>
        <v/>
      </c>
      <c r="R597" s="3">
        <f>METRICS!$C$14+P597</f>
        <v/>
      </c>
      <c r="S597" s="3">
        <f>MAX($R$3:R597)</f>
        <v/>
      </c>
      <c r="T597" s="3">
        <f>R597-S597</f>
        <v/>
      </c>
      <c r="U597" s="3">
        <f>(R597-S597)/S597*100</f>
        <v/>
      </c>
      <c r="V597" s="3">
        <f>IF(K597&lt;0, (K597/100)^2, 0)</f>
        <v/>
      </c>
    </row>
    <row r="598">
      <c r="A598" s="3">
        <f>TEXT(596, """T""0000")</f>
        <v/>
      </c>
      <c r="B598" s="3">
        <f>RAW_INPUT!A598</f>
        <v/>
      </c>
      <c r="C598" s="3">
        <f>RAW_INPUT!B598</f>
        <v/>
      </c>
      <c r="D598" s="3">
        <f>RAW_INPUT!D598</f>
        <v/>
      </c>
      <c r="E598" s="3">
        <f>D598-C598</f>
        <v/>
      </c>
      <c r="F598" s="3">
        <f>RAW_INPUT!C598</f>
        <v/>
      </c>
      <c r="G598" s="3">
        <f>RAW_INPUT!E598</f>
        <v/>
      </c>
      <c r="H598" s="3">
        <f>I598/F598</f>
        <v/>
      </c>
      <c r="I598" s="3">
        <f>METRICS!$C$14 * 0.02</f>
        <v/>
      </c>
      <c r="J598" s="3">
        <f>(G598-F598)*H598</f>
        <v/>
      </c>
      <c r="K598" s="3">
        <f>(G598-F598)/F598*100</f>
        <v/>
      </c>
      <c r="L598" s="3">
        <f>RAW_INPUT!F598</f>
        <v/>
      </c>
      <c r="M598" s="3">
        <f>K598-L598</f>
        <v/>
      </c>
      <c r="N598" s="3">
        <f>IF(J598&gt;0, 1, 0)</f>
        <v/>
      </c>
      <c r="O598" s="3">
        <f>IF(J598&lt;0, 1, 0)</f>
        <v/>
      </c>
      <c r="P598" s="3">
        <f>SUM($J$3:J598)</f>
        <v/>
      </c>
      <c r="Q598" s="3">
        <f>P598/METRICS!$C$14*100</f>
        <v/>
      </c>
      <c r="R598" s="3">
        <f>METRICS!$C$14+P598</f>
        <v/>
      </c>
      <c r="S598" s="3">
        <f>MAX($R$3:R598)</f>
        <v/>
      </c>
      <c r="T598" s="3">
        <f>R598-S598</f>
        <v/>
      </c>
      <c r="U598" s="3">
        <f>(R598-S598)/S598*100</f>
        <v/>
      </c>
      <c r="V598" s="3">
        <f>IF(K598&lt;0, (K598/100)^2, 0)</f>
        <v/>
      </c>
    </row>
    <row r="599">
      <c r="A599" s="3">
        <f>TEXT(597, """T""0000")</f>
        <v/>
      </c>
      <c r="B599" s="3">
        <f>RAW_INPUT!A599</f>
        <v/>
      </c>
      <c r="C599" s="3">
        <f>RAW_INPUT!B599</f>
        <v/>
      </c>
      <c r="D599" s="3">
        <f>RAW_INPUT!D599</f>
        <v/>
      </c>
      <c r="E599" s="3">
        <f>D599-C599</f>
        <v/>
      </c>
      <c r="F599" s="3">
        <f>RAW_INPUT!C599</f>
        <v/>
      </c>
      <c r="G599" s="3">
        <f>RAW_INPUT!E599</f>
        <v/>
      </c>
      <c r="H599" s="3">
        <f>I599/F599</f>
        <v/>
      </c>
      <c r="I599" s="3">
        <f>METRICS!$C$14 * 0.02</f>
        <v/>
      </c>
      <c r="J599" s="3">
        <f>(G599-F599)*H599</f>
        <v/>
      </c>
      <c r="K599" s="3">
        <f>(G599-F599)/F599*100</f>
        <v/>
      </c>
      <c r="L599" s="3">
        <f>RAW_INPUT!F599</f>
        <v/>
      </c>
      <c r="M599" s="3">
        <f>K599-L599</f>
        <v/>
      </c>
      <c r="N599" s="3">
        <f>IF(J599&gt;0, 1, 0)</f>
        <v/>
      </c>
      <c r="O599" s="3">
        <f>IF(J599&lt;0, 1, 0)</f>
        <v/>
      </c>
      <c r="P599" s="3">
        <f>SUM($J$3:J599)</f>
        <v/>
      </c>
      <c r="Q599" s="3">
        <f>P599/METRICS!$C$14*100</f>
        <v/>
      </c>
      <c r="R599" s="3">
        <f>METRICS!$C$14+P599</f>
        <v/>
      </c>
      <c r="S599" s="3">
        <f>MAX($R$3:R599)</f>
        <v/>
      </c>
      <c r="T599" s="3">
        <f>R599-S599</f>
        <v/>
      </c>
      <c r="U599" s="3">
        <f>(R599-S599)/S599*100</f>
        <v/>
      </c>
      <c r="V599" s="3">
        <f>IF(K599&lt;0, (K599/100)^2, 0)</f>
        <v/>
      </c>
    </row>
    <row r="600">
      <c r="A600" s="3">
        <f>TEXT(598, """T""0000")</f>
        <v/>
      </c>
      <c r="B600" s="3">
        <f>RAW_INPUT!A600</f>
        <v/>
      </c>
      <c r="C600" s="3">
        <f>RAW_INPUT!B600</f>
        <v/>
      </c>
      <c r="D600" s="3">
        <f>RAW_INPUT!D600</f>
        <v/>
      </c>
      <c r="E600" s="3">
        <f>D600-C600</f>
        <v/>
      </c>
      <c r="F600" s="3">
        <f>RAW_INPUT!C600</f>
        <v/>
      </c>
      <c r="G600" s="3">
        <f>RAW_INPUT!E600</f>
        <v/>
      </c>
      <c r="H600" s="3">
        <f>I600/F600</f>
        <v/>
      </c>
      <c r="I600" s="3">
        <f>METRICS!$C$14 * 0.02</f>
        <v/>
      </c>
      <c r="J600" s="3">
        <f>(G600-F600)*H600</f>
        <v/>
      </c>
      <c r="K600" s="3">
        <f>(G600-F600)/F600*100</f>
        <v/>
      </c>
      <c r="L600" s="3">
        <f>RAW_INPUT!F600</f>
        <v/>
      </c>
      <c r="M600" s="3">
        <f>K600-L600</f>
        <v/>
      </c>
      <c r="N600" s="3">
        <f>IF(J600&gt;0, 1, 0)</f>
        <v/>
      </c>
      <c r="O600" s="3">
        <f>IF(J600&lt;0, 1, 0)</f>
        <v/>
      </c>
      <c r="P600" s="3">
        <f>SUM($J$3:J600)</f>
        <v/>
      </c>
      <c r="Q600" s="3">
        <f>P600/METRICS!$C$14*100</f>
        <v/>
      </c>
      <c r="R600" s="3">
        <f>METRICS!$C$14+P600</f>
        <v/>
      </c>
      <c r="S600" s="3">
        <f>MAX($R$3:R600)</f>
        <v/>
      </c>
      <c r="T600" s="3">
        <f>R600-S600</f>
        <v/>
      </c>
      <c r="U600" s="3">
        <f>(R600-S600)/S600*100</f>
        <v/>
      </c>
      <c r="V600" s="3">
        <f>IF(K600&lt;0, (K600/100)^2, 0)</f>
        <v/>
      </c>
    </row>
    <row r="601">
      <c r="A601" s="3">
        <f>TEXT(599, """T""0000")</f>
        <v/>
      </c>
      <c r="B601" s="3">
        <f>RAW_INPUT!A601</f>
        <v/>
      </c>
      <c r="C601" s="3">
        <f>RAW_INPUT!B601</f>
        <v/>
      </c>
      <c r="D601" s="3">
        <f>RAW_INPUT!D601</f>
        <v/>
      </c>
      <c r="E601" s="3">
        <f>D601-C601</f>
        <v/>
      </c>
      <c r="F601" s="3">
        <f>RAW_INPUT!C601</f>
        <v/>
      </c>
      <c r="G601" s="3">
        <f>RAW_INPUT!E601</f>
        <v/>
      </c>
      <c r="H601" s="3">
        <f>I601/F601</f>
        <v/>
      </c>
      <c r="I601" s="3">
        <f>METRICS!$C$14 * 0.02</f>
        <v/>
      </c>
      <c r="J601" s="3">
        <f>(G601-F601)*H601</f>
        <v/>
      </c>
      <c r="K601" s="3">
        <f>(G601-F601)/F601*100</f>
        <v/>
      </c>
      <c r="L601" s="3">
        <f>RAW_INPUT!F601</f>
        <v/>
      </c>
      <c r="M601" s="3">
        <f>K601-L601</f>
        <v/>
      </c>
      <c r="N601" s="3">
        <f>IF(J601&gt;0, 1, 0)</f>
        <v/>
      </c>
      <c r="O601" s="3">
        <f>IF(J601&lt;0, 1, 0)</f>
        <v/>
      </c>
      <c r="P601" s="3">
        <f>SUM($J$3:J601)</f>
        <v/>
      </c>
      <c r="Q601" s="3">
        <f>P601/METRICS!$C$14*100</f>
        <v/>
      </c>
      <c r="R601" s="3">
        <f>METRICS!$C$14+P601</f>
        <v/>
      </c>
      <c r="S601" s="3">
        <f>MAX($R$3:R601)</f>
        <v/>
      </c>
      <c r="T601" s="3">
        <f>R601-S601</f>
        <v/>
      </c>
      <c r="U601" s="3">
        <f>(R601-S601)/S601*100</f>
        <v/>
      </c>
      <c r="V601" s="3">
        <f>IF(K601&lt;0, (K601/100)^2, 0)</f>
        <v/>
      </c>
    </row>
    <row r="602">
      <c r="A602" s="3">
        <f>TEXT(600, """T""0000")</f>
        <v/>
      </c>
      <c r="B602" s="3">
        <f>RAW_INPUT!A602</f>
        <v/>
      </c>
      <c r="C602" s="3">
        <f>RAW_INPUT!B602</f>
        <v/>
      </c>
      <c r="D602" s="3">
        <f>RAW_INPUT!D602</f>
        <v/>
      </c>
      <c r="E602" s="3">
        <f>D602-C602</f>
        <v/>
      </c>
      <c r="F602" s="3">
        <f>RAW_INPUT!C602</f>
        <v/>
      </c>
      <c r="G602" s="3">
        <f>RAW_INPUT!E602</f>
        <v/>
      </c>
      <c r="H602" s="3">
        <f>I602/F602</f>
        <v/>
      </c>
      <c r="I602" s="3">
        <f>METRICS!$C$14 * 0.02</f>
        <v/>
      </c>
      <c r="J602" s="3">
        <f>(G602-F602)*H602</f>
        <v/>
      </c>
      <c r="K602" s="3">
        <f>(G602-F602)/F602*100</f>
        <v/>
      </c>
      <c r="L602" s="3">
        <f>RAW_INPUT!F602</f>
        <v/>
      </c>
      <c r="M602" s="3">
        <f>K602-L602</f>
        <v/>
      </c>
      <c r="N602" s="3">
        <f>IF(J602&gt;0, 1, 0)</f>
        <v/>
      </c>
      <c r="O602" s="3">
        <f>IF(J602&lt;0, 1, 0)</f>
        <v/>
      </c>
      <c r="P602" s="3">
        <f>SUM($J$3:J602)</f>
        <v/>
      </c>
      <c r="Q602" s="3">
        <f>P602/METRICS!$C$14*100</f>
        <v/>
      </c>
      <c r="R602" s="3">
        <f>METRICS!$C$14+P602</f>
        <v/>
      </c>
      <c r="S602" s="3">
        <f>MAX($R$3:R602)</f>
        <v/>
      </c>
      <c r="T602" s="3">
        <f>R602-S602</f>
        <v/>
      </c>
      <c r="U602" s="3">
        <f>(R602-S602)/S602*100</f>
        <v/>
      </c>
      <c r="V602" s="3">
        <f>IF(K602&lt;0, (K602/100)^2, 0)</f>
        <v/>
      </c>
    </row>
    <row r="603">
      <c r="A603" s="3">
        <f>TEXT(601, """T""0000")</f>
        <v/>
      </c>
      <c r="B603" s="3">
        <f>RAW_INPUT!A603</f>
        <v/>
      </c>
      <c r="C603" s="3">
        <f>RAW_INPUT!B603</f>
        <v/>
      </c>
      <c r="D603" s="3">
        <f>RAW_INPUT!D603</f>
        <v/>
      </c>
      <c r="E603" s="3">
        <f>D603-C603</f>
        <v/>
      </c>
      <c r="F603" s="3">
        <f>RAW_INPUT!C603</f>
        <v/>
      </c>
      <c r="G603" s="3">
        <f>RAW_INPUT!E603</f>
        <v/>
      </c>
      <c r="H603" s="3">
        <f>I603/F603</f>
        <v/>
      </c>
      <c r="I603" s="3">
        <f>METRICS!$C$14 * 0.02</f>
        <v/>
      </c>
      <c r="J603" s="3">
        <f>(G603-F603)*H603</f>
        <v/>
      </c>
      <c r="K603" s="3">
        <f>(G603-F603)/F603*100</f>
        <v/>
      </c>
      <c r="L603" s="3">
        <f>RAW_INPUT!F603</f>
        <v/>
      </c>
      <c r="M603" s="3">
        <f>K603-L603</f>
        <v/>
      </c>
      <c r="N603" s="3">
        <f>IF(J603&gt;0, 1, 0)</f>
        <v/>
      </c>
      <c r="O603" s="3">
        <f>IF(J603&lt;0, 1, 0)</f>
        <v/>
      </c>
      <c r="P603" s="3">
        <f>SUM($J$3:J603)</f>
        <v/>
      </c>
      <c r="Q603" s="3">
        <f>P603/METRICS!$C$14*100</f>
        <v/>
      </c>
      <c r="R603" s="3">
        <f>METRICS!$C$14+P603</f>
        <v/>
      </c>
      <c r="S603" s="3">
        <f>MAX($R$3:R603)</f>
        <v/>
      </c>
      <c r="T603" s="3">
        <f>R603-S603</f>
        <v/>
      </c>
      <c r="U603" s="3">
        <f>(R603-S603)/S603*100</f>
        <v/>
      </c>
      <c r="V603" s="3">
        <f>IF(K603&lt;0, (K603/100)^2, 0)</f>
        <v/>
      </c>
    </row>
    <row r="604">
      <c r="A604" s="3">
        <f>TEXT(602, """T""0000")</f>
        <v/>
      </c>
      <c r="B604" s="3">
        <f>RAW_INPUT!A604</f>
        <v/>
      </c>
      <c r="C604" s="3">
        <f>RAW_INPUT!B604</f>
        <v/>
      </c>
      <c r="D604" s="3">
        <f>RAW_INPUT!D604</f>
        <v/>
      </c>
      <c r="E604" s="3">
        <f>D604-C604</f>
        <v/>
      </c>
      <c r="F604" s="3">
        <f>RAW_INPUT!C604</f>
        <v/>
      </c>
      <c r="G604" s="3">
        <f>RAW_INPUT!E604</f>
        <v/>
      </c>
      <c r="H604" s="3">
        <f>I604/F604</f>
        <v/>
      </c>
      <c r="I604" s="3">
        <f>METRICS!$C$14 * 0.02</f>
        <v/>
      </c>
      <c r="J604" s="3">
        <f>(G604-F604)*H604</f>
        <v/>
      </c>
      <c r="K604" s="3">
        <f>(G604-F604)/F604*100</f>
        <v/>
      </c>
      <c r="L604" s="3">
        <f>RAW_INPUT!F604</f>
        <v/>
      </c>
      <c r="M604" s="3">
        <f>K604-L604</f>
        <v/>
      </c>
      <c r="N604" s="3">
        <f>IF(J604&gt;0, 1, 0)</f>
        <v/>
      </c>
      <c r="O604" s="3">
        <f>IF(J604&lt;0, 1, 0)</f>
        <v/>
      </c>
      <c r="P604" s="3">
        <f>SUM($J$3:J604)</f>
        <v/>
      </c>
      <c r="Q604" s="3">
        <f>P604/METRICS!$C$14*100</f>
        <v/>
      </c>
      <c r="R604" s="3">
        <f>METRICS!$C$14+P604</f>
        <v/>
      </c>
      <c r="S604" s="3">
        <f>MAX($R$3:R604)</f>
        <v/>
      </c>
      <c r="T604" s="3">
        <f>R604-S604</f>
        <v/>
      </c>
      <c r="U604" s="3">
        <f>(R604-S604)/S604*100</f>
        <v/>
      </c>
      <c r="V604" s="3">
        <f>IF(K604&lt;0, (K604/100)^2, 0)</f>
        <v/>
      </c>
    </row>
    <row r="605">
      <c r="A605" s="3">
        <f>TEXT(603, """T""0000")</f>
        <v/>
      </c>
      <c r="B605" s="3">
        <f>RAW_INPUT!A605</f>
        <v/>
      </c>
      <c r="C605" s="3">
        <f>RAW_INPUT!B605</f>
        <v/>
      </c>
      <c r="D605" s="3">
        <f>RAW_INPUT!D605</f>
        <v/>
      </c>
      <c r="E605" s="3">
        <f>D605-C605</f>
        <v/>
      </c>
      <c r="F605" s="3">
        <f>RAW_INPUT!C605</f>
        <v/>
      </c>
      <c r="G605" s="3">
        <f>RAW_INPUT!E605</f>
        <v/>
      </c>
      <c r="H605" s="3">
        <f>I605/F605</f>
        <v/>
      </c>
      <c r="I605" s="3">
        <f>METRICS!$C$14 * 0.02</f>
        <v/>
      </c>
      <c r="J605" s="3">
        <f>(G605-F605)*H605</f>
        <v/>
      </c>
      <c r="K605" s="3">
        <f>(G605-F605)/F605*100</f>
        <v/>
      </c>
      <c r="L605" s="3">
        <f>RAW_INPUT!F605</f>
        <v/>
      </c>
      <c r="M605" s="3">
        <f>K605-L605</f>
        <v/>
      </c>
      <c r="N605" s="3">
        <f>IF(J605&gt;0, 1, 0)</f>
        <v/>
      </c>
      <c r="O605" s="3">
        <f>IF(J605&lt;0, 1, 0)</f>
        <v/>
      </c>
      <c r="P605" s="3">
        <f>SUM($J$3:J605)</f>
        <v/>
      </c>
      <c r="Q605" s="3">
        <f>P605/METRICS!$C$14*100</f>
        <v/>
      </c>
      <c r="R605" s="3">
        <f>METRICS!$C$14+P605</f>
        <v/>
      </c>
      <c r="S605" s="3">
        <f>MAX($R$3:R605)</f>
        <v/>
      </c>
      <c r="T605" s="3">
        <f>R605-S605</f>
        <v/>
      </c>
      <c r="U605" s="3">
        <f>(R605-S605)/S605*100</f>
        <v/>
      </c>
      <c r="V605" s="3">
        <f>IF(K605&lt;0, (K605/100)^2, 0)</f>
        <v/>
      </c>
    </row>
    <row r="606">
      <c r="A606" s="3">
        <f>TEXT(604, """T""0000")</f>
        <v/>
      </c>
      <c r="B606" s="3">
        <f>RAW_INPUT!A606</f>
        <v/>
      </c>
      <c r="C606" s="3">
        <f>RAW_INPUT!B606</f>
        <v/>
      </c>
      <c r="D606" s="3">
        <f>RAW_INPUT!D606</f>
        <v/>
      </c>
      <c r="E606" s="3">
        <f>D606-C606</f>
        <v/>
      </c>
      <c r="F606" s="3">
        <f>RAW_INPUT!C606</f>
        <v/>
      </c>
      <c r="G606" s="3">
        <f>RAW_INPUT!E606</f>
        <v/>
      </c>
      <c r="H606" s="3">
        <f>I606/F606</f>
        <v/>
      </c>
      <c r="I606" s="3">
        <f>METRICS!$C$14 * 0.02</f>
        <v/>
      </c>
      <c r="J606" s="3">
        <f>(G606-F606)*H606</f>
        <v/>
      </c>
      <c r="K606" s="3">
        <f>(G606-F606)/F606*100</f>
        <v/>
      </c>
      <c r="L606" s="3">
        <f>RAW_INPUT!F606</f>
        <v/>
      </c>
      <c r="M606" s="3">
        <f>K606-L606</f>
        <v/>
      </c>
      <c r="N606" s="3">
        <f>IF(J606&gt;0, 1, 0)</f>
        <v/>
      </c>
      <c r="O606" s="3">
        <f>IF(J606&lt;0, 1, 0)</f>
        <v/>
      </c>
      <c r="P606" s="3">
        <f>SUM($J$3:J606)</f>
        <v/>
      </c>
      <c r="Q606" s="3">
        <f>P606/METRICS!$C$14*100</f>
        <v/>
      </c>
      <c r="R606" s="3">
        <f>METRICS!$C$14+P606</f>
        <v/>
      </c>
      <c r="S606" s="3">
        <f>MAX($R$3:R606)</f>
        <v/>
      </c>
      <c r="T606" s="3">
        <f>R606-S606</f>
        <v/>
      </c>
      <c r="U606" s="3">
        <f>(R606-S606)/S606*100</f>
        <v/>
      </c>
      <c r="V606" s="3">
        <f>IF(K606&lt;0, (K606/100)^2, 0)</f>
        <v/>
      </c>
    </row>
    <row r="607">
      <c r="A607" s="3">
        <f>TEXT(605, """T""0000")</f>
        <v/>
      </c>
      <c r="B607" s="3">
        <f>RAW_INPUT!A607</f>
        <v/>
      </c>
      <c r="C607" s="3">
        <f>RAW_INPUT!B607</f>
        <v/>
      </c>
      <c r="D607" s="3">
        <f>RAW_INPUT!D607</f>
        <v/>
      </c>
      <c r="E607" s="3">
        <f>D607-C607</f>
        <v/>
      </c>
      <c r="F607" s="3">
        <f>RAW_INPUT!C607</f>
        <v/>
      </c>
      <c r="G607" s="3">
        <f>RAW_INPUT!E607</f>
        <v/>
      </c>
      <c r="H607" s="3">
        <f>I607/F607</f>
        <v/>
      </c>
      <c r="I607" s="3">
        <f>METRICS!$C$14 * 0.02</f>
        <v/>
      </c>
      <c r="J607" s="3">
        <f>(G607-F607)*H607</f>
        <v/>
      </c>
      <c r="K607" s="3">
        <f>(G607-F607)/F607*100</f>
        <v/>
      </c>
      <c r="L607" s="3">
        <f>RAW_INPUT!F607</f>
        <v/>
      </c>
      <c r="M607" s="3">
        <f>K607-L607</f>
        <v/>
      </c>
      <c r="N607" s="3">
        <f>IF(J607&gt;0, 1, 0)</f>
        <v/>
      </c>
      <c r="O607" s="3">
        <f>IF(J607&lt;0, 1, 0)</f>
        <v/>
      </c>
      <c r="P607" s="3">
        <f>SUM($J$3:J607)</f>
        <v/>
      </c>
      <c r="Q607" s="3">
        <f>P607/METRICS!$C$14*100</f>
        <v/>
      </c>
      <c r="R607" s="3">
        <f>METRICS!$C$14+P607</f>
        <v/>
      </c>
      <c r="S607" s="3">
        <f>MAX($R$3:R607)</f>
        <v/>
      </c>
      <c r="T607" s="3">
        <f>R607-S607</f>
        <v/>
      </c>
      <c r="U607" s="3">
        <f>(R607-S607)/S607*100</f>
        <v/>
      </c>
      <c r="V607" s="3">
        <f>IF(K607&lt;0, (K607/100)^2, 0)</f>
        <v/>
      </c>
    </row>
    <row r="608">
      <c r="A608" s="3">
        <f>TEXT(606, """T""0000")</f>
        <v/>
      </c>
      <c r="B608" s="3">
        <f>RAW_INPUT!A608</f>
        <v/>
      </c>
      <c r="C608" s="3">
        <f>RAW_INPUT!B608</f>
        <v/>
      </c>
      <c r="D608" s="3">
        <f>RAW_INPUT!D608</f>
        <v/>
      </c>
      <c r="E608" s="3">
        <f>D608-C608</f>
        <v/>
      </c>
      <c r="F608" s="3">
        <f>RAW_INPUT!C608</f>
        <v/>
      </c>
      <c r="G608" s="3">
        <f>RAW_INPUT!E608</f>
        <v/>
      </c>
      <c r="H608" s="3">
        <f>I608/F608</f>
        <v/>
      </c>
      <c r="I608" s="3">
        <f>METRICS!$C$14 * 0.02</f>
        <v/>
      </c>
      <c r="J608" s="3">
        <f>(G608-F608)*H608</f>
        <v/>
      </c>
      <c r="K608" s="3">
        <f>(G608-F608)/F608*100</f>
        <v/>
      </c>
      <c r="L608" s="3">
        <f>RAW_INPUT!F608</f>
        <v/>
      </c>
      <c r="M608" s="3">
        <f>K608-L608</f>
        <v/>
      </c>
      <c r="N608" s="3">
        <f>IF(J608&gt;0, 1, 0)</f>
        <v/>
      </c>
      <c r="O608" s="3">
        <f>IF(J608&lt;0, 1, 0)</f>
        <v/>
      </c>
      <c r="P608" s="3">
        <f>SUM($J$3:J608)</f>
        <v/>
      </c>
      <c r="Q608" s="3">
        <f>P608/METRICS!$C$14*100</f>
        <v/>
      </c>
      <c r="R608" s="3">
        <f>METRICS!$C$14+P608</f>
        <v/>
      </c>
      <c r="S608" s="3">
        <f>MAX($R$3:R608)</f>
        <v/>
      </c>
      <c r="T608" s="3">
        <f>R608-S608</f>
        <v/>
      </c>
      <c r="U608" s="3">
        <f>(R608-S608)/S608*100</f>
        <v/>
      </c>
      <c r="V608" s="3">
        <f>IF(K608&lt;0, (K608/100)^2, 0)</f>
        <v/>
      </c>
    </row>
    <row r="609">
      <c r="A609" s="3">
        <f>TEXT(607, """T""0000")</f>
        <v/>
      </c>
      <c r="B609" s="3">
        <f>RAW_INPUT!A609</f>
        <v/>
      </c>
      <c r="C609" s="3">
        <f>RAW_INPUT!B609</f>
        <v/>
      </c>
      <c r="D609" s="3">
        <f>RAW_INPUT!D609</f>
        <v/>
      </c>
      <c r="E609" s="3">
        <f>D609-C609</f>
        <v/>
      </c>
      <c r="F609" s="3">
        <f>RAW_INPUT!C609</f>
        <v/>
      </c>
      <c r="G609" s="3">
        <f>RAW_INPUT!E609</f>
        <v/>
      </c>
      <c r="H609" s="3">
        <f>I609/F609</f>
        <v/>
      </c>
      <c r="I609" s="3">
        <f>METRICS!$C$14 * 0.02</f>
        <v/>
      </c>
      <c r="J609" s="3">
        <f>(G609-F609)*H609</f>
        <v/>
      </c>
      <c r="K609" s="3">
        <f>(G609-F609)/F609*100</f>
        <v/>
      </c>
      <c r="L609" s="3">
        <f>RAW_INPUT!F609</f>
        <v/>
      </c>
      <c r="M609" s="3">
        <f>K609-L609</f>
        <v/>
      </c>
      <c r="N609" s="3">
        <f>IF(J609&gt;0, 1, 0)</f>
        <v/>
      </c>
      <c r="O609" s="3">
        <f>IF(J609&lt;0, 1, 0)</f>
        <v/>
      </c>
      <c r="P609" s="3">
        <f>SUM($J$3:J609)</f>
        <v/>
      </c>
      <c r="Q609" s="3">
        <f>P609/METRICS!$C$14*100</f>
        <v/>
      </c>
      <c r="R609" s="3">
        <f>METRICS!$C$14+P609</f>
        <v/>
      </c>
      <c r="S609" s="3">
        <f>MAX($R$3:R609)</f>
        <v/>
      </c>
      <c r="T609" s="3">
        <f>R609-S609</f>
        <v/>
      </c>
      <c r="U609" s="3">
        <f>(R609-S609)/S609*100</f>
        <v/>
      </c>
      <c r="V609" s="3">
        <f>IF(K609&lt;0, (K609/100)^2, 0)</f>
        <v/>
      </c>
    </row>
    <row r="610">
      <c r="A610" s="3">
        <f>TEXT(608, """T""0000")</f>
        <v/>
      </c>
      <c r="B610" s="3">
        <f>RAW_INPUT!A610</f>
        <v/>
      </c>
      <c r="C610" s="3">
        <f>RAW_INPUT!B610</f>
        <v/>
      </c>
      <c r="D610" s="3">
        <f>RAW_INPUT!D610</f>
        <v/>
      </c>
      <c r="E610" s="3">
        <f>D610-C610</f>
        <v/>
      </c>
      <c r="F610" s="3">
        <f>RAW_INPUT!C610</f>
        <v/>
      </c>
      <c r="G610" s="3">
        <f>RAW_INPUT!E610</f>
        <v/>
      </c>
      <c r="H610" s="3">
        <f>I610/F610</f>
        <v/>
      </c>
      <c r="I610" s="3">
        <f>METRICS!$C$14 * 0.02</f>
        <v/>
      </c>
      <c r="J610" s="3">
        <f>(G610-F610)*H610</f>
        <v/>
      </c>
      <c r="K610" s="3">
        <f>(G610-F610)/F610*100</f>
        <v/>
      </c>
      <c r="L610" s="3">
        <f>RAW_INPUT!F610</f>
        <v/>
      </c>
      <c r="M610" s="3">
        <f>K610-L610</f>
        <v/>
      </c>
      <c r="N610" s="3">
        <f>IF(J610&gt;0, 1, 0)</f>
        <v/>
      </c>
      <c r="O610" s="3">
        <f>IF(J610&lt;0, 1, 0)</f>
        <v/>
      </c>
      <c r="P610" s="3">
        <f>SUM($J$3:J610)</f>
        <v/>
      </c>
      <c r="Q610" s="3">
        <f>P610/METRICS!$C$14*100</f>
        <v/>
      </c>
      <c r="R610" s="3">
        <f>METRICS!$C$14+P610</f>
        <v/>
      </c>
      <c r="S610" s="3">
        <f>MAX($R$3:R610)</f>
        <v/>
      </c>
      <c r="T610" s="3">
        <f>R610-S610</f>
        <v/>
      </c>
      <c r="U610" s="3">
        <f>(R610-S610)/S610*100</f>
        <v/>
      </c>
      <c r="V610" s="3">
        <f>IF(K610&lt;0, (K610/100)^2, 0)</f>
        <v/>
      </c>
    </row>
    <row r="611">
      <c r="A611" s="3">
        <f>TEXT(609, """T""0000")</f>
        <v/>
      </c>
      <c r="B611" s="3">
        <f>RAW_INPUT!A611</f>
        <v/>
      </c>
      <c r="C611" s="3">
        <f>RAW_INPUT!B611</f>
        <v/>
      </c>
      <c r="D611" s="3">
        <f>RAW_INPUT!D611</f>
        <v/>
      </c>
      <c r="E611" s="3">
        <f>D611-C611</f>
        <v/>
      </c>
      <c r="F611" s="3">
        <f>RAW_INPUT!C611</f>
        <v/>
      </c>
      <c r="G611" s="3">
        <f>RAW_INPUT!E611</f>
        <v/>
      </c>
      <c r="H611" s="3">
        <f>I611/F611</f>
        <v/>
      </c>
      <c r="I611" s="3">
        <f>METRICS!$C$14 * 0.02</f>
        <v/>
      </c>
      <c r="J611" s="3">
        <f>(G611-F611)*H611</f>
        <v/>
      </c>
      <c r="K611" s="3">
        <f>(G611-F611)/F611*100</f>
        <v/>
      </c>
      <c r="L611" s="3">
        <f>RAW_INPUT!F611</f>
        <v/>
      </c>
      <c r="M611" s="3">
        <f>K611-L611</f>
        <v/>
      </c>
      <c r="N611" s="3">
        <f>IF(J611&gt;0, 1, 0)</f>
        <v/>
      </c>
      <c r="O611" s="3">
        <f>IF(J611&lt;0, 1, 0)</f>
        <v/>
      </c>
      <c r="P611" s="3">
        <f>SUM($J$3:J611)</f>
        <v/>
      </c>
      <c r="Q611" s="3">
        <f>P611/METRICS!$C$14*100</f>
        <v/>
      </c>
      <c r="R611" s="3">
        <f>METRICS!$C$14+P611</f>
        <v/>
      </c>
      <c r="S611" s="3">
        <f>MAX($R$3:R611)</f>
        <v/>
      </c>
      <c r="T611" s="3">
        <f>R611-S611</f>
        <v/>
      </c>
      <c r="U611" s="3">
        <f>(R611-S611)/S611*100</f>
        <v/>
      </c>
      <c r="V611" s="3">
        <f>IF(K611&lt;0, (K611/100)^2, 0)</f>
        <v/>
      </c>
    </row>
    <row r="612">
      <c r="A612" s="3">
        <f>TEXT(610, """T""0000")</f>
        <v/>
      </c>
      <c r="B612" s="3">
        <f>RAW_INPUT!A612</f>
        <v/>
      </c>
      <c r="C612" s="3">
        <f>RAW_INPUT!B612</f>
        <v/>
      </c>
      <c r="D612" s="3">
        <f>RAW_INPUT!D612</f>
        <v/>
      </c>
      <c r="E612" s="3">
        <f>D612-C612</f>
        <v/>
      </c>
      <c r="F612" s="3">
        <f>RAW_INPUT!C612</f>
        <v/>
      </c>
      <c r="G612" s="3">
        <f>RAW_INPUT!E612</f>
        <v/>
      </c>
      <c r="H612" s="3">
        <f>I612/F612</f>
        <v/>
      </c>
      <c r="I612" s="3">
        <f>METRICS!$C$14 * 0.02</f>
        <v/>
      </c>
      <c r="J612" s="3">
        <f>(G612-F612)*H612</f>
        <v/>
      </c>
      <c r="K612" s="3">
        <f>(G612-F612)/F612*100</f>
        <v/>
      </c>
      <c r="L612" s="3">
        <f>RAW_INPUT!F612</f>
        <v/>
      </c>
      <c r="M612" s="3">
        <f>K612-L612</f>
        <v/>
      </c>
      <c r="N612" s="3">
        <f>IF(J612&gt;0, 1, 0)</f>
        <v/>
      </c>
      <c r="O612" s="3">
        <f>IF(J612&lt;0, 1, 0)</f>
        <v/>
      </c>
      <c r="P612" s="3">
        <f>SUM($J$3:J612)</f>
        <v/>
      </c>
      <c r="Q612" s="3">
        <f>P612/METRICS!$C$14*100</f>
        <v/>
      </c>
      <c r="R612" s="3">
        <f>METRICS!$C$14+P612</f>
        <v/>
      </c>
      <c r="S612" s="3">
        <f>MAX($R$3:R612)</f>
        <v/>
      </c>
      <c r="T612" s="3">
        <f>R612-S612</f>
        <v/>
      </c>
      <c r="U612" s="3">
        <f>(R612-S612)/S612*100</f>
        <v/>
      </c>
      <c r="V612" s="3">
        <f>IF(K612&lt;0, (K612/100)^2, 0)</f>
        <v/>
      </c>
    </row>
    <row r="613">
      <c r="A613" s="3">
        <f>TEXT(611, """T""0000")</f>
        <v/>
      </c>
      <c r="B613" s="3">
        <f>RAW_INPUT!A613</f>
        <v/>
      </c>
      <c r="C613" s="3">
        <f>RAW_INPUT!B613</f>
        <v/>
      </c>
      <c r="D613" s="3">
        <f>RAW_INPUT!D613</f>
        <v/>
      </c>
      <c r="E613" s="3">
        <f>D613-C613</f>
        <v/>
      </c>
      <c r="F613" s="3">
        <f>RAW_INPUT!C613</f>
        <v/>
      </c>
      <c r="G613" s="3">
        <f>RAW_INPUT!E613</f>
        <v/>
      </c>
      <c r="H613" s="3">
        <f>I613/F613</f>
        <v/>
      </c>
      <c r="I613" s="3">
        <f>METRICS!$C$14 * 0.02</f>
        <v/>
      </c>
      <c r="J613" s="3">
        <f>(G613-F613)*H613</f>
        <v/>
      </c>
      <c r="K613" s="3">
        <f>(G613-F613)/F613*100</f>
        <v/>
      </c>
      <c r="L613" s="3">
        <f>RAW_INPUT!F613</f>
        <v/>
      </c>
      <c r="M613" s="3">
        <f>K613-L613</f>
        <v/>
      </c>
      <c r="N613" s="3">
        <f>IF(J613&gt;0, 1, 0)</f>
        <v/>
      </c>
      <c r="O613" s="3">
        <f>IF(J613&lt;0, 1, 0)</f>
        <v/>
      </c>
      <c r="P613" s="3">
        <f>SUM($J$3:J613)</f>
        <v/>
      </c>
      <c r="Q613" s="3">
        <f>P613/METRICS!$C$14*100</f>
        <v/>
      </c>
      <c r="R613" s="3">
        <f>METRICS!$C$14+P613</f>
        <v/>
      </c>
      <c r="S613" s="3">
        <f>MAX($R$3:R613)</f>
        <v/>
      </c>
      <c r="T613" s="3">
        <f>R613-S613</f>
        <v/>
      </c>
      <c r="U613" s="3">
        <f>(R613-S613)/S613*100</f>
        <v/>
      </c>
      <c r="V613" s="3">
        <f>IF(K613&lt;0, (K613/100)^2, 0)</f>
        <v/>
      </c>
    </row>
    <row r="614">
      <c r="A614" s="3">
        <f>TEXT(612, """T""0000")</f>
        <v/>
      </c>
      <c r="B614" s="3">
        <f>RAW_INPUT!A614</f>
        <v/>
      </c>
      <c r="C614" s="3">
        <f>RAW_INPUT!B614</f>
        <v/>
      </c>
      <c r="D614" s="3">
        <f>RAW_INPUT!D614</f>
        <v/>
      </c>
      <c r="E614" s="3">
        <f>D614-C614</f>
        <v/>
      </c>
      <c r="F614" s="3">
        <f>RAW_INPUT!C614</f>
        <v/>
      </c>
      <c r="G614" s="3">
        <f>RAW_INPUT!E614</f>
        <v/>
      </c>
      <c r="H614" s="3">
        <f>I614/F614</f>
        <v/>
      </c>
      <c r="I614" s="3">
        <f>METRICS!$C$14 * 0.02</f>
        <v/>
      </c>
      <c r="J614" s="3">
        <f>(G614-F614)*H614</f>
        <v/>
      </c>
      <c r="K614" s="3">
        <f>(G614-F614)/F614*100</f>
        <v/>
      </c>
      <c r="L614" s="3">
        <f>RAW_INPUT!F614</f>
        <v/>
      </c>
      <c r="M614" s="3">
        <f>K614-L614</f>
        <v/>
      </c>
      <c r="N614" s="3">
        <f>IF(J614&gt;0, 1, 0)</f>
        <v/>
      </c>
      <c r="O614" s="3">
        <f>IF(J614&lt;0, 1, 0)</f>
        <v/>
      </c>
      <c r="P614" s="3">
        <f>SUM($J$3:J614)</f>
        <v/>
      </c>
      <c r="Q614" s="3">
        <f>P614/METRICS!$C$14*100</f>
        <v/>
      </c>
      <c r="R614" s="3">
        <f>METRICS!$C$14+P614</f>
        <v/>
      </c>
      <c r="S614" s="3">
        <f>MAX($R$3:R614)</f>
        <v/>
      </c>
      <c r="T614" s="3">
        <f>R614-S614</f>
        <v/>
      </c>
      <c r="U614" s="3">
        <f>(R614-S614)/S614*100</f>
        <v/>
      </c>
      <c r="V614" s="3">
        <f>IF(K614&lt;0, (K614/100)^2, 0)</f>
        <v/>
      </c>
    </row>
    <row r="615">
      <c r="A615" s="3">
        <f>TEXT(613, """T""0000")</f>
        <v/>
      </c>
      <c r="B615" s="3">
        <f>RAW_INPUT!A615</f>
        <v/>
      </c>
      <c r="C615" s="3">
        <f>RAW_INPUT!B615</f>
        <v/>
      </c>
      <c r="D615" s="3">
        <f>RAW_INPUT!D615</f>
        <v/>
      </c>
      <c r="E615" s="3">
        <f>D615-C615</f>
        <v/>
      </c>
      <c r="F615" s="3">
        <f>RAW_INPUT!C615</f>
        <v/>
      </c>
      <c r="G615" s="3">
        <f>RAW_INPUT!E615</f>
        <v/>
      </c>
      <c r="H615" s="3">
        <f>I615/F615</f>
        <v/>
      </c>
      <c r="I615" s="3">
        <f>METRICS!$C$14 * 0.02</f>
        <v/>
      </c>
      <c r="J615" s="3">
        <f>(G615-F615)*H615</f>
        <v/>
      </c>
      <c r="K615" s="3">
        <f>(G615-F615)/F615*100</f>
        <v/>
      </c>
      <c r="L615" s="3">
        <f>RAW_INPUT!F615</f>
        <v/>
      </c>
      <c r="M615" s="3">
        <f>K615-L615</f>
        <v/>
      </c>
      <c r="N615" s="3">
        <f>IF(J615&gt;0, 1, 0)</f>
        <v/>
      </c>
      <c r="O615" s="3">
        <f>IF(J615&lt;0, 1, 0)</f>
        <v/>
      </c>
      <c r="P615" s="3">
        <f>SUM($J$3:J615)</f>
        <v/>
      </c>
      <c r="Q615" s="3">
        <f>P615/METRICS!$C$14*100</f>
        <v/>
      </c>
      <c r="R615" s="3">
        <f>METRICS!$C$14+P615</f>
        <v/>
      </c>
      <c r="S615" s="3">
        <f>MAX($R$3:R615)</f>
        <v/>
      </c>
      <c r="T615" s="3">
        <f>R615-S615</f>
        <v/>
      </c>
      <c r="U615" s="3">
        <f>(R615-S615)/S615*100</f>
        <v/>
      </c>
      <c r="V615" s="3">
        <f>IF(K615&lt;0, (K615/100)^2, 0)</f>
        <v/>
      </c>
    </row>
    <row r="616">
      <c r="A616" s="3">
        <f>TEXT(614, """T""0000")</f>
        <v/>
      </c>
      <c r="B616" s="3">
        <f>RAW_INPUT!A616</f>
        <v/>
      </c>
      <c r="C616" s="3">
        <f>RAW_INPUT!B616</f>
        <v/>
      </c>
      <c r="D616" s="3">
        <f>RAW_INPUT!D616</f>
        <v/>
      </c>
      <c r="E616" s="3">
        <f>D616-C616</f>
        <v/>
      </c>
      <c r="F616" s="3">
        <f>RAW_INPUT!C616</f>
        <v/>
      </c>
      <c r="G616" s="3">
        <f>RAW_INPUT!E616</f>
        <v/>
      </c>
      <c r="H616" s="3">
        <f>I616/F616</f>
        <v/>
      </c>
      <c r="I616" s="3">
        <f>METRICS!$C$14 * 0.02</f>
        <v/>
      </c>
      <c r="J616" s="3">
        <f>(G616-F616)*H616</f>
        <v/>
      </c>
      <c r="K616" s="3">
        <f>(G616-F616)/F616*100</f>
        <v/>
      </c>
      <c r="L616" s="3">
        <f>RAW_INPUT!F616</f>
        <v/>
      </c>
      <c r="M616" s="3">
        <f>K616-L616</f>
        <v/>
      </c>
      <c r="N616" s="3">
        <f>IF(J616&gt;0, 1, 0)</f>
        <v/>
      </c>
      <c r="O616" s="3">
        <f>IF(J616&lt;0, 1, 0)</f>
        <v/>
      </c>
      <c r="P616" s="3">
        <f>SUM($J$3:J616)</f>
        <v/>
      </c>
      <c r="Q616" s="3">
        <f>P616/METRICS!$C$14*100</f>
        <v/>
      </c>
      <c r="R616" s="3">
        <f>METRICS!$C$14+P616</f>
        <v/>
      </c>
      <c r="S616" s="3">
        <f>MAX($R$3:R616)</f>
        <v/>
      </c>
      <c r="T616" s="3">
        <f>R616-S616</f>
        <v/>
      </c>
      <c r="U616" s="3">
        <f>(R616-S616)/S616*100</f>
        <v/>
      </c>
      <c r="V616" s="3">
        <f>IF(K616&lt;0, (K616/100)^2, 0)</f>
        <v/>
      </c>
    </row>
    <row r="617">
      <c r="A617" s="3">
        <f>TEXT(615, """T""0000")</f>
        <v/>
      </c>
      <c r="B617" s="3">
        <f>RAW_INPUT!A617</f>
        <v/>
      </c>
      <c r="C617" s="3">
        <f>RAW_INPUT!B617</f>
        <v/>
      </c>
      <c r="D617" s="3">
        <f>RAW_INPUT!D617</f>
        <v/>
      </c>
      <c r="E617" s="3">
        <f>D617-C617</f>
        <v/>
      </c>
      <c r="F617" s="3">
        <f>RAW_INPUT!C617</f>
        <v/>
      </c>
      <c r="G617" s="3">
        <f>RAW_INPUT!E617</f>
        <v/>
      </c>
      <c r="H617" s="3">
        <f>I617/F617</f>
        <v/>
      </c>
      <c r="I617" s="3">
        <f>METRICS!$C$14 * 0.02</f>
        <v/>
      </c>
      <c r="J617" s="3">
        <f>(G617-F617)*H617</f>
        <v/>
      </c>
      <c r="K617" s="3">
        <f>(G617-F617)/F617*100</f>
        <v/>
      </c>
      <c r="L617" s="3">
        <f>RAW_INPUT!F617</f>
        <v/>
      </c>
      <c r="M617" s="3">
        <f>K617-L617</f>
        <v/>
      </c>
      <c r="N617" s="3">
        <f>IF(J617&gt;0, 1, 0)</f>
        <v/>
      </c>
      <c r="O617" s="3">
        <f>IF(J617&lt;0, 1, 0)</f>
        <v/>
      </c>
      <c r="P617" s="3">
        <f>SUM($J$3:J617)</f>
        <v/>
      </c>
      <c r="Q617" s="3">
        <f>P617/METRICS!$C$14*100</f>
        <v/>
      </c>
      <c r="R617" s="3">
        <f>METRICS!$C$14+P617</f>
        <v/>
      </c>
      <c r="S617" s="3">
        <f>MAX($R$3:R617)</f>
        <v/>
      </c>
      <c r="T617" s="3">
        <f>R617-S617</f>
        <v/>
      </c>
      <c r="U617" s="3">
        <f>(R617-S617)/S617*100</f>
        <v/>
      </c>
      <c r="V617" s="3">
        <f>IF(K617&lt;0, (K617/100)^2, 0)</f>
        <v/>
      </c>
    </row>
    <row r="618">
      <c r="A618" s="3">
        <f>TEXT(616, """T""0000")</f>
        <v/>
      </c>
      <c r="B618" s="3">
        <f>RAW_INPUT!A618</f>
        <v/>
      </c>
      <c r="C618" s="3">
        <f>RAW_INPUT!B618</f>
        <v/>
      </c>
      <c r="D618" s="3">
        <f>RAW_INPUT!D618</f>
        <v/>
      </c>
      <c r="E618" s="3">
        <f>D618-C618</f>
        <v/>
      </c>
      <c r="F618" s="3">
        <f>RAW_INPUT!C618</f>
        <v/>
      </c>
      <c r="G618" s="3">
        <f>RAW_INPUT!E618</f>
        <v/>
      </c>
      <c r="H618" s="3">
        <f>I618/F618</f>
        <v/>
      </c>
      <c r="I618" s="3">
        <f>METRICS!$C$14 * 0.02</f>
        <v/>
      </c>
      <c r="J618" s="3">
        <f>(G618-F618)*H618</f>
        <v/>
      </c>
      <c r="K618" s="3">
        <f>(G618-F618)/F618*100</f>
        <v/>
      </c>
      <c r="L618" s="3">
        <f>RAW_INPUT!F618</f>
        <v/>
      </c>
      <c r="M618" s="3">
        <f>K618-L618</f>
        <v/>
      </c>
      <c r="N618" s="3">
        <f>IF(J618&gt;0, 1, 0)</f>
        <v/>
      </c>
      <c r="O618" s="3">
        <f>IF(J618&lt;0, 1, 0)</f>
        <v/>
      </c>
      <c r="P618" s="3">
        <f>SUM($J$3:J618)</f>
        <v/>
      </c>
      <c r="Q618" s="3">
        <f>P618/METRICS!$C$14*100</f>
        <v/>
      </c>
      <c r="R618" s="3">
        <f>METRICS!$C$14+P618</f>
        <v/>
      </c>
      <c r="S618" s="3">
        <f>MAX($R$3:R618)</f>
        <v/>
      </c>
      <c r="T618" s="3">
        <f>R618-S618</f>
        <v/>
      </c>
      <c r="U618" s="3">
        <f>(R618-S618)/S618*100</f>
        <v/>
      </c>
      <c r="V618" s="3">
        <f>IF(K618&lt;0, (K618/100)^2, 0)</f>
        <v/>
      </c>
    </row>
    <row r="619">
      <c r="A619" s="3">
        <f>TEXT(617, """T""0000")</f>
        <v/>
      </c>
      <c r="B619" s="3">
        <f>RAW_INPUT!A619</f>
        <v/>
      </c>
      <c r="C619" s="3">
        <f>RAW_INPUT!B619</f>
        <v/>
      </c>
      <c r="D619" s="3">
        <f>RAW_INPUT!D619</f>
        <v/>
      </c>
      <c r="E619" s="3">
        <f>D619-C619</f>
        <v/>
      </c>
      <c r="F619" s="3">
        <f>RAW_INPUT!C619</f>
        <v/>
      </c>
      <c r="G619" s="3">
        <f>RAW_INPUT!E619</f>
        <v/>
      </c>
      <c r="H619" s="3">
        <f>I619/F619</f>
        <v/>
      </c>
      <c r="I619" s="3">
        <f>METRICS!$C$14 * 0.02</f>
        <v/>
      </c>
      <c r="J619" s="3">
        <f>(G619-F619)*H619</f>
        <v/>
      </c>
      <c r="K619" s="3">
        <f>(G619-F619)/F619*100</f>
        <v/>
      </c>
      <c r="L619" s="3">
        <f>RAW_INPUT!F619</f>
        <v/>
      </c>
      <c r="M619" s="3">
        <f>K619-L619</f>
        <v/>
      </c>
      <c r="N619" s="3">
        <f>IF(J619&gt;0, 1, 0)</f>
        <v/>
      </c>
      <c r="O619" s="3">
        <f>IF(J619&lt;0, 1, 0)</f>
        <v/>
      </c>
      <c r="P619" s="3">
        <f>SUM($J$3:J619)</f>
        <v/>
      </c>
      <c r="Q619" s="3">
        <f>P619/METRICS!$C$14*100</f>
        <v/>
      </c>
      <c r="R619" s="3">
        <f>METRICS!$C$14+P619</f>
        <v/>
      </c>
      <c r="S619" s="3">
        <f>MAX($R$3:R619)</f>
        <v/>
      </c>
      <c r="T619" s="3">
        <f>R619-S619</f>
        <v/>
      </c>
      <c r="U619" s="3">
        <f>(R619-S619)/S619*100</f>
        <v/>
      </c>
      <c r="V619" s="3">
        <f>IF(K619&lt;0, (K619/100)^2, 0)</f>
        <v/>
      </c>
    </row>
    <row r="620">
      <c r="A620" s="3">
        <f>TEXT(618, """T""0000")</f>
        <v/>
      </c>
      <c r="B620" s="3">
        <f>RAW_INPUT!A620</f>
        <v/>
      </c>
      <c r="C620" s="3">
        <f>RAW_INPUT!B620</f>
        <v/>
      </c>
      <c r="D620" s="3">
        <f>RAW_INPUT!D620</f>
        <v/>
      </c>
      <c r="E620" s="3">
        <f>D620-C620</f>
        <v/>
      </c>
      <c r="F620" s="3">
        <f>RAW_INPUT!C620</f>
        <v/>
      </c>
      <c r="G620" s="3">
        <f>RAW_INPUT!E620</f>
        <v/>
      </c>
      <c r="H620" s="3">
        <f>I620/F620</f>
        <v/>
      </c>
      <c r="I620" s="3">
        <f>METRICS!$C$14 * 0.02</f>
        <v/>
      </c>
      <c r="J620" s="3">
        <f>(G620-F620)*H620</f>
        <v/>
      </c>
      <c r="K620" s="3">
        <f>(G620-F620)/F620*100</f>
        <v/>
      </c>
      <c r="L620" s="3">
        <f>RAW_INPUT!F620</f>
        <v/>
      </c>
      <c r="M620" s="3">
        <f>K620-L620</f>
        <v/>
      </c>
      <c r="N620" s="3">
        <f>IF(J620&gt;0, 1, 0)</f>
        <v/>
      </c>
      <c r="O620" s="3">
        <f>IF(J620&lt;0, 1, 0)</f>
        <v/>
      </c>
      <c r="P620" s="3">
        <f>SUM($J$3:J620)</f>
        <v/>
      </c>
      <c r="Q620" s="3">
        <f>P620/METRICS!$C$14*100</f>
        <v/>
      </c>
      <c r="R620" s="3">
        <f>METRICS!$C$14+P620</f>
        <v/>
      </c>
      <c r="S620" s="3">
        <f>MAX($R$3:R620)</f>
        <v/>
      </c>
      <c r="T620" s="3">
        <f>R620-S620</f>
        <v/>
      </c>
      <c r="U620" s="3">
        <f>(R620-S620)/S620*100</f>
        <v/>
      </c>
      <c r="V620" s="3">
        <f>IF(K620&lt;0, (K620/100)^2, 0)</f>
        <v/>
      </c>
    </row>
    <row r="621">
      <c r="A621" s="3">
        <f>TEXT(619, """T""0000")</f>
        <v/>
      </c>
      <c r="B621" s="3">
        <f>RAW_INPUT!A621</f>
        <v/>
      </c>
      <c r="C621" s="3">
        <f>RAW_INPUT!B621</f>
        <v/>
      </c>
      <c r="D621" s="3">
        <f>RAW_INPUT!D621</f>
        <v/>
      </c>
      <c r="E621" s="3">
        <f>D621-C621</f>
        <v/>
      </c>
      <c r="F621" s="3">
        <f>RAW_INPUT!C621</f>
        <v/>
      </c>
      <c r="G621" s="3">
        <f>RAW_INPUT!E621</f>
        <v/>
      </c>
      <c r="H621" s="3">
        <f>I621/F621</f>
        <v/>
      </c>
      <c r="I621" s="3">
        <f>METRICS!$C$14 * 0.02</f>
        <v/>
      </c>
      <c r="J621" s="3">
        <f>(G621-F621)*H621</f>
        <v/>
      </c>
      <c r="K621" s="3">
        <f>(G621-F621)/F621*100</f>
        <v/>
      </c>
      <c r="L621" s="3">
        <f>RAW_INPUT!F621</f>
        <v/>
      </c>
      <c r="M621" s="3">
        <f>K621-L621</f>
        <v/>
      </c>
      <c r="N621" s="3">
        <f>IF(J621&gt;0, 1, 0)</f>
        <v/>
      </c>
      <c r="O621" s="3">
        <f>IF(J621&lt;0, 1, 0)</f>
        <v/>
      </c>
      <c r="P621" s="3">
        <f>SUM($J$3:J621)</f>
        <v/>
      </c>
      <c r="Q621" s="3">
        <f>P621/METRICS!$C$14*100</f>
        <v/>
      </c>
      <c r="R621" s="3">
        <f>METRICS!$C$14+P621</f>
        <v/>
      </c>
      <c r="S621" s="3">
        <f>MAX($R$3:R621)</f>
        <v/>
      </c>
      <c r="T621" s="3">
        <f>R621-S621</f>
        <v/>
      </c>
      <c r="U621" s="3">
        <f>(R621-S621)/S621*100</f>
        <v/>
      </c>
      <c r="V621" s="3">
        <f>IF(K621&lt;0, (K621/100)^2, 0)</f>
        <v/>
      </c>
    </row>
    <row r="622">
      <c r="A622" s="3">
        <f>TEXT(620, """T""0000")</f>
        <v/>
      </c>
      <c r="B622" s="3">
        <f>RAW_INPUT!A622</f>
        <v/>
      </c>
      <c r="C622" s="3">
        <f>RAW_INPUT!B622</f>
        <v/>
      </c>
      <c r="D622" s="3">
        <f>RAW_INPUT!D622</f>
        <v/>
      </c>
      <c r="E622" s="3">
        <f>D622-C622</f>
        <v/>
      </c>
      <c r="F622" s="3">
        <f>RAW_INPUT!C622</f>
        <v/>
      </c>
      <c r="G622" s="3">
        <f>RAW_INPUT!E622</f>
        <v/>
      </c>
      <c r="H622" s="3">
        <f>I622/F622</f>
        <v/>
      </c>
      <c r="I622" s="3">
        <f>METRICS!$C$14 * 0.02</f>
        <v/>
      </c>
      <c r="J622" s="3">
        <f>(G622-F622)*H622</f>
        <v/>
      </c>
      <c r="K622" s="3">
        <f>(G622-F622)/F622*100</f>
        <v/>
      </c>
      <c r="L622" s="3">
        <f>RAW_INPUT!F622</f>
        <v/>
      </c>
      <c r="M622" s="3">
        <f>K622-L622</f>
        <v/>
      </c>
      <c r="N622" s="3">
        <f>IF(J622&gt;0, 1, 0)</f>
        <v/>
      </c>
      <c r="O622" s="3">
        <f>IF(J622&lt;0, 1, 0)</f>
        <v/>
      </c>
      <c r="P622" s="3">
        <f>SUM($J$3:J622)</f>
        <v/>
      </c>
      <c r="Q622" s="3">
        <f>P622/METRICS!$C$14*100</f>
        <v/>
      </c>
      <c r="R622" s="3">
        <f>METRICS!$C$14+P622</f>
        <v/>
      </c>
      <c r="S622" s="3">
        <f>MAX($R$3:R622)</f>
        <v/>
      </c>
      <c r="T622" s="3">
        <f>R622-S622</f>
        <v/>
      </c>
      <c r="U622" s="3">
        <f>(R622-S622)/S622*100</f>
        <v/>
      </c>
      <c r="V622" s="3">
        <f>IF(K622&lt;0, (K622/100)^2, 0)</f>
        <v/>
      </c>
    </row>
    <row r="623">
      <c r="A623" s="3">
        <f>TEXT(621, """T""0000")</f>
        <v/>
      </c>
      <c r="B623" s="3">
        <f>RAW_INPUT!A623</f>
        <v/>
      </c>
      <c r="C623" s="3">
        <f>RAW_INPUT!B623</f>
        <v/>
      </c>
      <c r="D623" s="3">
        <f>RAW_INPUT!D623</f>
        <v/>
      </c>
      <c r="E623" s="3">
        <f>D623-C623</f>
        <v/>
      </c>
      <c r="F623" s="3">
        <f>RAW_INPUT!C623</f>
        <v/>
      </c>
      <c r="G623" s="3">
        <f>RAW_INPUT!E623</f>
        <v/>
      </c>
      <c r="H623" s="3">
        <f>I623/F623</f>
        <v/>
      </c>
      <c r="I623" s="3">
        <f>METRICS!$C$14 * 0.02</f>
        <v/>
      </c>
      <c r="J623" s="3">
        <f>(G623-F623)*H623</f>
        <v/>
      </c>
      <c r="K623" s="3">
        <f>(G623-F623)/F623*100</f>
        <v/>
      </c>
      <c r="L623" s="3">
        <f>RAW_INPUT!F623</f>
        <v/>
      </c>
      <c r="M623" s="3">
        <f>K623-L623</f>
        <v/>
      </c>
      <c r="N623" s="3">
        <f>IF(J623&gt;0, 1, 0)</f>
        <v/>
      </c>
      <c r="O623" s="3">
        <f>IF(J623&lt;0, 1, 0)</f>
        <v/>
      </c>
      <c r="P623" s="3">
        <f>SUM($J$3:J623)</f>
        <v/>
      </c>
      <c r="Q623" s="3">
        <f>P623/METRICS!$C$14*100</f>
        <v/>
      </c>
      <c r="R623" s="3">
        <f>METRICS!$C$14+P623</f>
        <v/>
      </c>
      <c r="S623" s="3">
        <f>MAX($R$3:R623)</f>
        <v/>
      </c>
      <c r="T623" s="3">
        <f>R623-S623</f>
        <v/>
      </c>
      <c r="U623" s="3">
        <f>(R623-S623)/S623*100</f>
        <v/>
      </c>
      <c r="V623" s="3">
        <f>IF(K623&lt;0, (K623/100)^2, 0)</f>
        <v/>
      </c>
    </row>
    <row r="624">
      <c r="A624" s="3">
        <f>TEXT(622, """T""0000")</f>
        <v/>
      </c>
      <c r="B624" s="3">
        <f>RAW_INPUT!A624</f>
        <v/>
      </c>
      <c r="C624" s="3">
        <f>RAW_INPUT!B624</f>
        <v/>
      </c>
      <c r="D624" s="3">
        <f>RAW_INPUT!D624</f>
        <v/>
      </c>
      <c r="E624" s="3">
        <f>D624-C624</f>
        <v/>
      </c>
      <c r="F624" s="3">
        <f>RAW_INPUT!C624</f>
        <v/>
      </c>
      <c r="G624" s="3">
        <f>RAW_INPUT!E624</f>
        <v/>
      </c>
      <c r="H624" s="3">
        <f>I624/F624</f>
        <v/>
      </c>
      <c r="I624" s="3">
        <f>METRICS!$C$14 * 0.02</f>
        <v/>
      </c>
      <c r="J624" s="3">
        <f>(G624-F624)*H624</f>
        <v/>
      </c>
      <c r="K624" s="3">
        <f>(G624-F624)/F624*100</f>
        <v/>
      </c>
      <c r="L624" s="3">
        <f>RAW_INPUT!F624</f>
        <v/>
      </c>
      <c r="M624" s="3">
        <f>K624-L624</f>
        <v/>
      </c>
      <c r="N624" s="3">
        <f>IF(J624&gt;0, 1, 0)</f>
        <v/>
      </c>
      <c r="O624" s="3">
        <f>IF(J624&lt;0, 1, 0)</f>
        <v/>
      </c>
      <c r="P624" s="3">
        <f>SUM($J$3:J624)</f>
        <v/>
      </c>
      <c r="Q624" s="3">
        <f>P624/METRICS!$C$14*100</f>
        <v/>
      </c>
      <c r="R624" s="3">
        <f>METRICS!$C$14+P624</f>
        <v/>
      </c>
      <c r="S624" s="3">
        <f>MAX($R$3:R624)</f>
        <v/>
      </c>
      <c r="T624" s="3">
        <f>R624-S624</f>
        <v/>
      </c>
      <c r="U624" s="3">
        <f>(R624-S624)/S624*100</f>
        <v/>
      </c>
      <c r="V624" s="3">
        <f>IF(K624&lt;0, (K624/100)^2, 0)</f>
        <v/>
      </c>
    </row>
    <row r="625">
      <c r="A625" s="3">
        <f>TEXT(623, """T""0000")</f>
        <v/>
      </c>
      <c r="B625" s="3">
        <f>RAW_INPUT!A625</f>
        <v/>
      </c>
      <c r="C625" s="3">
        <f>RAW_INPUT!B625</f>
        <v/>
      </c>
      <c r="D625" s="3">
        <f>RAW_INPUT!D625</f>
        <v/>
      </c>
      <c r="E625" s="3">
        <f>D625-C625</f>
        <v/>
      </c>
      <c r="F625" s="3">
        <f>RAW_INPUT!C625</f>
        <v/>
      </c>
      <c r="G625" s="3">
        <f>RAW_INPUT!E625</f>
        <v/>
      </c>
      <c r="H625" s="3">
        <f>I625/F625</f>
        <v/>
      </c>
      <c r="I625" s="3">
        <f>METRICS!$C$14 * 0.02</f>
        <v/>
      </c>
      <c r="J625" s="3">
        <f>(G625-F625)*H625</f>
        <v/>
      </c>
      <c r="K625" s="3">
        <f>(G625-F625)/F625*100</f>
        <v/>
      </c>
      <c r="L625" s="3">
        <f>RAW_INPUT!F625</f>
        <v/>
      </c>
      <c r="M625" s="3">
        <f>K625-L625</f>
        <v/>
      </c>
      <c r="N625" s="3">
        <f>IF(J625&gt;0, 1, 0)</f>
        <v/>
      </c>
      <c r="O625" s="3">
        <f>IF(J625&lt;0, 1, 0)</f>
        <v/>
      </c>
      <c r="P625" s="3">
        <f>SUM($J$3:J625)</f>
        <v/>
      </c>
      <c r="Q625" s="3">
        <f>P625/METRICS!$C$14*100</f>
        <v/>
      </c>
      <c r="R625" s="3">
        <f>METRICS!$C$14+P625</f>
        <v/>
      </c>
      <c r="S625" s="3">
        <f>MAX($R$3:R625)</f>
        <v/>
      </c>
      <c r="T625" s="3">
        <f>R625-S625</f>
        <v/>
      </c>
      <c r="U625" s="3">
        <f>(R625-S625)/S625*100</f>
        <v/>
      </c>
      <c r="V625" s="3">
        <f>IF(K625&lt;0, (K625/100)^2, 0)</f>
        <v/>
      </c>
    </row>
    <row r="626">
      <c r="A626" s="3">
        <f>TEXT(624, """T""0000")</f>
        <v/>
      </c>
      <c r="B626" s="3">
        <f>RAW_INPUT!A626</f>
        <v/>
      </c>
      <c r="C626" s="3">
        <f>RAW_INPUT!B626</f>
        <v/>
      </c>
      <c r="D626" s="3">
        <f>RAW_INPUT!D626</f>
        <v/>
      </c>
      <c r="E626" s="3">
        <f>D626-C626</f>
        <v/>
      </c>
      <c r="F626" s="3">
        <f>RAW_INPUT!C626</f>
        <v/>
      </c>
      <c r="G626" s="3">
        <f>RAW_INPUT!E626</f>
        <v/>
      </c>
      <c r="H626" s="3">
        <f>I626/F626</f>
        <v/>
      </c>
      <c r="I626" s="3">
        <f>METRICS!$C$14 * 0.02</f>
        <v/>
      </c>
      <c r="J626" s="3">
        <f>(G626-F626)*H626</f>
        <v/>
      </c>
      <c r="K626" s="3">
        <f>(G626-F626)/F626*100</f>
        <v/>
      </c>
      <c r="L626" s="3">
        <f>RAW_INPUT!F626</f>
        <v/>
      </c>
      <c r="M626" s="3">
        <f>K626-L626</f>
        <v/>
      </c>
      <c r="N626" s="3">
        <f>IF(J626&gt;0, 1, 0)</f>
        <v/>
      </c>
      <c r="O626" s="3">
        <f>IF(J626&lt;0, 1, 0)</f>
        <v/>
      </c>
      <c r="P626" s="3">
        <f>SUM($J$3:J626)</f>
        <v/>
      </c>
      <c r="Q626" s="3">
        <f>P626/METRICS!$C$14*100</f>
        <v/>
      </c>
      <c r="R626" s="3">
        <f>METRICS!$C$14+P626</f>
        <v/>
      </c>
      <c r="S626" s="3">
        <f>MAX($R$3:R626)</f>
        <v/>
      </c>
      <c r="T626" s="3">
        <f>R626-S626</f>
        <v/>
      </c>
      <c r="U626" s="3">
        <f>(R626-S626)/S626*100</f>
        <v/>
      </c>
      <c r="V626" s="3">
        <f>IF(K626&lt;0, (K626/100)^2, 0)</f>
        <v/>
      </c>
    </row>
    <row r="627">
      <c r="A627" s="3">
        <f>TEXT(625, """T""0000")</f>
        <v/>
      </c>
      <c r="B627" s="3">
        <f>RAW_INPUT!A627</f>
        <v/>
      </c>
      <c r="C627" s="3">
        <f>RAW_INPUT!B627</f>
        <v/>
      </c>
      <c r="D627" s="3">
        <f>RAW_INPUT!D627</f>
        <v/>
      </c>
      <c r="E627" s="3">
        <f>D627-C627</f>
        <v/>
      </c>
      <c r="F627" s="3">
        <f>RAW_INPUT!C627</f>
        <v/>
      </c>
      <c r="G627" s="3">
        <f>RAW_INPUT!E627</f>
        <v/>
      </c>
      <c r="H627" s="3">
        <f>I627/F627</f>
        <v/>
      </c>
      <c r="I627" s="3">
        <f>METRICS!$C$14 * 0.02</f>
        <v/>
      </c>
      <c r="J627" s="3">
        <f>(G627-F627)*H627</f>
        <v/>
      </c>
      <c r="K627" s="3">
        <f>(G627-F627)/F627*100</f>
        <v/>
      </c>
      <c r="L627" s="3">
        <f>RAW_INPUT!F627</f>
        <v/>
      </c>
      <c r="M627" s="3">
        <f>K627-L627</f>
        <v/>
      </c>
      <c r="N627" s="3">
        <f>IF(J627&gt;0, 1, 0)</f>
        <v/>
      </c>
      <c r="O627" s="3">
        <f>IF(J627&lt;0, 1, 0)</f>
        <v/>
      </c>
      <c r="P627" s="3">
        <f>SUM($J$3:J627)</f>
        <v/>
      </c>
      <c r="Q627" s="3">
        <f>P627/METRICS!$C$14*100</f>
        <v/>
      </c>
      <c r="R627" s="3">
        <f>METRICS!$C$14+P627</f>
        <v/>
      </c>
      <c r="S627" s="3">
        <f>MAX($R$3:R627)</f>
        <v/>
      </c>
      <c r="T627" s="3">
        <f>R627-S627</f>
        <v/>
      </c>
      <c r="U627" s="3">
        <f>(R627-S627)/S627*100</f>
        <v/>
      </c>
      <c r="V627" s="3">
        <f>IF(K627&lt;0, (K627/100)^2, 0)</f>
        <v/>
      </c>
    </row>
    <row r="628">
      <c r="A628" s="3">
        <f>TEXT(626, """T""0000")</f>
        <v/>
      </c>
      <c r="B628" s="3">
        <f>RAW_INPUT!A628</f>
        <v/>
      </c>
      <c r="C628" s="3">
        <f>RAW_INPUT!B628</f>
        <v/>
      </c>
      <c r="D628" s="3">
        <f>RAW_INPUT!D628</f>
        <v/>
      </c>
      <c r="E628" s="3">
        <f>D628-C628</f>
        <v/>
      </c>
      <c r="F628" s="3">
        <f>RAW_INPUT!C628</f>
        <v/>
      </c>
      <c r="G628" s="3">
        <f>RAW_INPUT!E628</f>
        <v/>
      </c>
      <c r="H628" s="3">
        <f>I628/F628</f>
        <v/>
      </c>
      <c r="I628" s="3">
        <f>METRICS!$C$14 * 0.02</f>
        <v/>
      </c>
      <c r="J628" s="3">
        <f>(G628-F628)*H628</f>
        <v/>
      </c>
      <c r="K628" s="3">
        <f>(G628-F628)/F628*100</f>
        <v/>
      </c>
      <c r="L628" s="3">
        <f>RAW_INPUT!F628</f>
        <v/>
      </c>
      <c r="M628" s="3">
        <f>K628-L628</f>
        <v/>
      </c>
      <c r="N628" s="3">
        <f>IF(J628&gt;0, 1, 0)</f>
        <v/>
      </c>
      <c r="O628" s="3">
        <f>IF(J628&lt;0, 1, 0)</f>
        <v/>
      </c>
      <c r="P628" s="3">
        <f>SUM($J$3:J628)</f>
        <v/>
      </c>
      <c r="Q628" s="3">
        <f>P628/METRICS!$C$14*100</f>
        <v/>
      </c>
      <c r="R628" s="3">
        <f>METRICS!$C$14+P628</f>
        <v/>
      </c>
      <c r="S628" s="3">
        <f>MAX($R$3:R628)</f>
        <v/>
      </c>
      <c r="T628" s="3">
        <f>R628-S628</f>
        <v/>
      </c>
      <c r="U628" s="3">
        <f>(R628-S628)/S628*100</f>
        <v/>
      </c>
      <c r="V628" s="3">
        <f>IF(K628&lt;0, (K628/100)^2, 0)</f>
        <v/>
      </c>
    </row>
    <row r="629">
      <c r="A629" s="3">
        <f>TEXT(627, """T""0000")</f>
        <v/>
      </c>
      <c r="B629" s="3">
        <f>RAW_INPUT!A629</f>
        <v/>
      </c>
      <c r="C629" s="3">
        <f>RAW_INPUT!B629</f>
        <v/>
      </c>
      <c r="D629" s="3">
        <f>RAW_INPUT!D629</f>
        <v/>
      </c>
      <c r="E629" s="3">
        <f>D629-C629</f>
        <v/>
      </c>
      <c r="F629" s="3">
        <f>RAW_INPUT!C629</f>
        <v/>
      </c>
      <c r="G629" s="3">
        <f>RAW_INPUT!E629</f>
        <v/>
      </c>
      <c r="H629" s="3">
        <f>I629/F629</f>
        <v/>
      </c>
      <c r="I629" s="3">
        <f>METRICS!$C$14 * 0.02</f>
        <v/>
      </c>
      <c r="J629" s="3">
        <f>(G629-F629)*H629</f>
        <v/>
      </c>
      <c r="K629" s="3">
        <f>(G629-F629)/F629*100</f>
        <v/>
      </c>
      <c r="L629" s="3">
        <f>RAW_INPUT!F629</f>
        <v/>
      </c>
      <c r="M629" s="3">
        <f>K629-L629</f>
        <v/>
      </c>
      <c r="N629" s="3">
        <f>IF(J629&gt;0, 1, 0)</f>
        <v/>
      </c>
      <c r="O629" s="3">
        <f>IF(J629&lt;0, 1, 0)</f>
        <v/>
      </c>
      <c r="P629" s="3">
        <f>SUM($J$3:J629)</f>
        <v/>
      </c>
      <c r="Q629" s="3">
        <f>P629/METRICS!$C$14*100</f>
        <v/>
      </c>
      <c r="R629" s="3">
        <f>METRICS!$C$14+P629</f>
        <v/>
      </c>
      <c r="S629" s="3">
        <f>MAX($R$3:R629)</f>
        <v/>
      </c>
      <c r="T629" s="3">
        <f>R629-S629</f>
        <v/>
      </c>
      <c r="U629" s="3">
        <f>(R629-S629)/S629*100</f>
        <v/>
      </c>
      <c r="V629" s="3">
        <f>IF(K629&lt;0, (K629/100)^2, 0)</f>
        <v/>
      </c>
    </row>
    <row r="630">
      <c r="A630" s="3">
        <f>TEXT(628, """T""0000")</f>
        <v/>
      </c>
      <c r="B630" s="3">
        <f>RAW_INPUT!A630</f>
        <v/>
      </c>
      <c r="C630" s="3">
        <f>RAW_INPUT!B630</f>
        <v/>
      </c>
      <c r="D630" s="3">
        <f>RAW_INPUT!D630</f>
        <v/>
      </c>
      <c r="E630" s="3">
        <f>D630-C630</f>
        <v/>
      </c>
      <c r="F630" s="3">
        <f>RAW_INPUT!C630</f>
        <v/>
      </c>
      <c r="G630" s="3">
        <f>RAW_INPUT!E630</f>
        <v/>
      </c>
      <c r="H630" s="3">
        <f>I630/F630</f>
        <v/>
      </c>
      <c r="I630" s="3">
        <f>METRICS!$C$14 * 0.02</f>
        <v/>
      </c>
      <c r="J630" s="3">
        <f>(G630-F630)*H630</f>
        <v/>
      </c>
      <c r="K630" s="3">
        <f>(G630-F630)/F630*100</f>
        <v/>
      </c>
      <c r="L630" s="3">
        <f>RAW_INPUT!F630</f>
        <v/>
      </c>
      <c r="M630" s="3">
        <f>K630-L630</f>
        <v/>
      </c>
      <c r="N630" s="3">
        <f>IF(J630&gt;0, 1, 0)</f>
        <v/>
      </c>
      <c r="O630" s="3">
        <f>IF(J630&lt;0, 1, 0)</f>
        <v/>
      </c>
      <c r="P630" s="3">
        <f>SUM($J$3:J630)</f>
        <v/>
      </c>
      <c r="Q630" s="3">
        <f>P630/METRICS!$C$14*100</f>
        <v/>
      </c>
      <c r="R630" s="3">
        <f>METRICS!$C$14+P630</f>
        <v/>
      </c>
      <c r="S630" s="3">
        <f>MAX($R$3:R630)</f>
        <v/>
      </c>
      <c r="T630" s="3">
        <f>R630-S630</f>
        <v/>
      </c>
      <c r="U630" s="3">
        <f>(R630-S630)/S630*100</f>
        <v/>
      </c>
      <c r="V630" s="3">
        <f>IF(K630&lt;0, (K630/100)^2, 0)</f>
        <v/>
      </c>
    </row>
    <row r="631">
      <c r="A631" s="3">
        <f>TEXT(629, """T""0000")</f>
        <v/>
      </c>
      <c r="B631" s="3">
        <f>RAW_INPUT!A631</f>
        <v/>
      </c>
      <c r="C631" s="3">
        <f>RAW_INPUT!B631</f>
        <v/>
      </c>
      <c r="D631" s="3">
        <f>RAW_INPUT!D631</f>
        <v/>
      </c>
      <c r="E631" s="3">
        <f>D631-C631</f>
        <v/>
      </c>
      <c r="F631" s="3">
        <f>RAW_INPUT!C631</f>
        <v/>
      </c>
      <c r="G631" s="3">
        <f>RAW_INPUT!E631</f>
        <v/>
      </c>
      <c r="H631" s="3">
        <f>I631/F631</f>
        <v/>
      </c>
      <c r="I631" s="3">
        <f>METRICS!$C$14 * 0.02</f>
        <v/>
      </c>
      <c r="J631" s="3">
        <f>(G631-F631)*H631</f>
        <v/>
      </c>
      <c r="K631" s="3">
        <f>(G631-F631)/F631*100</f>
        <v/>
      </c>
      <c r="L631" s="3">
        <f>RAW_INPUT!F631</f>
        <v/>
      </c>
      <c r="M631" s="3">
        <f>K631-L631</f>
        <v/>
      </c>
      <c r="N631" s="3">
        <f>IF(J631&gt;0, 1, 0)</f>
        <v/>
      </c>
      <c r="O631" s="3">
        <f>IF(J631&lt;0, 1, 0)</f>
        <v/>
      </c>
      <c r="P631" s="3">
        <f>SUM($J$3:J631)</f>
        <v/>
      </c>
      <c r="Q631" s="3">
        <f>P631/METRICS!$C$14*100</f>
        <v/>
      </c>
      <c r="R631" s="3">
        <f>METRICS!$C$14+P631</f>
        <v/>
      </c>
      <c r="S631" s="3">
        <f>MAX($R$3:R631)</f>
        <v/>
      </c>
      <c r="T631" s="3">
        <f>R631-S631</f>
        <v/>
      </c>
      <c r="U631" s="3">
        <f>(R631-S631)/S631*100</f>
        <v/>
      </c>
      <c r="V631" s="3">
        <f>IF(K631&lt;0, (K631/100)^2, 0)</f>
        <v/>
      </c>
    </row>
    <row r="632">
      <c r="A632" s="3">
        <f>TEXT(630, """T""0000")</f>
        <v/>
      </c>
      <c r="B632" s="3">
        <f>RAW_INPUT!A632</f>
        <v/>
      </c>
      <c r="C632" s="3">
        <f>RAW_INPUT!B632</f>
        <v/>
      </c>
      <c r="D632" s="3">
        <f>RAW_INPUT!D632</f>
        <v/>
      </c>
      <c r="E632" s="3">
        <f>D632-C632</f>
        <v/>
      </c>
      <c r="F632" s="3">
        <f>RAW_INPUT!C632</f>
        <v/>
      </c>
      <c r="G632" s="3">
        <f>RAW_INPUT!E632</f>
        <v/>
      </c>
      <c r="H632" s="3">
        <f>I632/F632</f>
        <v/>
      </c>
      <c r="I632" s="3">
        <f>METRICS!$C$14 * 0.02</f>
        <v/>
      </c>
      <c r="J632" s="3">
        <f>(G632-F632)*H632</f>
        <v/>
      </c>
      <c r="K632" s="3">
        <f>(G632-F632)/F632*100</f>
        <v/>
      </c>
      <c r="L632" s="3">
        <f>RAW_INPUT!F632</f>
        <v/>
      </c>
      <c r="M632" s="3">
        <f>K632-L632</f>
        <v/>
      </c>
      <c r="N632" s="3">
        <f>IF(J632&gt;0, 1, 0)</f>
        <v/>
      </c>
      <c r="O632" s="3">
        <f>IF(J632&lt;0, 1, 0)</f>
        <v/>
      </c>
      <c r="P632" s="3">
        <f>SUM($J$3:J632)</f>
        <v/>
      </c>
      <c r="Q632" s="3">
        <f>P632/METRICS!$C$14*100</f>
        <v/>
      </c>
      <c r="R632" s="3">
        <f>METRICS!$C$14+P632</f>
        <v/>
      </c>
      <c r="S632" s="3">
        <f>MAX($R$3:R632)</f>
        <v/>
      </c>
      <c r="T632" s="3">
        <f>R632-S632</f>
        <v/>
      </c>
      <c r="U632" s="3">
        <f>(R632-S632)/S632*100</f>
        <v/>
      </c>
      <c r="V632" s="3">
        <f>IF(K632&lt;0, (K632/100)^2, 0)</f>
        <v/>
      </c>
    </row>
    <row r="633">
      <c r="A633" s="3">
        <f>TEXT(631, """T""0000")</f>
        <v/>
      </c>
      <c r="B633" s="3">
        <f>RAW_INPUT!A633</f>
        <v/>
      </c>
      <c r="C633" s="3">
        <f>RAW_INPUT!B633</f>
        <v/>
      </c>
      <c r="D633" s="3">
        <f>RAW_INPUT!D633</f>
        <v/>
      </c>
      <c r="E633" s="3">
        <f>D633-C633</f>
        <v/>
      </c>
      <c r="F633" s="3">
        <f>RAW_INPUT!C633</f>
        <v/>
      </c>
      <c r="G633" s="3">
        <f>RAW_INPUT!E633</f>
        <v/>
      </c>
      <c r="H633" s="3">
        <f>I633/F633</f>
        <v/>
      </c>
      <c r="I633" s="3">
        <f>METRICS!$C$14 * 0.02</f>
        <v/>
      </c>
      <c r="J633" s="3">
        <f>(G633-F633)*H633</f>
        <v/>
      </c>
      <c r="K633" s="3">
        <f>(G633-F633)/F633*100</f>
        <v/>
      </c>
      <c r="L633" s="3">
        <f>RAW_INPUT!F633</f>
        <v/>
      </c>
      <c r="M633" s="3">
        <f>K633-L633</f>
        <v/>
      </c>
      <c r="N633" s="3">
        <f>IF(J633&gt;0, 1, 0)</f>
        <v/>
      </c>
      <c r="O633" s="3">
        <f>IF(J633&lt;0, 1, 0)</f>
        <v/>
      </c>
      <c r="P633" s="3">
        <f>SUM($J$3:J633)</f>
        <v/>
      </c>
      <c r="Q633" s="3">
        <f>P633/METRICS!$C$14*100</f>
        <v/>
      </c>
      <c r="R633" s="3">
        <f>METRICS!$C$14+P633</f>
        <v/>
      </c>
      <c r="S633" s="3">
        <f>MAX($R$3:R633)</f>
        <v/>
      </c>
      <c r="T633" s="3">
        <f>R633-S633</f>
        <v/>
      </c>
      <c r="U633" s="3">
        <f>(R633-S633)/S633*100</f>
        <v/>
      </c>
      <c r="V633" s="3">
        <f>IF(K633&lt;0, (K633/100)^2, 0)</f>
        <v/>
      </c>
    </row>
    <row r="634">
      <c r="A634" s="3">
        <f>TEXT(632, """T""0000")</f>
        <v/>
      </c>
      <c r="B634" s="3">
        <f>RAW_INPUT!A634</f>
        <v/>
      </c>
      <c r="C634" s="3">
        <f>RAW_INPUT!B634</f>
        <v/>
      </c>
      <c r="D634" s="3">
        <f>RAW_INPUT!D634</f>
        <v/>
      </c>
      <c r="E634" s="3">
        <f>D634-C634</f>
        <v/>
      </c>
      <c r="F634" s="3">
        <f>RAW_INPUT!C634</f>
        <v/>
      </c>
      <c r="G634" s="3">
        <f>RAW_INPUT!E634</f>
        <v/>
      </c>
      <c r="H634" s="3">
        <f>I634/F634</f>
        <v/>
      </c>
      <c r="I634" s="3">
        <f>METRICS!$C$14 * 0.02</f>
        <v/>
      </c>
      <c r="J634" s="3">
        <f>(G634-F634)*H634</f>
        <v/>
      </c>
      <c r="K634" s="3">
        <f>(G634-F634)/F634*100</f>
        <v/>
      </c>
      <c r="L634" s="3">
        <f>RAW_INPUT!F634</f>
        <v/>
      </c>
      <c r="M634" s="3">
        <f>K634-L634</f>
        <v/>
      </c>
      <c r="N634" s="3">
        <f>IF(J634&gt;0, 1, 0)</f>
        <v/>
      </c>
      <c r="O634" s="3">
        <f>IF(J634&lt;0, 1, 0)</f>
        <v/>
      </c>
      <c r="P634" s="3">
        <f>SUM($J$3:J634)</f>
        <v/>
      </c>
      <c r="Q634" s="3">
        <f>P634/METRICS!$C$14*100</f>
        <v/>
      </c>
      <c r="R634" s="3">
        <f>METRICS!$C$14+P634</f>
        <v/>
      </c>
      <c r="S634" s="3">
        <f>MAX($R$3:R634)</f>
        <v/>
      </c>
      <c r="T634" s="3">
        <f>R634-S634</f>
        <v/>
      </c>
      <c r="U634" s="3">
        <f>(R634-S634)/S634*100</f>
        <v/>
      </c>
      <c r="V634" s="3">
        <f>IF(K634&lt;0, (K634/100)^2, 0)</f>
        <v/>
      </c>
    </row>
    <row r="635">
      <c r="A635" s="3">
        <f>TEXT(633, """T""0000")</f>
        <v/>
      </c>
      <c r="B635" s="3">
        <f>RAW_INPUT!A635</f>
        <v/>
      </c>
      <c r="C635" s="3">
        <f>RAW_INPUT!B635</f>
        <v/>
      </c>
      <c r="D635" s="3">
        <f>RAW_INPUT!D635</f>
        <v/>
      </c>
      <c r="E635" s="3">
        <f>D635-C635</f>
        <v/>
      </c>
      <c r="F635" s="3">
        <f>RAW_INPUT!C635</f>
        <v/>
      </c>
      <c r="G635" s="3">
        <f>RAW_INPUT!E635</f>
        <v/>
      </c>
      <c r="H635" s="3">
        <f>I635/F635</f>
        <v/>
      </c>
      <c r="I635" s="3">
        <f>METRICS!$C$14 * 0.02</f>
        <v/>
      </c>
      <c r="J635" s="3">
        <f>(G635-F635)*H635</f>
        <v/>
      </c>
      <c r="K635" s="3">
        <f>(G635-F635)/F635*100</f>
        <v/>
      </c>
      <c r="L635" s="3">
        <f>RAW_INPUT!F635</f>
        <v/>
      </c>
      <c r="M635" s="3">
        <f>K635-L635</f>
        <v/>
      </c>
      <c r="N635" s="3">
        <f>IF(J635&gt;0, 1, 0)</f>
        <v/>
      </c>
      <c r="O635" s="3">
        <f>IF(J635&lt;0, 1, 0)</f>
        <v/>
      </c>
      <c r="P635" s="3">
        <f>SUM($J$3:J635)</f>
        <v/>
      </c>
      <c r="Q635" s="3">
        <f>P635/METRICS!$C$14*100</f>
        <v/>
      </c>
      <c r="R635" s="3">
        <f>METRICS!$C$14+P635</f>
        <v/>
      </c>
      <c r="S635" s="3">
        <f>MAX($R$3:R635)</f>
        <v/>
      </c>
      <c r="T635" s="3">
        <f>R635-S635</f>
        <v/>
      </c>
      <c r="U635" s="3">
        <f>(R635-S635)/S635*100</f>
        <v/>
      </c>
      <c r="V635" s="3">
        <f>IF(K635&lt;0, (K635/100)^2, 0)</f>
        <v/>
      </c>
    </row>
    <row r="636">
      <c r="A636" s="3">
        <f>TEXT(634, """T""0000")</f>
        <v/>
      </c>
      <c r="B636" s="3">
        <f>RAW_INPUT!A636</f>
        <v/>
      </c>
      <c r="C636" s="3">
        <f>RAW_INPUT!B636</f>
        <v/>
      </c>
      <c r="D636" s="3">
        <f>RAW_INPUT!D636</f>
        <v/>
      </c>
      <c r="E636" s="3">
        <f>D636-C636</f>
        <v/>
      </c>
      <c r="F636" s="3">
        <f>RAW_INPUT!C636</f>
        <v/>
      </c>
      <c r="G636" s="3">
        <f>RAW_INPUT!E636</f>
        <v/>
      </c>
      <c r="H636" s="3">
        <f>I636/F636</f>
        <v/>
      </c>
      <c r="I636" s="3">
        <f>METRICS!$C$14 * 0.02</f>
        <v/>
      </c>
      <c r="J636" s="3">
        <f>(G636-F636)*H636</f>
        <v/>
      </c>
      <c r="K636" s="3">
        <f>(G636-F636)/F636*100</f>
        <v/>
      </c>
      <c r="L636" s="3">
        <f>RAW_INPUT!F636</f>
        <v/>
      </c>
      <c r="M636" s="3">
        <f>K636-L636</f>
        <v/>
      </c>
      <c r="N636" s="3">
        <f>IF(J636&gt;0, 1, 0)</f>
        <v/>
      </c>
      <c r="O636" s="3">
        <f>IF(J636&lt;0, 1, 0)</f>
        <v/>
      </c>
      <c r="P636" s="3">
        <f>SUM($J$3:J636)</f>
        <v/>
      </c>
      <c r="Q636" s="3">
        <f>P636/METRICS!$C$14*100</f>
        <v/>
      </c>
      <c r="R636" s="3">
        <f>METRICS!$C$14+P636</f>
        <v/>
      </c>
      <c r="S636" s="3">
        <f>MAX($R$3:R636)</f>
        <v/>
      </c>
      <c r="T636" s="3">
        <f>R636-S636</f>
        <v/>
      </c>
      <c r="U636" s="3">
        <f>(R636-S636)/S636*100</f>
        <v/>
      </c>
      <c r="V636" s="3">
        <f>IF(K636&lt;0, (K636/100)^2, 0)</f>
        <v/>
      </c>
    </row>
    <row r="637">
      <c r="A637" s="3">
        <f>TEXT(635, """T""0000")</f>
        <v/>
      </c>
      <c r="B637" s="3">
        <f>RAW_INPUT!A637</f>
        <v/>
      </c>
      <c r="C637" s="3">
        <f>RAW_INPUT!B637</f>
        <v/>
      </c>
      <c r="D637" s="3">
        <f>RAW_INPUT!D637</f>
        <v/>
      </c>
      <c r="E637" s="3">
        <f>D637-C637</f>
        <v/>
      </c>
      <c r="F637" s="3">
        <f>RAW_INPUT!C637</f>
        <v/>
      </c>
      <c r="G637" s="3">
        <f>RAW_INPUT!E637</f>
        <v/>
      </c>
      <c r="H637" s="3">
        <f>I637/F637</f>
        <v/>
      </c>
      <c r="I637" s="3">
        <f>METRICS!$C$14 * 0.02</f>
        <v/>
      </c>
      <c r="J637" s="3">
        <f>(G637-F637)*H637</f>
        <v/>
      </c>
      <c r="K637" s="3">
        <f>(G637-F637)/F637*100</f>
        <v/>
      </c>
      <c r="L637" s="3">
        <f>RAW_INPUT!F637</f>
        <v/>
      </c>
      <c r="M637" s="3">
        <f>K637-L637</f>
        <v/>
      </c>
      <c r="N637" s="3">
        <f>IF(J637&gt;0, 1, 0)</f>
        <v/>
      </c>
      <c r="O637" s="3">
        <f>IF(J637&lt;0, 1, 0)</f>
        <v/>
      </c>
      <c r="P637" s="3">
        <f>SUM($J$3:J637)</f>
        <v/>
      </c>
      <c r="Q637" s="3">
        <f>P637/METRICS!$C$14*100</f>
        <v/>
      </c>
      <c r="R637" s="3">
        <f>METRICS!$C$14+P637</f>
        <v/>
      </c>
      <c r="S637" s="3">
        <f>MAX($R$3:R637)</f>
        <v/>
      </c>
      <c r="T637" s="3">
        <f>R637-S637</f>
        <v/>
      </c>
      <c r="U637" s="3">
        <f>(R637-S637)/S637*100</f>
        <v/>
      </c>
      <c r="V637" s="3">
        <f>IF(K637&lt;0, (K637/100)^2, 0)</f>
        <v/>
      </c>
    </row>
    <row r="638">
      <c r="A638" s="3">
        <f>TEXT(636, """T""0000")</f>
        <v/>
      </c>
      <c r="B638" s="3">
        <f>RAW_INPUT!A638</f>
        <v/>
      </c>
      <c r="C638" s="3">
        <f>RAW_INPUT!B638</f>
        <v/>
      </c>
      <c r="D638" s="3">
        <f>RAW_INPUT!D638</f>
        <v/>
      </c>
      <c r="E638" s="3">
        <f>D638-C638</f>
        <v/>
      </c>
      <c r="F638" s="3">
        <f>RAW_INPUT!C638</f>
        <v/>
      </c>
      <c r="G638" s="3">
        <f>RAW_INPUT!E638</f>
        <v/>
      </c>
      <c r="H638" s="3">
        <f>I638/F638</f>
        <v/>
      </c>
      <c r="I638" s="3">
        <f>METRICS!$C$14 * 0.02</f>
        <v/>
      </c>
      <c r="J638" s="3">
        <f>(G638-F638)*H638</f>
        <v/>
      </c>
      <c r="K638" s="3">
        <f>(G638-F638)/F638*100</f>
        <v/>
      </c>
      <c r="L638" s="3">
        <f>RAW_INPUT!F638</f>
        <v/>
      </c>
      <c r="M638" s="3">
        <f>K638-L638</f>
        <v/>
      </c>
      <c r="N638" s="3">
        <f>IF(J638&gt;0, 1, 0)</f>
        <v/>
      </c>
      <c r="O638" s="3">
        <f>IF(J638&lt;0, 1, 0)</f>
        <v/>
      </c>
      <c r="P638" s="3">
        <f>SUM($J$3:J638)</f>
        <v/>
      </c>
      <c r="Q638" s="3">
        <f>P638/METRICS!$C$14*100</f>
        <v/>
      </c>
      <c r="R638" s="3">
        <f>METRICS!$C$14+P638</f>
        <v/>
      </c>
      <c r="S638" s="3">
        <f>MAX($R$3:R638)</f>
        <v/>
      </c>
      <c r="T638" s="3">
        <f>R638-S638</f>
        <v/>
      </c>
      <c r="U638" s="3">
        <f>(R638-S638)/S638*100</f>
        <v/>
      </c>
      <c r="V638" s="3">
        <f>IF(K638&lt;0, (K638/100)^2, 0)</f>
        <v/>
      </c>
    </row>
    <row r="639">
      <c r="A639" s="3">
        <f>TEXT(637, """T""0000")</f>
        <v/>
      </c>
      <c r="B639" s="3">
        <f>RAW_INPUT!A639</f>
        <v/>
      </c>
      <c r="C639" s="3">
        <f>RAW_INPUT!B639</f>
        <v/>
      </c>
      <c r="D639" s="3">
        <f>RAW_INPUT!D639</f>
        <v/>
      </c>
      <c r="E639" s="3">
        <f>D639-C639</f>
        <v/>
      </c>
      <c r="F639" s="3">
        <f>RAW_INPUT!C639</f>
        <v/>
      </c>
      <c r="G639" s="3">
        <f>RAW_INPUT!E639</f>
        <v/>
      </c>
      <c r="H639" s="3">
        <f>I639/F639</f>
        <v/>
      </c>
      <c r="I639" s="3">
        <f>METRICS!$C$14 * 0.02</f>
        <v/>
      </c>
      <c r="J639" s="3">
        <f>(G639-F639)*H639</f>
        <v/>
      </c>
      <c r="K639" s="3">
        <f>(G639-F639)/F639*100</f>
        <v/>
      </c>
      <c r="L639" s="3">
        <f>RAW_INPUT!F639</f>
        <v/>
      </c>
      <c r="M639" s="3">
        <f>K639-L639</f>
        <v/>
      </c>
      <c r="N639" s="3">
        <f>IF(J639&gt;0, 1, 0)</f>
        <v/>
      </c>
      <c r="O639" s="3">
        <f>IF(J639&lt;0, 1, 0)</f>
        <v/>
      </c>
      <c r="P639" s="3">
        <f>SUM($J$3:J639)</f>
        <v/>
      </c>
      <c r="Q639" s="3">
        <f>P639/METRICS!$C$14*100</f>
        <v/>
      </c>
      <c r="R639" s="3">
        <f>METRICS!$C$14+P639</f>
        <v/>
      </c>
      <c r="S639" s="3">
        <f>MAX($R$3:R639)</f>
        <v/>
      </c>
      <c r="T639" s="3">
        <f>R639-S639</f>
        <v/>
      </c>
      <c r="U639" s="3">
        <f>(R639-S639)/S639*100</f>
        <v/>
      </c>
      <c r="V639" s="3">
        <f>IF(K639&lt;0, (K639/100)^2, 0)</f>
        <v/>
      </c>
    </row>
    <row r="640">
      <c r="A640" s="3">
        <f>TEXT(638, """T""0000")</f>
        <v/>
      </c>
      <c r="B640" s="3">
        <f>RAW_INPUT!A640</f>
        <v/>
      </c>
      <c r="C640" s="3">
        <f>RAW_INPUT!B640</f>
        <v/>
      </c>
      <c r="D640" s="3">
        <f>RAW_INPUT!D640</f>
        <v/>
      </c>
      <c r="E640" s="3">
        <f>D640-C640</f>
        <v/>
      </c>
      <c r="F640" s="3">
        <f>RAW_INPUT!C640</f>
        <v/>
      </c>
      <c r="G640" s="3">
        <f>RAW_INPUT!E640</f>
        <v/>
      </c>
      <c r="H640" s="3">
        <f>I640/F640</f>
        <v/>
      </c>
      <c r="I640" s="3">
        <f>METRICS!$C$14 * 0.02</f>
        <v/>
      </c>
      <c r="J640" s="3">
        <f>(G640-F640)*H640</f>
        <v/>
      </c>
      <c r="K640" s="3">
        <f>(G640-F640)/F640*100</f>
        <v/>
      </c>
      <c r="L640" s="3">
        <f>RAW_INPUT!F640</f>
        <v/>
      </c>
      <c r="M640" s="3">
        <f>K640-L640</f>
        <v/>
      </c>
      <c r="N640" s="3">
        <f>IF(J640&gt;0, 1, 0)</f>
        <v/>
      </c>
      <c r="O640" s="3">
        <f>IF(J640&lt;0, 1, 0)</f>
        <v/>
      </c>
      <c r="P640" s="3">
        <f>SUM($J$3:J640)</f>
        <v/>
      </c>
      <c r="Q640" s="3">
        <f>P640/METRICS!$C$14*100</f>
        <v/>
      </c>
      <c r="R640" s="3">
        <f>METRICS!$C$14+P640</f>
        <v/>
      </c>
      <c r="S640" s="3">
        <f>MAX($R$3:R640)</f>
        <v/>
      </c>
      <c r="T640" s="3">
        <f>R640-S640</f>
        <v/>
      </c>
      <c r="U640" s="3">
        <f>(R640-S640)/S640*100</f>
        <v/>
      </c>
      <c r="V640" s="3">
        <f>IF(K640&lt;0, (K640/100)^2, 0)</f>
        <v/>
      </c>
    </row>
    <row r="641">
      <c r="A641" s="3">
        <f>TEXT(639, """T""0000")</f>
        <v/>
      </c>
      <c r="B641" s="3">
        <f>RAW_INPUT!A641</f>
        <v/>
      </c>
      <c r="C641" s="3">
        <f>RAW_INPUT!B641</f>
        <v/>
      </c>
      <c r="D641" s="3">
        <f>RAW_INPUT!D641</f>
        <v/>
      </c>
      <c r="E641" s="3">
        <f>D641-C641</f>
        <v/>
      </c>
      <c r="F641" s="3">
        <f>RAW_INPUT!C641</f>
        <v/>
      </c>
      <c r="G641" s="3">
        <f>RAW_INPUT!E641</f>
        <v/>
      </c>
      <c r="H641" s="3">
        <f>I641/F641</f>
        <v/>
      </c>
      <c r="I641" s="3">
        <f>METRICS!$C$14 * 0.02</f>
        <v/>
      </c>
      <c r="J641" s="3">
        <f>(G641-F641)*H641</f>
        <v/>
      </c>
      <c r="K641" s="3">
        <f>(G641-F641)/F641*100</f>
        <v/>
      </c>
      <c r="L641" s="3">
        <f>RAW_INPUT!F641</f>
        <v/>
      </c>
      <c r="M641" s="3">
        <f>K641-L641</f>
        <v/>
      </c>
      <c r="N641" s="3">
        <f>IF(J641&gt;0, 1, 0)</f>
        <v/>
      </c>
      <c r="O641" s="3">
        <f>IF(J641&lt;0, 1, 0)</f>
        <v/>
      </c>
      <c r="P641" s="3">
        <f>SUM($J$3:J641)</f>
        <v/>
      </c>
      <c r="Q641" s="3">
        <f>P641/METRICS!$C$14*100</f>
        <v/>
      </c>
      <c r="R641" s="3">
        <f>METRICS!$C$14+P641</f>
        <v/>
      </c>
      <c r="S641" s="3">
        <f>MAX($R$3:R641)</f>
        <v/>
      </c>
      <c r="T641" s="3">
        <f>R641-S641</f>
        <v/>
      </c>
      <c r="U641" s="3">
        <f>(R641-S641)/S641*100</f>
        <v/>
      </c>
      <c r="V641" s="3">
        <f>IF(K641&lt;0, (K641/100)^2, 0)</f>
        <v/>
      </c>
    </row>
    <row r="642">
      <c r="A642" s="3">
        <f>TEXT(640, """T""0000")</f>
        <v/>
      </c>
      <c r="B642" s="3">
        <f>RAW_INPUT!A642</f>
        <v/>
      </c>
      <c r="C642" s="3">
        <f>RAW_INPUT!B642</f>
        <v/>
      </c>
      <c r="D642" s="3">
        <f>RAW_INPUT!D642</f>
        <v/>
      </c>
      <c r="E642" s="3">
        <f>D642-C642</f>
        <v/>
      </c>
      <c r="F642" s="3">
        <f>RAW_INPUT!C642</f>
        <v/>
      </c>
      <c r="G642" s="3">
        <f>RAW_INPUT!E642</f>
        <v/>
      </c>
      <c r="H642" s="3">
        <f>I642/F642</f>
        <v/>
      </c>
      <c r="I642" s="3">
        <f>METRICS!$C$14 * 0.02</f>
        <v/>
      </c>
      <c r="J642" s="3">
        <f>(G642-F642)*H642</f>
        <v/>
      </c>
      <c r="K642" s="3">
        <f>(G642-F642)/F642*100</f>
        <v/>
      </c>
      <c r="L642" s="3">
        <f>RAW_INPUT!F642</f>
        <v/>
      </c>
      <c r="M642" s="3">
        <f>K642-L642</f>
        <v/>
      </c>
      <c r="N642" s="3">
        <f>IF(J642&gt;0, 1, 0)</f>
        <v/>
      </c>
      <c r="O642" s="3">
        <f>IF(J642&lt;0, 1, 0)</f>
        <v/>
      </c>
      <c r="P642" s="3">
        <f>SUM($J$3:J642)</f>
        <v/>
      </c>
      <c r="Q642" s="3">
        <f>P642/METRICS!$C$14*100</f>
        <v/>
      </c>
      <c r="R642" s="3">
        <f>METRICS!$C$14+P642</f>
        <v/>
      </c>
      <c r="S642" s="3">
        <f>MAX($R$3:R642)</f>
        <v/>
      </c>
      <c r="T642" s="3">
        <f>R642-S642</f>
        <v/>
      </c>
      <c r="U642" s="3">
        <f>(R642-S642)/S642*100</f>
        <v/>
      </c>
      <c r="V642" s="3">
        <f>IF(K642&lt;0, (K642/100)^2, 0)</f>
        <v/>
      </c>
    </row>
    <row r="643">
      <c r="A643" s="3">
        <f>TEXT(641, """T""0000")</f>
        <v/>
      </c>
      <c r="B643" s="3">
        <f>RAW_INPUT!A643</f>
        <v/>
      </c>
      <c r="C643" s="3">
        <f>RAW_INPUT!B643</f>
        <v/>
      </c>
      <c r="D643" s="3">
        <f>RAW_INPUT!D643</f>
        <v/>
      </c>
      <c r="E643" s="3">
        <f>D643-C643</f>
        <v/>
      </c>
      <c r="F643" s="3">
        <f>RAW_INPUT!C643</f>
        <v/>
      </c>
      <c r="G643" s="3">
        <f>RAW_INPUT!E643</f>
        <v/>
      </c>
      <c r="H643" s="3">
        <f>I643/F643</f>
        <v/>
      </c>
      <c r="I643" s="3">
        <f>METRICS!$C$14 * 0.02</f>
        <v/>
      </c>
      <c r="J643" s="3">
        <f>(G643-F643)*H643</f>
        <v/>
      </c>
      <c r="K643" s="3">
        <f>(G643-F643)/F643*100</f>
        <v/>
      </c>
      <c r="L643" s="3">
        <f>RAW_INPUT!F643</f>
        <v/>
      </c>
      <c r="M643" s="3">
        <f>K643-L643</f>
        <v/>
      </c>
      <c r="N643" s="3">
        <f>IF(J643&gt;0, 1, 0)</f>
        <v/>
      </c>
      <c r="O643" s="3">
        <f>IF(J643&lt;0, 1, 0)</f>
        <v/>
      </c>
      <c r="P643" s="3">
        <f>SUM($J$3:J643)</f>
        <v/>
      </c>
      <c r="Q643" s="3">
        <f>P643/METRICS!$C$14*100</f>
        <v/>
      </c>
      <c r="R643" s="3">
        <f>METRICS!$C$14+P643</f>
        <v/>
      </c>
      <c r="S643" s="3">
        <f>MAX($R$3:R643)</f>
        <v/>
      </c>
      <c r="T643" s="3">
        <f>R643-S643</f>
        <v/>
      </c>
      <c r="U643" s="3">
        <f>(R643-S643)/S643*100</f>
        <v/>
      </c>
      <c r="V643" s="3">
        <f>IF(K643&lt;0, (K643/100)^2, 0)</f>
        <v/>
      </c>
    </row>
    <row r="644">
      <c r="A644" s="3">
        <f>TEXT(642, """T""0000")</f>
        <v/>
      </c>
      <c r="B644" s="3">
        <f>RAW_INPUT!A644</f>
        <v/>
      </c>
      <c r="C644" s="3">
        <f>RAW_INPUT!B644</f>
        <v/>
      </c>
      <c r="D644" s="3">
        <f>RAW_INPUT!D644</f>
        <v/>
      </c>
      <c r="E644" s="3">
        <f>D644-C644</f>
        <v/>
      </c>
      <c r="F644" s="3">
        <f>RAW_INPUT!C644</f>
        <v/>
      </c>
      <c r="G644" s="3">
        <f>RAW_INPUT!E644</f>
        <v/>
      </c>
      <c r="H644" s="3">
        <f>I644/F644</f>
        <v/>
      </c>
      <c r="I644" s="3">
        <f>METRICS!$C$14 * 0.02</f>
        <v/>
      </c>
      <c r="J644" s="3">
        <f>(G644-F644)*H644</f>
        <v/>
      </c>
      <c r="K644" s="3">
        <f>(G644-F644)/F644*100</f>
        <v/>
      </c>
      <c r="L644" s="3">
        <f>RAW_INPUT!F644</f>
        <v/>
      </c>
      <c r="M644" s="3">
        <f>K644-L644</f>
        <v/>
      </c>
      <c r="N644" s="3">
        <f>IF(J644&gt;0, 1, 0)</f>
        <v/>
      </c>
      <c r="O644" s="3">
        <f>IF(J644&lt;0, 1, 0)</f>
        <v/>
      </c>
      <c r="P644" s="3">
        <f>SUM($J$3:J644)</f>
        <v/>
      </c>
      <c r="Q644" s="3">
        <f>P644/METRICS!$C$14*100</f>
        <v/>
      </c>
      <c r="R644" s="3">
        <f>METRICS!$C$14+P644</f>
        <v/>
      </c>
      <c r="S644" s="3">
        <f>MAX($R$3:R644)</f>
        <v/>
      </c>
      <c r="T644" s="3">
        <f>R644-S644</f>
        <v/>
      </c>
      <c r="U644" s="3">
        <f>(R644-S644)/S644*100</f>
        <v/>
      </c>
      <c r="V644" s="3">
        <f>IF(K644&lt;0, (K644/100)^2, 0)</f>
        <v/>
      </c>
    </row>
    <row r="645">
      <c r="A645" s="3">
        <f>TEXT(643, """T""0000")</f>
        <v/>
      </c>
      <c r="B645" s="3">
        <f>RAW_INPUT!A645</f>
        <v/>
      </c>
      <c r="C645" s="3">
        <f>RAW_INPUT!B645</f>
        <v/>
      </c>
      <c r="D645" s="3">
        <f>RAW_INPUT!D645</f>
        <v/>
      </c>
      <c r="E645" s="3">
        <f>D645-C645</f>
        <v/>
      </c>
      <c r="F645" s="3">
        <f>RAW_INPUT!C645</f>
        <v/>
      </c>
      <c r="G645" s="3">
        <f>RAW_INPUT!E645</f>
        <v/>
      </c>
      <c r="H645" s="3">
        <f>I645/F645</f>
        <v/>
      </c>
      <c r="I645" s="3">
        <f>METRICS!$C$14 * 0.02</f>
        <v/>
      </c>
      <c r="J645" s="3">
        <f>(G645-F645)*H645</f>
        <v/>
      </c>
      <c r="K645" s="3">
        <f>(G645-F645)/F645*100</f>
        <v/>
      </c>
      <c r="L645" s="3">
        <f>RAW_INPUT!F645</f>
        <v/>
      </c>
      <c r="M645" s="3">
        <f>K645-L645</f>
        <v/>
      </c>
      <c r="N645" s="3">
        <f>IF(J645&gt;0, 1, 0)</f>
        <v/>
      </c>
      <c r="O645" s="3">
        <f>IF(J645&lt;0, 1, 0)</f>
        <v/>
      </c>
      <c r="P645" s="3">
        <f>SUM($J$3:J645)</f>
        <v/>
      </c>
      <c r="Q645" s="3">
        <f>P645/METRICS!$C$14*100</f>
        <v/>
      </c>
      <c r="R645" s="3">
        <f>METRICS!$C$14+P645</f>
        <v/>
      </c>
      <c r="S645" s="3">
        <f>MAX($R$3:R645)</f>
        <v/>
      </c>
      <c r="T645" s="3">
        <f>R645-S645</f>
        <v/>
      </c>
      <c r="U645" s="3">
        <f>(R645-S645)/S645*100</f>
        <v/>
      </c>
      <c r="V645" s="3">
        <f>IF(K645&lt;0, (K645/100)^2, 0)</f>
        <v/>
      </c>
    </row>
    <row r="646">
      <c r="A646" s="3">
        <f>TEXT(644, """T""0000")</f>
        <v/>
      </c>
      <c r="B646" s="3">
        <f>RAW_INPUT!A646</f>
        <v/>
      </c>
      <c r="C646" s="3">
        <f>RAW_INPUT!B646</f>
        <v/>
      </c>
      <c r="D646" s="3">
        <f>RAW_INPUT!D646</f>
        <v/>
      </c>
      <c r="E646" s="3">
        <f>D646-C646</f>
        <v/>
      </c>
      <c r="F646" s="3">
        <f>RAW_INPUT!C646</f>
        <v/>
      </c>
      <c r="G646" s="3">
        <f>RAW_INPUT!E646</f>
        <v/>
      </c>
      <c r="H646" s="3">
        <f>I646/F646</f>
        <v/>
      </c>
      <c r="I646" s="3">
        <f>METRICS!$C$14 * 0.02</f>
        <v/>
      </c>
      <c r="J646" s="3">
        <f>(G646-F646)*H646</f>
        <v/>
      </c>
      <c r="K646" s="3">
        <f>(G646-F646)/F646*100</f>
        <v/>
      </c>
      <c r="L646" s="3">
        <f>RAW_INPUT!F646</f>
        <v/>
      </c>
      <c r="M646" s="3">
        <f>K646-L646</f>
        <v/>
      </c>
      <c r="N646" s="3">
        <f>IF(J646&gt;0, 1, 0)</f>
        <v/>
      </c>
      <c r="O646" s="3">
        <f>IF(J646&lt;0, 1, 0)</f>
        <v/>
      </c>
      <c r="P646" s="3">
        <f>SUM($J$3:J646)</f>
        <v/>
      </c>
      <c r="Q646" s="3">
        <f>P646/METRICS!$C$14*100</f>
        <v/>
      </c>
      <c r="R646" s="3">
        <f>METRICS!$C$14+P646</f>
        <v/>
      </c>
      <c r="S646" s="3">
        <f>MAX($R$3:R646)</f>
        <v/>
      </c>
      <c r="T646" s="3">
        <f>R646-S646</f>
        <v/>
      </c>
      <c r="U646" s="3">
        <f>(R646-S646)/S646*100</f>
        <v/>
      </c>
      <c r="V646" s="3">
        <f>IF(K646&lt;0, (K646/100)^2, 0)</f>
        <v/>
      </c>
    </row>
    <row r="647">
      <c r="A647" s="3">
        <f>TEXT(645, """T""0000")</f>
        <v/>
      </c>
      <c r="B647" s="3">
        <f>RAW_INPUT!A647</f>
        <v/>
      </c>
      <c r="C647" s="3">
        <f>RAW_INPUT!B647</f>
        <v/>
      </c>
      <c r="D647" s="3">
        <f>RAW_INPUT!D647</f>
        <v/>
      </c>
      <c r="E647" s="3">
        <f>D647-C647</f>
        <v/>
      </c>
      <c r="F647" s="3">
        <f>RAW_INPUT!C647</f>
        <v/>
      </c>
      <c r="G647" s="3">
        <f>RAW_INPUT!E647</f>
        <v/>
      </c>
      <c r="H647" s="3">
        <f>I647/F647</f>
        <v/>
      </c>
      <c r="I647" s="3">
        <f>METRICS!$C$14 * 0.02</f>
        <v/>
      </c>
      <c r="J647" s="3">
        <f>(G647-F647)*H647</f>
        <v/>
      </c>
      <c r="K647" s="3">
        <f>(G647-F647)/F647*100</f>
        <v/>
      </c>
      <c r="L647" s="3">
        <f>RAW_INPUT!F647</f>
        <v/>
      </c>
      <c r="M647" s="3">
        <f>K647-L647</f>
        <v/>
      </c>
      <c r="N647" s="3">
        <f>IF(J647&gt;0, 1, 0)</f>
        <v/>
      </c>
      <c r="O647" s="3">
        <f>IF(J647&lt;0, 1, 0)</f>
        <v/>
      </c>
      <c r="P647" s="3">
        <f>SUM($J$3:J647)</f>
        <v/>
      </c>
      <c r="Q647" s="3">
        <f>P647/METRICS!$C$14*100</f>
        <v/>
      </c>
      <c r="R647" s="3">
        <f>METRICS!$C$14+P647</f>
        <v/>
      </c>
      <c r="S647" s="3">
        <f>MAX($R$3:R647)</f>
        <v/>
      </c>
      <c r="T647" s="3">
        <f>R647-S647</f>
        <v/>
      </c>
      <c r="U647" s="3">
        <f>(R647-S647)/S647*100</f>
        <v/>
      </c>
      <c r="V647" s="3">
        <f>IF(K647&lt;0, (K647/100)^2, 0)</f>
        <v/>
      </c>
    </row>
    <row r="648">
      <c r="A648" s="3">
        <f>TEXT(646, """T""0000")</f>
        <v/>
      </c>
      <c r="B648" s="3">
        <f>RAW_INPUT!A648</f>
        <v/>
      </c>
      <c r="C648" s="3">
        <f>RAW_INPUT!B648</f>
        <v/>
      </c>
      <c r="D648" s="3">
        <f>RAW_INPUT!D648</f>
        <v/>
      </c>
      <c r="E648" s="3">
        <f>D648-C648</f>
        <v/>
      </c>
      <c r="F648" s="3">
        <f>RAW_INPUT!C648</f>
        <v/>
      </c>
      <c r="G648" s="3">
        <f>RAW_INPUT!E648</f>
        <v/>
      </c>
      <c r="H648" s="3">
        <f>I648/F648</f>
        <v/>
      </c>
      <c r="I648" s="3">
        <f>METRICS!$C$14 * 0.02</f>
        <v/>
      </c>
      <c r="J648" s="3">
        <f>(G648-F648)*H648</f>
        <v/>
      </c>
      <c r="K648" s="3">
        <f>(G648-F648)/F648*100</f>
        <v/>
      </c>
      <c r="L648" s="3">
        <f>RAW_INPUT!F648</f>
        <v/>
      </c>
      <c r="M648" s="3">
        <f>K648-L648</f>
        <v/>
      </c>
      <c r="N648" s="3">
        <f>IF(J648&gt;0, 1, 0)</f>
        <v/>
      </c>
      <c r="O648" s="3">
        <f>IF(J648&lt;0, 1, 0)</f>
        <v/>
      </c>
      <c r="P648" s="3">
        <f>SUM($J$3:J648)</f>
        <v/>
      </c>
      <c r="Q648" s="3">
        <f>P648/METRICS!$C$14*100</f>
        <v/>
      </c>
      <c r="R648" s="3">
        <f>METRICS!$C$14+P648</f>
        <v/>
      </c>
      <c r="S648" s="3">
        <f>MAX($R$3:R648)</f>
        <v/>
      </c>
      <c r="T648" s="3">
        <f>R648-S648</f>
        <v/>
      </c>
      <c r="U648" s="3">
        <f>(R648-S648)/S648*100</f>
        <v/>
      </c>
      <c r="V648" s="3">
        <f>IF(K648&lt;0, (K648/100)^2, 0)</f>
        <v/>
      </c>
    </row>
    <row r="649">
      <c r="A649" s="3">
        <f>TEXT(647, """T""0000")</f>
        <v/>
      </c>
      <c r="B649" s="3">
        <f>RAW_INPUT!A649</f>
        <v/>
      </c>
      <c r="C649" s="3">
        <f>RAW_INPUT!B649</f>
        <v/>
      </c>
      <c r="D649" s="3">
        <f>RAW_INPUT!D649</f>
        <v/>
      </c>
      <c r="E649" s="3">
        <f>D649-C649</f>
        <v/>
      </c>
      <c r="F649" s="3">
        <f>RAW_INPUT!C649</f>
        <v/>
      </c>
      <c r="G649" s="3">
        <f>RAW_INPUT!E649</f>
        <v/>
      </c>
      <c r="H649" s="3">
        <f>I649/F649</f>
        <v/>
      </c>
      <c r="I649" s="3">
        <f>METRICS!$C$14 * 0.02</f>
        <v/>
      </c>
      <c r="J649" s="3">
        <f>(G649-F649)*H649</f>
        <v/>
      </c>
      <c r="K649" s="3">
        <f>(G649-F649)/F649*100</f>
        <v/>
      </c>
      <c r="L649" s="3">
        <f>RAW_INPUT!F649</f>
        <v/>
      </c>
      <c r="M649" s="3">
        <f>K649-L649</f>
        <v/>
      </c>
      <c r="N649" s="3">
        <f>IF(J649&gt;0, 1, 0)</f>
        <v/>
      </c>
      <c r="O649" s="3">
        <f>IF(J649&lt;0, 1, 0)</f>
        <v/>
      </c>
      <c r="P649" s="3">
        <f>SUM($J$3:J649)</f>
        <v/>
      </c>
      <c r="Q649" s="3">
        <f>P649/METRICS!$C$14*100</f>
        <v/>
      </c>
      <c r="R649" s="3">
        <f>METRICS!$C$14+P649</f>
        <v/>
      </c>
      <c r="S649" s="3">
        <f>MAX($R$3:R649)</f>
        <v/>
      </c>
      <c r="T649" s="3">
        <f>R649-S649</f>
        <v/>
      </c>
      <c r="U649" s="3">
        <f>(R649-S649)/S649*100</f>
        <v/>
      </c>
      <c r="V649" s="3">
        <f>IF(K649&lt;0, (K649/100)^2, 0)</f>
        <v/>
      </c>
    </row>
    <row r="650">
      <c r="A650" s="3">
        <f>TEXT(648, """T""0000")</f>
        <v/>
      </c>
      <c r="B650" s="3">
        <f>RAW_INPUT!A650</f>
        <v/>
      </c>
      <c r="C650" s="3">
        <f>RAW_INPUT!B650</f>
        <v/>
      </c>
      <c r="D650" s="3">
        <f>RAW_INPUT!D650</f>
        <v/>
      </c>
      <c r="E650" s="3">
        <f>D650-C650</f>
        <v/>
      </c>
      <c r="F650" s="3">
        <f>RAW_INPUT!C650</f>
        <v/>
      </c>
      <c r="G650" s="3">
        <f>RAW_INPUT!E650</f>
        <v/>
      </c>
      <c r="H650" s="3">
        <f>I650/F650</f>
        <v/>
      </c>
      <c r="I650" s="3">
        <f>METRICS!$C$14 * 0.02</f>
        <v/>
      </c>
      <c r="J650" s="3">
        <f>(G650-F650)*H650</f>
        <v/>
      </c>
      <c r="K650" s="3">
        <f>(G650-F650)/F650*100</f>
        <v/>
      </c>
      <c r="L650" s="3">
        <f>RAW_INPUT!F650</f>
        <v/>
      </c>
      <c r="M650" s="3">
        <f>K650-L650</f>
        <v/>
      </c>
      <c r="N650" s="3">
        <f>IF(J650&gt;0, 1, 0)</f>
        <v/>
      </c>
      <c r="O650" s="3">
        <f>IF(J650&lt;0, 1, 0)</f>
        <v/>
      </c>
      <c r="P650" s="3">
        <f>SUM($J$3:J650)</f>
        <v/>
      </c>
      <c r="Q650" s="3">
        <f>P650/METRICS!$C$14*100</f>
        <v/>
      </c>
      <c r="R650" s="3">
        <f>METRICS!$C$14+P650</f>
        <v/>
      </c>
      <c r="S650" s="3">
        <f>MAX($R$3:R650)</f>
        <v/>
      </c>
      <c r="T650" s="3">
        <f>R650-S650</f>
        <v/>
      </c>
      <c r="U650" s="3">
        <f>(R650-S650)/S650*100</f>
        <v/>
      </c>
      <c r="V650" s="3">
        <f>IF(K650&lt;0, (K650/100)^2, 0)</f>
        <v/>
      </c>
    </row>
    <row r="651">
      <c r="A651" s="3">
        <f>TEXT(649, """T""0000")</f>
        <v/>
      </c>
      <c r="B651" s="3">
        <f>RAW_INPUT!A651</f>
        <v/>
      </c>
      <c r="C651" s="3">
        <f>RAW_INPUT!B651</f>
        <v/>
      </c>
      <c r="D651" s="3">
        <f>RAW_INPUT!D651</f>
        <v/>
      </c>
      <c r="E651" s="3">
        <f>D651-C651</f>
        <v/>
      </c>
      <c r="F651" s="3">
        <f>RAW_INPUT!C651</f>
        <v/>
      </c>
      <c r="G651" s="3">
        <f>RAW_INPUT!E651</f>
        <v/>
      </c>
      <c r="H651" s="3">
        <f>I651/F651</f>
        <v/>
      </c>
      <c r="I651" s="3">
        <f>METRICS!$C$14 * 0.02</f>
        <v/>
      </c>
      <c r="J651" s="3">
        <f>(G651-F651)*H651</f>
        <v/>
      </c>
      <c r="K651" s="3">
        <f>(G651-F651)/F651*100</f>
        <v/>
      </c>
      <c r="L651" s="3">
        <f>RAW_INPUT!F651</f>
        <v/>
      </c>
      <c r="M651" s="3">
        <f>K651-L651</f>
        <v/>
      </c>
      <c r="N651" s="3">
        <f>IF(J651&gt;0, 1, 0)</f>
        <v/>
      </c>
      <c r="O651" s="3">
        <f>IF(J651&lt;0, 1, 0)</f>
        <v/>
      </c>
      <c r="P651" s="3">
        <f>SUM($J$3:J651)</f>
        <v/>
      </c>
      <c r="Q651" s="3">
        <f>P651/METRICS!$C$14*100</f>
        <v/>
      </c>
      <c r="R651" s="3">
        <f>METRICS!$C$14+P651</f>
        <v/>
      </c>
      <c r="S651" s="3">
        <f>MAX($R$3:R651)</f>
        <v/>
      </c>
      <c r="T651" s="3">
        <f>R651-S651</f>
        <v/>
      </c>
      <c r="U651" s="3">
        <f>(R651-S651)/S651*100</f>
        <v/>
      </c>
      <c r="V651" s="3">
        <f>IF(K651&lt;0, (K651/100)^2, 0)</f>
        <v/>
      </c>
    </row>
    <row r="652">
      <c r="A652" s="3">
        <f>TEXT(650, """T""0000")</f>
        <v/>
      </c>
      <c r="B652" s="3">
        <f>RAW_INPUT!A652</f>
        <v/>
      </c>
      <c r="C652" s="3">
        <f>RAW_INPUT!B652</f>
        <v/>
      </c>
      <c r="D652" s="3">
        <f>RAW_INPUT!D652</f>
        <v/>
      </c>
      <c r="E652" s="3">
        <f>D652-C652</f>
        <v/>
      </c>
      <c r="F652" s="3">
        <f>RAW_INPUT!C652</f>
        <v/>
      </c>
      <c r="G652" s="3">
        <f>RAW_INPUT!E652</f>
        <v/>
      </c>
      <c r="H652" s="3">
        <f>I652/F652</f>
        <v/>
      </c>
      <c r="I652" s="3">
        <f>METRICS!$C$14 * 0.02</f>
        <v/>
      </c>
      <c r="J652" s="3">
        <f>(G652-F652)*H652</f>
        <v/>
      </c>
      <c r="K652" s="3">
        <f>(G652-F652)/F652*100</f>
        <v/>
      </c>
      <c r="L652" s="3">
        <f>RAW_INPUT!F652</f>
        <v/>
      </c>
      <c r="M652" s="3">
        <f>K652-L652</f>
        <v/>
      </c>
      <c r="N652" s="3">
        <f>IF(J652&gt;0, 1, 0)</f>
        <v/>
      </c>
      <c r="O652" s="3">
        <f>IF(J652&lt;0, 1, 0)</f>
        <v/>
      </c>
      <c r="P652" s="3">
        <f>SUM($J$3:J652)</f>
        <v/>
      </c>
      <c r="Q652" s="3">
        <f>P652/METRICS!$C$14*100</f>
        <v/>
      </c>
      <c r="R652" s="3">
        <f>METRICS!$C$14+P652</f>
        <v/>
      </c>
      <c r="S652" s="3">
        <f>MAX($R$3:R652)</f>
        <v/>
      </c>
      <c r="T652" s="3">
        <f>R652-S652</f>
        <v/>
      </c>
      <c r="U652" s="3">
        <f>(R652-S652)/S652*100</f>
        <v/>
      </c>
      <c r="V652" s="3">
        <f>IF(K652&lt;0, (K652/100)^2, 0)</f>
        <v/>
      </c>
    </row>
    <row r="653">
      <c r="A653" s="3">
        <f>TEXT(651, """T""0000")</f>
        <v/>
      </c>
      <c r="B653" s="3">
        <f>RAW_INPUT!A653</f>
        <v/>
      </c>
      <c r="C653" s="3">
        <f>RAW_INPUT!B653</f>
        <v/>
      </c>
      <c r="D653" s="3">
        <f>RAW_INPUT!D653</f>
        <v/>
      </c>
      <c r="E653" s="3">
        <f>D653-C653</f>
        <v/>
      </c>
      <c r="F653" s="3">
        <f>RAW_INPUT!C653</f>
        <v/>
      </c>
      <c r="G653" s="3">
        <f>RAW_INPUT!E653</f>
        <v/>
      </c>
      <c r="H653" s="3">
        <f>I653/F653</f>
        <v/>
      </c>
      <c r="I653" s="3">
        <f>METRICS!$C$14 * 0.02</f>
        <v/>
      </c>
      <c r="J653" s="3">
        <f>(G653-F653)*H653</f>
        <v/>
      </c>
      <c r="K653" s="3">
        <f>(G653-F653)/F653*100</f>
        <v/>
      </c>
      <c r="L653" s="3">
        <f>RAW_INPUT!F653</f>
        <v/>
      </c>
      <c r="M653" s="3">
        <f>K653-L653</f>
        <v/>
      </c>
      <c r="N653" s="3">
        <f>IF(J653&gt;0, 1, 0)</f>
        <v/>
      </c>
      <c r="O653" s="3">
        <f>IF(J653&lt;0, 1, 0)</f>
        <v/>
      </c>
      <c r="P653" s="3">
        <f>SUM($J$3:J653)</f>
        <v/>
      </c>
      <c r="Q653" s="3">
        <f>P653/METRICS!$C$14*100</f>
        <v/>
      </c>
      <c r="R653" s="3">
        <f>METRICS!$C$14+P653</f>
        <v/>
      </c>
      <c r="S653" s="3">
        <f>MAX($R$3:R653)</f>
        <v/>
      </c>
      <c r="T653" s="3">
        <f>R653-S653</f>
        <v/>
      </c>
      <c r="U653" s="3">
        <f>(R653-S653)/S653*100</f>
        <v/>
      </c>
      <c r="V653" s="3">
        <f>IF(K653&lt;0, (K653/100)^2, 0)</f>
        <v/>
      </c>
    </row>
    <row r="654">
      <c r="A654" s="3">
        <f>TEXT(652, """T""0000")</f>
        <v/>
      </c>
      <c r="B654" s="3">
        <f>RAW_INPUT!A654</f>
        <v/>
      </c>
      <c r="C654" s="3">
        <f>RAW_INPUT!B654</f>
        <v/>
      </c>
      <c r="D654" s="3">
        <f>RAW_INPUT!D654</f>
        <v/>
      </c>
      <c r="E654" s="3">
        <f>D654-C654</f>
        <v/>
      </c>
      <c r="F654" s="3">
        <f>RAW_INPUT!C654</f>
        <v/>
      </c>
      <c r="G654" s="3">
        <f>RAW_INPUT!E654</f>
        <v/>
      </c>
      <c r="H654" s="3">
        <f>I654/F654</f>
        <v/>
      </c>
      <c r="I654" s="3">
        <f>METRICS!$C$14 * 0.02</f>
        <v/>
      </c>
      <c r="J654" s="3">
        <f>(G654-F654)*H654</f>
        <v/>
      </c>
      <c r="K654" s="3">
        <f>(G654-F654)/F654*100</f>
        <v/>
      </c>
      <c r="L654" s="3">
        <f>RAW_INPUT!F654</f>
        <v/>
      </c>
      <c r="M654" s="3">
        <f>K654-L654</f>
        <v/>
      </c>
      <c r="N654" s="3">
        <f>IF(J654&gt;0, 1, 0)</f>
        <v/>
      </c>
      <c r="O654" s="3">
        <f>IF(J654&lt;0, 1, 0)</f>
        <v/>
      </c>
      <c r="P654" s="3">
        <f>SUM($J$3:J654)</f>
        <v/>
      </c>
      <c r="Q654" s="3">
        <f>P654/METRICS!$C$14*100</f>
        <v/>
      </c>
      <c r="R654" s="3">
        <f>METRICS!$C$14+P654</f>
        <v/>
      </c>
      <c r="S654" s="3">
        <f>MAX($R$3:R654)</f>
        <v/>
      </c>
      <c r="T654" s="3">
        <f>R654-S654</f>
        <v/>
      </c>
      <c r="U654" s="3">
        <f>(R654-S654)/S654*100</f>
        <v/>
      </c>
      <c r="V654" s="3">
        <f>IF(K654&lt;0, (K654/100)^2, 0)</f>
        <v/>
      </c>
    </row>
    <row r="655">
      <c r="A655" s="3">
        <f>TEXT(653, """T""0000")</f>
        <v/>
      </c>
      <c r="B655" s="3">
        <f>RAW_INPUT!A655</f>
        <v/>
      </c>
      <c r="C655" s="3">
        <f>RAW_INPUT!B655</f>
        <v/>
      </c>
      <c r="D655" s="3">
        <f>RAW_INPUT!D655</f>
        <v/>
      </c>
      <c r="E655" s="3">
        <f>D655-C655</f>
        <v/>
      </c>
      <c r="F655" s="3">
        <f>RAW_INPUT!C655</f>
        <v/>
      </c>
      <c r="G655" s="3">
        <f>RAW_INPUT!E655</f>
        <v/>
      </c>
      <c r="H655" s="3">
        <f>I655/F655</f>
        <v/>
      </c>
      <c r="I655" s="3">
        <f>METRICS!$C$14 * 0.02</f>
        <v/>
      </c>
      <c r="J655" s="3">
        <f>(G655-F655)*H655</f>
        <v/>
      </c>
      <c r="K655" s="3">
        <f>(G655-F655)/F655*100</f>
        <v/>
      </c>
      <c r="L655" s="3">
        <f>RAW_INPUT!F655</f>
        <v/>
      </c>
      <c r="M655" s="3">
        <f>K655-L655</f>
        <v/>
      </c>
      <c r="N655" s="3">
        <f>IF(J655&gt;0, 1, 0)</f>
        <v/>
      </c>
      <c r="O655" s="3">
        <f>IF(J655&lt;0, 1, 0)</f>
        <v/>
      </c>
      <c r="P655" s="3">
        <f>SUM($J$3:J655)</f>
        <v/>
      </c>
      <c r="Q655" s="3">
        <f>P655/METRICS!$C$14*100</f>
        <v/>
      </c>
      <c r="R655" s="3">
        <f>METRICS!$C$14+P655</f>
        <v/>
      </c>
      <c r="S655" s="3">
        <f>MAX($R$3:R655)</f>
        <v/>
      </c>
      <c r="T655" s="3">
        <f>R655-S655</f>
        <v/>
      </c>
      <c r="U655" s="3">
        <f>(R655-S655)/S655*100</f>
        <v/>
      </c>
      <c r="V655" s="3">
        <f>IF(K655&lt;0, (K655/100)^2, 0)</f>
        <v/>
      </c>
    </row>
    <row r="656">
      <c r="A656" s="3">
        <f>TEXT(654, """T""0000")</f>
        <v/>
      </c>
      <c r="B656" s="3">
        <f>RAW_INPUT!A656</f>
        <v/>
      </c>
      <c r="C656" s="3">
        <f>RAW_INPUT!B656</f>
        <v/>
      </c>
      <c r="D656" s="3">
        <f>RAW_INPUT!D656</f>
        <v/>
      </c>
      <c r="E656" s="3">
        <f>D656-C656</f>
        <v/>
      </c>
      <c r="F656" s="3">
        <f>RAW_INPUT!C656</f>
        <v/>
      </c>
      <c r="G656" s="3">
        <f>RAW_INPUT!E656</f>
        <v/>
      </c>
      <c r="H656" s="3">
        <f>I656/F656</f>
        <v/>
      </c>
      <c r="I656" s="3">
        <f>METRICS!$C$14 * 0.02</f>
        <v/>
      </c>
      <c r="J656" s="3">
        <f>(G656-F656)*H656</f>
        <v/>
      </c>
      <c r="K656" s="3">
        <f>(G656-F656)/F656*100</f>
        <v/>
      </c>
      <c r="L656" s="3">
        <f>RAW_INPUT!F656</f>
        <v/>
      </c>
      <c r="M656" s="3">
        <f>K656-L656</f>
        <v/>
      </c>
      <c r="N656" s="3">
        <f>IF(J656&gt;0, 1, 0)</f>
        <v/>
      </c>
      <c r="O656" s="3">
        <f>IF(J656&lt;0, 1, 0)</f>
        <v/>
      </c>
      <c r="P656" s="3">
        <f>SUM($J$3:J656)</f>
        <v/>
      </c>
      <c r="Q656" s="3">
        <f>P656/METRICS!$C$14*100</f>
        <v/>
      </c>
      <c r="R656" s="3">
        <f>METRICS!$C$14+P656</f>
        <v/>
      </c>
      <c r="S656" s="3">
        <f>MAX($R$3:R656)</f>
        <v/>
      </c>
      <c r="T656" s="3">
        <f>R656-S656</f>
        <v/>
      </c>
      <c r="U656" s="3">
        <f>(R656-S656)/S656*100</f>
        <v/>
      </c>
      <c r="V656" s="3">
        <f>IF(K656&lt;0, (K656/100)^2, 0)</f>
        <v/>
      </c>
    </row>
    <row r="657">
      <c r="A657" s="3">
        <f>TEXT(655, """T""0000")</f>
        <v/>
      </c>
      <c r="B657" s="3">
        <f>RAW_INPUT!A657</f>
        <v/>
      </c>
      <c r="C657" s="3">
        <f>RAW_INPUT!B657</f>
        <v/>
      </c>
      <c r="D657" s="3">
        <f>RAW_INPUT!D657</f>
        <v/>
      </c>
      <c r="E657" s="3">
        <f>D657-C657</f>
        <v/>
      </c>
      <c r="F657" s="3">
        <f>RAW_INPUT!C657</f>
        <v/>
      </c>
      <c r="G657" s="3">
        <f>RAW_INPUT!E657</f>
        <v/>
      </c>
      <c r="H657" s="3">
        <f>I657/F657</f>
        <v/>
      </c>
      <c r="I657" s="3">
        <f>METRICS!$C$14 * 0.02</f>
        <v/>
      </c>
      <c r="J657" s="3">
        <f>(G657-F657)*H657</f>
        <v/>
      </c>
      <c r="K657" s="3">
        <f>(G657-F657)/F657*100</f>
        <v/>
      </c>
      <c r="L657" s="3">
        <f>RAW_INPUT!F657</f>
        <v/>
      </c>
      <c r="M657" s="3">
        <f>K657-L657</f>
        <v/>
      </c>
      <c r="N657" s="3">
        <f>IF(J657&gt;0, 1, 0)</f>
        <v/>
      </c>
      <c r="O657" s="3">
        <f>IF(J657&lt;0, 1, 0)</f>
        <v/>
      </c>
      <c r="P657" s="3">
        <f>SUM($J$3:J657)</f>
        <v/>
      </c>
      <c r="Q657" s="3">
        <f>P657/METRICS!$C$14*100</f>
        <v/>
      </c>
      <c r="R657" s="3">
        <f>METRICS!$C$14+P657</f>
        <v/>
      </c>
      <c r="S657" s="3">
        <f>MAX($R$3:R657)</f>
        <v/>
      </c>
      <c r="T657" s="3">
        <f>R657-S657</f>
        <v/>
      </c>
      <c r="U657" s="3">
        <f>(R657-S657)/S657*100</f>
        <v/>
      </c>
      <c r="V657" s="3">
        <f>IF(K657&lt;0, (K657/100)^2, 0)</f>
        <v/>
      </c>
    </row>
    <row r="658">
      <c r="A658" s="3">
        <f>TEXT(656, """T""0000")</f>
        <v/>
      </c>
      <c r="B658" s="3">
        <f>RAW_INPUT!A658</f>
        <v/>
      </c>
      <c r="C658" s="3">
        <f>RAW_INPUT!B658</f>
        <v/>
      </c>
      <c r="D658" s="3">
        <f>RAW_INPUT!D658</f>
        <v/>
      </c>
      <c r="E658" s="3">
        <f>D658-C658</f>
        <v/>
      </c>
      <c r="F658" s="3">
        <f>RAW_INPUT!C658</f>
        <v/>
      </c>
      <c r="G658" s="3">
        <f>RAW_INPUT!E658</f>
        <v/>
      </c>
      <c r="H658" s="3">
        <f>I658/F658</f>
        <v/>
      </c>
      <c r="I658" s="3">
        <f>METRICS!$C$14 * 0.02</f>
        <v/>
      </c>
      <c r="J658" s="3">
        <f>(G658-F658)*H658</f>
        <v/>
      </c>
      <c r="K658" s="3">
        <f>(G658-F658)/F658*100</f>
        <v/>
      </c>
      <c r="L658" s="3">
        <f>RAW_INPUT!F658</f>
        <v/>
      </c>
      <c r="M658" s="3">
        <f>K658-L658</f>
        <v/>
      </c>
      <c r="N658" s="3">
        <f>IF(J658&gt;0, 1, 0)</f>
        <v/>
      </c>
      <c r="O658" s="3">
        <f>IF(J658&lt;0, 1, 0)</f>
        <v/>
      </c>
      <c r="P658" s="3">
        <f>SUM($J$3:J658)</f>
        <v/>
      </c>
      <c r="Q658" s="3">
        <f>P658/METRICS!$C$14*100</f>
        <v/>
      </c>
      <c r="R658" s="3">
        <f>METRICS!$C$14+P658</f>
        <v/>
      </c>
      <c r="S658" s="3">
        <f>MAX($R$3:R658)</f>
        <v/>
      </c>
      <c r="T658" s="3">
        <f>R658-S658</f>
        <v/>
      </c>
      <c r="U658" s="3">
        <f>(R658-S658)/S658*100</f>
        <v/>
      </c>
      <c r="V658" s="3">
        <f>IF(K658&lt;0, (K658/100)^2, 0)</f>
        <v/>
      </c>
    </row>
    <row r="659">
      <c r="A659" s="3">
        <f>TEXT(657, """T""0000")</f>
        <v/>
      </c>
      <c r="B659" s="3">
        <f>RAW_INPUT!A659</f>
        <v/>
      </c>
      <c r="C659" s="3">
        <f>RAW_INPUT!B659</f>
        <v/>
      </c>
      <c r="D659" s="3">
        <f>RAW_INPUT!D659</f>
        <v/>
      </c>
      <c r="E659" s="3">
        <f>D659-C659</f>
        <v/>
      </c>
      <c r="F659" s="3">
        <f>RAW_INPUT!C659</f>
        <v/>
      </c>
      <c r="G659" s="3">
        <f>RAW_INPUT!E659</f>
        <v/>
      </c>
      <c r="H659" s="3">
        <f>I659/F659</f>
        <v/>
      </c>
      <c r="I659" s="3">
        <f>METRICS!$C$14 * 0.02</f>
        <v/>
      </c>
      <c r="J659" s="3">
        <f>(G659-F659)*H659</f>
        <v/>
      </c>
      <c r="K659" s="3">
        <f>(G659-F659)/F659*100</f>
        <v/>
      </c>
      <c r="L659" s="3">
        <f>RAW_INPUT!F659</f>
        <v/>
      </c>
      <c r="M659" s="3">
        <f>K659-L659</f>
        <v/>
      </c>
      <c r="N659" s="3">
        <f>IF(J659&gt;0, 1, 0)</f>
        <v/>
      </c>
      <c r="O659" s="3">
        <f>IF(J659&lt;0, 1, 0)</f>
        <v/>
      </c>
      <c r="P659" s="3">
        <f>SUM($J$3:J659)</f>
        <v/>
      </c>
      <c r="Q659" s="3">
        <f>P659/METRICS!$C$14*100</f>
        <v/>
      </c>
      <c r="R659" s="3">
        <f>METRICS!$C$14+P659</f>
        <v/>
      </c>
      <c r="S659" s="3">
        <f>MAX($R$3:R659)</f>
        <v/>
      </c>
      <c r="T659" s="3">
        <f>R659-S659</f>
        <v/>
      </c>
      <c r="U659" s="3">
        <f>(R659-S659)/S659*100</f>
        <v/>
      </c>
      <c r="V659" s="3">
        <f>IF(K659&lt;0, (K659/100)^2, 0)</f>
        <v/>
      </c>
    </row>
    <row r="660">
      <c r="A660" s="3">
        <f>TEXT(658, """T""0000")</f>
        <v/>
      </c>
      <c r="B660" s="3">
        <f>RAW_INPUT!A660</f>
        <v/>
      </c>
      <c r="C660" s="3">
        <f>RAW_INPUT!B660</f>
        <v/>
      </c>
      <c r="D660" s="3">
        <f>RAW_INPUT!D660</f>
        <v/>
      </c>
      <c r="E660" s="3">
        <f>D660-C660</f>
        <v/>
      </c>
      <c r="F660" s="3">
        <f>RAW_INPUT!C660</f>
        <v/>
      </c>
      <c r="G660" s="3">
        <f>RAW_INPUT!E660</f>
        <v/>
      </c>
      <c r="H660" s="3">
        <f>I660/F660</f>
        <v/>
      </c>
      <c r="I660" s="3">
        <f>METRICS!$C$14 * 0.02</f>
        <v/>
      </c>
      <c r="J660" s="3">
        <f>(G660-F660)*H660</f>
        <v/>
      </c>
      <c r="K660" s="3">
        <f>(G660-F660)/F660*100</f>
        <v/>
      </c>
      <c r="L660" s="3">
        <f>RAW_INPUT!F660</f>
        <v/>
      </c>
      <c r="M660" s="3">
        <f>K660-L660</f>
        <v/>
      </c>
      <c r="N660" s="3">
        <f>IF(J660&gt;0, 1, 0)</f>
        <v/>
      </c>
      <c r="O660" s="3">
        <f>IF(J660&lt;0, 1, 0)</f>
        <v/>
      </c>
      <c r="P660" s="3">
        <f>SUM($J$3:J660)</f>
        <v/>
      </c>
      <c r="Q660" s="3">
        <f>P660/METRICS!$C$14*100</f>
        <v/>
      </c>
      <c r="R660" s="3">
        <f>METRICS!$C$14+P660</f>
        <v/>
      </c>
      <c r="S660" s="3">
        <f>MAX($R$3:R660)</f>
        <v/>
      </c>
      <c r="T660" s="3">
        <f>R660-S660</f>
        <v/>
      </c>
      <c r="U660" s="3">
        <f>(R660-S660)/S660*100</f>
        <v/>
      </c>
      <c r="V660" s="3">
        <f>IF(K660&lt;0, (K660/100)^2, 0)</f>
        <v/>
      </c>
    </row>
    <row r="661">
      <c r="A661" s="3">
        <f>TEXT(659, """T""0000")</f>
        <v/>
      </c>
      <c r="B661" s="3">
        <f>RAW_INPUT!A661</f>
        <v/>
      </c>
      <c r="C661" s="3">
        <f>RAW_INPUT!B661</f>
        <v/>
      </c>
      <c r="D661" s="3">
        <f>RAW_INPUT!D661</f>
        <v/>
      </c>
      <c r="E661" s="3">
        <f>D661-C661</f>
        <v/>
      </c>
      <c r="F661" s="3">
        <f>RAW_INPUT!C661</f>
        <v/>
      </c>
      <c r="G661" s="3">
        <f>RAW_INPUT!E661</f>
        <v/>
      </c>
      <c r="H661" s="3">
        <f>I661/F661</f>
        <v/>
      </c>
      <c r="I661" s="3">
        <f>METRICS!$C$14 * 0.02</f>
        <v/>
      </c>
      <c r="J661" s="3">
        <f>(G661-F661)*H661</f>
        <v/>
      </c>
      <c r="K661" s="3">
        <f>(G661-F661)/F661*100</f>
        <v/>
      </c>
      <c r="L661" s="3">
        <f>RAW_INPUT!F661</f>
        <v/>
      </c>
      <c r="M661" s="3">
        <f>K661-L661</f>
        <v/>
      </c>
      <c r="N661" s="3">
        <f>IF(J661&gt;0, 1, 0)</f>
        <v/>
      </c>
      <c r="O661" s="3">
        <f>IF(J661&lt;0, 1, 0)</f>
        <v/>
      </c>
      <c r="P661" s="3">
        <f>SUM($J$3:J661)</f>
        <v/>
      </c>
      <c r="Q661" s="3">
        <f>P661/METRICS!$C$14*100</f>
        <v/>
      </c>
      <c r="R661" s="3">
        <f>METRICS!$C$14+P661</f>
        <v/>
      </c>
      <c r="S661" s="3">
        <f>MAX($R$3:R661)</f>
        <v/>
      </c>
      <c r="T661" s="3">
        <f>R661-S661</f>
        <v/>
      </c>
      <c r="U661" s="3">
        <f>(R661-S661)/S661*100</f>
        <v/>
      </c>
      <c r="V661" s="3">
        <f>IF(K661&lt;0, (K661/100)^2, 0)</f>
        <v/>
      </c>
    </row>
    <row r="662">
      <c r="A662" s="3">
        <f>TEXT(660, """T""0000")</f>
        <v/>
      </c>
      <c r="B662" s="3">
        <f>RAW_INPUT!A662</f>
        <v/>
      </c>
      <c r="C662" s="3">
        <f>RAW_INPUT!B662</f>
        <v/>
      </c>
      <c r="D662" s="3">
        <f>RAW_INPUT!D662</f>
        <v/>
      </c>
      <c r="E662" s="3">
        <f>D662-C662</f>
        <v/>
      </c>
      <c r="F662" s="3">
        <f>RAW_INPUT!C662</f>
        <v/>
      </c>
      <c r="G662" s="3">
        <f>RAW_INPUT!E662</f>
        <v/>
      </c>
      <c r="H662" s="3">
        <f>I662/F662</f>
        <v/>
      </c>
      <c r="I662" s="3">
        <f>METRICS!$C$14 * 0.02</f>
        <v/>
      </c>
      <c r="J662" s="3">
        <f>(G662-F662)*H662</f>
        <v/>
      </c>
      <c r="K662" s="3">
        <f>(G662-F662)/F662*100</f>
        <v/>
      </c>
      <c r="L662" s="3">
        <f>RAW_INPUT!F662</f>
        <v/>
      </c>
      <c r="M662" s="3">
        <f>K662-L662</f>
        <v/>
      </c>
      <c r="N662" s="3">
        <f>IF(J662&gt;0, 1, 0)</f>
        <v/>
      </c>
      <c r="O662" s="3">
        <f>IF(J662&lt;0, 1, 0)</f>
        <v/>
      </c>
      <c r="P662" s="3">
        <f>SUM($J$3:J662)</f>
        <v/>
      </c>
      <c r="Q662" s="3">
        <f>P662/METRICS!$C$14*100</f>
        <v/>
      </c>
      <c r="R662" s="3">
        <f>METRICS!$C$14+P662</f>
        <v/>
      </c>
      <c r="S662" s="3">
        <f>MAX($R$3:R662)</f>
        <v/>
      </c>
      <c r="T662" s="3">
        <f>R662-S662</f>
        <v/>
      </c>
      <c r="U662" s="3">
        <f>(R662-S662)/S662*100</f>
        <v/>
      </c>
      <c r="V662" s="3">
        <f>IF(K662&lt;0, (K662/100)^2, 0)</f>
        <v/>
      </c>
    </row>
    <row r="663">
      <c r="A663" s="3">
        <f>TEXT(661, """T""0000")</f>
        <v/>
      </c>
      <c r="B663" s="3">
        <f>RAW_INPUT!A663</f>
        <v/>
      </c>
      <c r="C663" s="3">
        <f>RAW_INPUT!B663</f>
        <v/>
      </c>
      <c r="D663" s="3">
        <f>RAW_INPUT!D663</f>
        <v/>
      </c>
      <c r="E663" s="3">
        <f>D663-C663</f>
        <v/>
      </c>
      <c r="F663" s="3">
        <f>RAW_INPUT!C663</f>
        <v/>
      </c>
      <c r="G663" s="3">
        <f>RAW_INPUT!E663</f>
        <v/>
      </c>
      <c r="H663" s="3">
        <f>I663/F663</f>
        <v/>
      </c>
      <c r="I663" s="3">
        <f>METRICS!$C$14 * 0.02</f>
        <v/>
      </c>
      <c r="J663" s="3">
        <f>(G663-F663)*H663</f>
        <v/>
      </c>
      <c r="K663" s="3">
        <f>(G663-F663)/F663*100</f>
        <v/>
      </c>
      <c r="L663" s="3">
        <f>RAW_INPUT!F663</f>
        <v/>
      </c>
      <c r="M663" s="3">
        <f>K663-L663</f>
        <v/>
      </c>
      <c r="N663" s="3">
        <f>IF(J663&gt;0, 1, 0)</f>
        <v/>
      </c>
      <c r="O663" s="3">
        <f>IF(J663&lt;0, 1, 0)</f>
        <v/>
      </c>
      <c r="P663" s="3">
        <f>SUM($J$3:J663)</f>
        <v/>
      </c>
      <c r="Q663" s="3">
        <f>P663/METRICS!$C$14*100</f>
        <v/>
      </c>
      <c r="R663" s="3">
        <f>METRICS!$C$14+P663</f>
        <v/>
      </c>
      <c r="S663" s="3">
        <f>MAX($R$3:R663)</f>
        <v/>
      </c>
      <c r="T663" s="3">
        <f>R663-S663</f>
        <v/>
      </c>
      <c r="U663" s="3">
        <f>(R663-S663)/S663*100</f>
        <v/>
      </c>
      <c r="V663" s="3">
        <f>IF(K663&lt;0, (K663/100)^2, 0)</f>
        <v/>
      </c>
    </row>
    <row r="664">
      <c r="A664" s="3">
        <f>TEXT(662, """T""0000")</f>
        <v/>
      </c>
      <c r="B664" s="3">
        <f>RAW_INPUT!A664</f>
        <v/>
      </c>
      <c r="C664" s="3">
        <f>RAW_INPUT!B664</f>
        <v/>
      </c>
      <c r="D664" s="3">
        <f>RAW_INPUT!D664</f>
        <v/>
      </c>
      <c r="E664" s="3">
        <f>D664-C664</f>
        <v/>
      </c>
      <c r="F664" s="3">
        <f>RAW_INPUT!C664</f>
        <v/>
      </c>
      <c r="G664" s="3">
        <f>RAW_INPUT!E664</f>
        <v/>
      </c>
      <c r="H664" s="3">
        <f>I664/F664</f>
        <v/>
      </c>
      <c r="I664" s="3">
        <f>METRICS!$C$14 * 0.02</f>
        <v/>
      </c>
      <c r="J664" s="3">
        <f>(G664-F664)*H664</f>
        <v/>
      </c>
      <c r="K664" s="3">
        <f>(G664-F664)/F664*100</f>
        <v/>
      </c>
      <c r="L664" s="3">
        <f>RAW_INPUT!F664</f>
        <v/>
      </c>
      <c r="M664" s="3">
        <f>K664-L664</f>
        <v/>
      </c>
      <c r="N664" s="3">
        <f>IF(J664&gt;0, 1, 0)</f>
        <v/>
      </c>
      <c r="O664" s="3">
        <f>IF(J664&lt;0, 1, 0)</f>
        <v/>
      </c>
      <c r="P664" s="3">
        <f>SUM($J$3:J664)</f>
        <v/>
      </c>
      <c r="Q664" s="3">
        <f>P664/METRICS!$C$14*100</f>
        <v/>
      </c>
      <c r="R664" s="3">
        <f>METRICS!$C$14+P664</f>
        <v/>
      </c>
      <c r="S664" s="3">
        <f>MAX($R$3:R664)</f>
        <v/>
      </c>
      <c r="T664" s="3">
        <f>R664-S664</f>
        <v/>
      </c>
      <c r="U664" s="3">
        <f>(R664-S664)/S664*100</f>
        <v/>
      </c>
      <c r="V664" s="3">
        <f>IF(K664&lt;0, (K664/100)^2, 0)</f>
        <v/>
      </c>
    </row>
    <row r="665">
      <c r="A665" s="3">
        <f>TEXT(663, """T""0000")</f>
        <v/>
      </c>
      <c r="B665" s="3">
        <f>RAW_INPUT!A665</f>
        <v/>
      </c>
      <c r="C665" s="3">
        <f>RAW_INPUT!B665</f>
        <v/>
      </c>
      <c r="D665" s="3">
        <f>RAW_INPUT!D665</f>
        <v/>
      </c>
      <c r="E665" s="3">
        <f>D665-C665</f>
        <v/>
      </c>
      <c r="F665" s="3">
        <f>RAW_INPUT!C665</f>
        <v/>
      </c>
      <c r="G665" s="3">
        <f>RAW_INPUT!E665</f>
        <v/>
      </c>
      <c r="H665" s="3">
        <f>I665/F665</f>
        <v/>
      </c>
      <c r="I665" s="3">
        <f>METRICS!$C$14 * 0.02</f>
        <v/>
      </c>
      <c r="J665" s="3">
        <f>(G665-F665)*H665</f>
        <v/>
      </c>
      <c r="K665" s="3">
        <f>(G665-F665)/F665*100</f>
        <v/>
      </c>
      <c r="L665" s="3">
        <f>RAW_INPUT!F665</f>
        <v/>
      </c>
      <c r="M665" s="3">
        <f>K665-L665</f>
        <v/>
      </c>
      <c r="N665" s="3">
        <f>IF(J665&gt;0, 1, 0)</f>
        <v/>
      </c>
      <c r="O665" s="3">
        <f>IF(J665&lt;0, 1, 0)</f>
        <v/>
      </c>
      <c r="P665" s="3">
        <f>SUM($J$3:J665)</f>
        <v/>
      </c>
      <c r="Q665" s="3">
        <f>P665/METRICS!$C$14*100</f>
        <v/>
      </c>
      <c r="R665" s="3">
        <f>METRICS!$C$14+P665</f>
        <v/>
      </c>
      <c r="S665" s="3">
        <f>MAX($R$3:R665)</f>
        <v/>
      </c>
      <c r="T665" s="3">
        <f>R665-S665</f>
        <v/>
      </c>
      <c r="U665" s="3">
        <f>(R665-S665)/S665*100</f>
        <v/>
      </c>
      <c r="V665" s="3">
        <f>IF(K665&lt;0, (K665/100)^2, 0)</f>
        <v/>
      </c>
    </row>
    <row r="666">
      <c r="A666" s="3">
        <f>TEXT(664, """T""0000")</f>
        <v/>
      </c>
      <c r="B666" s="3">
        <f>RAW_INPUT!A666</f>
        <v/>
      </c>
      <c r="C666" s="3">
        <f>RAW_INPUT!B666</f>
        <v/>
      </c>
      <c r="D666" s="3">
        <f>RAW_INPUT!D666</f>
        <v/>
      </c>
      <c r="E666" s="3">
        <f>D666-C666</f>
        <v/>
      </c>
      <c r="F666" s="3">
        <f>RAW_INPUT!C666</f>
        <v/>
      </c>
      <c r="G666" s="3">
        <f>RAW_INPUT!E666</f>
        <v/>
      </c>
      <c r="H666" s="3">
        <f>I666/F666</f>
        <v/>
      </c>
      <c r="I666" s="3">
        <f>METRICS!$C$14 * 0.02</f>
        <v/>
      </c>
      <c r="J666" s="3">
        <f>(G666-F666)*H666</f>
        <v/>
      </c>
      <c r="K666" s="3">
        <f>(G666-F666)/F666*100</f>
        <v/>
      </c>
      <c r="L666" s="3">
        <f>RAW_INPUT!F666</f>
        <v/>
      </c>
      <c r="M666" s="3">
        <f>K666-L666</f>
        <v/>
      </c>
      <c r="N666" s="3">
        <f>IF(J666&gt;0, 1, 0)</f>
        <v/>
      </c>
      <c r="O666" s="3">
        <f>IF(J666&lt;0, 1, 0)</f>
        <v/>
      </c>
      <c r="P666" s="3">
        <f>SUM($J$3:J666)</f>
        <v/>
      </c>
      <c r="Q666" s="3">
        <f>P666/METRICS!$C$14*100</f>
        <v/>
      </c>
      <c r="R666" s="3">
        <f>METRICS!$C$14+P666</f>
        <v/>
      </c>
      <c r="S666" s="3">
        <f>MAX($R$3:R666)</f>
        <v/>
      </c>
      <c r="T666" s="3">
        <f>R666-S666</f>
        <v/>
      </c>
      <c r="U666" s="3">
        <f>(R666-S666)/S666*100</f>
        <v/>
      </c>
      <c r="V666" s="3">
        <f>IF(K666&lt;0, (K666/100)^2, 0)</f>
        <v/>
      </c>
    </row>
    <row r="667">
      <c r="A667" s="3">
        <f>TEXT(665, """T""0000")</f>
        <v/>
      </c>
      <c r="B667" s="3">
        <f>RAW_INPUT!A667</f>
        <v/>
      </c>
      <c r="C667" s="3">
        <f>RAW_INPUT!B667</f>
        <v/>
      </c>
      <c r="D667" s="3">
        <f>RAW_INPUT!D667</f>
        <v/>
      </c>
      <c r="E667" s="3">
        <f>D667-C667</f>
        <v/>
      </c>
      <c r="F667" s="3">
        <f>RAW_INPUT!C667</f>
        <v/>
      </c>
      <c r="G667" s="3">
        <f>RAW_INPUT!E667</f>
        <v/>
      </c>
      <c r="H667" s="3">
        <f>I667/F667</f>
        <v/>
      </c>
      <c r="I667" s="3">
        <f>METRICS!$C$14 * 0.02</f>
        <v/>
      </c>
      <c r="J667" s="3">
        <f>(G667-F667)*H667</f>
        <v/>
      </c>
      <c r="K667" s="3">
        <f>(G667-F667)/F667*100</f>
        <v/>
      </c>
      <c r="L667" s="3">
        <f>RAW_INPUT!F667</f>
        <v/>
      </c>
      <c r="M667" s="3">
        <f>K667-L667</f>
        <v/>
      </c>
      <c r="N667" s="3">
        <f>IF(J667&gt;0, 1, 0)</f>
        <v/>
      </c>
      <c r="O667" s="3">
        <f>IF(J667&lt;0, 1, 0)</f>
        <v/>
      </c>
      <c r="P667" s="3">
        <f>SUM($J$3:J667)</f>
        <v/>
      </c>
      <c r="Q667" s="3">
        <f>P667/METRICS!$C$14*100</f>
        <v/>
      </c>
      <c r="R667" s="3">
        <f>METRICS!$C$14+P667</f>
        <v/>
      </c>
      <c r="S667" s="3">
        <f>MAX($R$3:R667)</f>
        <v/>
      </c>
      <c r="T667" s="3">
        <f>R667-S667</f>
        <v/>
      </c>
      <c r="U667" s="3">
        <f>(R667-S667)/S667*100</f>
        <v/>
      </c>
      <c r="V667" s="3">
        <f>IF(K667&lt;0, (K667/100)^2, 0)</f>
        <v/>
      </c>
    </row>
    <row r="668">
      <c r="A668" s="3">
        <f>TEXT(666, """T""0000")</f>
        <v/>
      </c>
      <c r="B668" s="3">
        <f>RAW_INPUT!A668</f>
        <v/>
      </c>
      <c r="C668" s="3">
        <f>RAW_INPUT!B668</f>
        <v/>
      </c>
      <c r="D668" s="3">
        <f>RAW_INPUT!D668</f>
        <v/>
      </c>
      <c r="E668" s="3">
        <f>D668-C668</f>
        <v/>
      </c>
      <c r="F668" s="3">
        <f>RAW_INPUT!C668</f>
        <v/>
      </c>
      <c r="G668" s="3">
        <f>RAW_INPUT!E668</f>
        <v/>
      </c>
      <c r="H668" s="3">
        <f>I668/F668</f>
        <v/>
      </c>
      <c r="I668" s="3">
        <f>METRICS!$C$14 * 0.02</f>
        <v/>
      </c>
      <c r="J668" s="3">
        <f>(G668-F668)*H668</f>
        <v/>
      </c>
      <c r="K668" s="3">
        <f>(G668-F668)/F668*100</f>
        <v/>
      </c>
      <c r="L668" s="3">
        <f>RAW_INPUT!F668</f>
        <v/>
      </c>
      <c r="M668" s="3">
        <f>K668-L668</f>
        <v/>
      </c>
      <c r="N668" s="3">
        <f>IF(J668&gt;0, 1, 0)</f>
        <v/>
      </c>
      <c r="O668" s="3">
        <f>IF(J668&lt;0, 1, 0)</f>
        <v/>
      </c>
      <c r="P668" s="3">
        <f>SUM($J$3:J668)</f>
        <v/>
      </c>
      <c r="Q668" s="3">
        <f>P668/METRICS!$C$14*100</f>
        <v/>
      </c>
      <c r="R668" s="3">
        <f>METRICS!$C$14+P668</f>
        <v/>
      </c>
      <c r="S668" s="3">
        <f>MAX($R$3:R668)</f>
        <v/>
      </c>
      <c r="T668" s="3">
        <f>R668-S668</f>
        <v/>
      </c>
      <c r="U668" s="3">
        <f>(R668-S668)/S668*100</f>
        <v/>
      </c>
      <c r="V668" s="3">
        <f>IF(K668&lt;0, (K668/100)^2, 0)</f>
        <v/>
      </c>
    </row>
    <row r="669">
      <c r="A669" s="3">
        <f>TEXT(667, """T""0000")</f>
        <v/>
      </c>
      <c r="B669" s="3">
        <f>RAW_INPUT!A669</f>
        <v/>
      </c>
      <c r="C669" s="3">
        <f>RAW_INPUT!B669</f>
        <v/>
      </c>
      <c r="D669" s="3">
        <f>RAW_INPUT!D669</f>
        <v/>
      </c>
      <c r="E669" s="3">
        <f>D669-C669</f>
        <v/>
      </c>
      <c r="F669" s="3">
        <f>RAW_INPUT!C669</f>
        <v/>
      </c>
      <c r="G669" s="3">
        <f>RAW_INPUT!E669</f>
        <v/>
      </c>
      <c r="H669" s="3">
        <f>I669/F669</f>
        <v/>
      </c>
      <c r="I669" s="3">
        <f>METRICS!$C$14 * 0.02</f>
        <v/>
      </c>
      <c r="J669" s="3">
        <f>(G669-F669)*H669</f>
        <v/>
      </c>
      <c r="K669" s="3">
        <f>(G669-F669)/F669*100</f>
        <v/>
      </c>
      <c r="L669" s="3">
        <f>RAW_INPUT!F669</f>
        <v/>
      </c>
      <c r="M669" s="3">
        <f>K669-L669</f>
        <v/>
      </c>
      <c r="N669" s="3">
        <f>IF(J669&gt;0, 1, 0)</f>
        <v/>
      </c>
      <c r="O669" s="3">
        <f>IF(J669&lt;0, 1, 0)</f>
        <v/>
      </c>
      <c r="P669" s="3">
        <f>SUM($J$3:J669)</f>
        <v/>
      </c>
      <c r="Q669" s="3">
        <f>P669/METRICS!$C$14*100</f>
        <v/>
      </c>
      <c r="R669" s="3">
        <f>METRICS!$C$14+P669</f>
        <v/>
      </c>
      <c r="S669" s="3">
        <f>MAX($R$3:R669)</f>
        <v/>
      </c>
      <c r="T669" s="3">
        <f>R669-S669</f>
        <v/>
      </c>
      <c r="U669" s="3">
        <f>(R669-S669)/S669*100</f>
        <v/>
      </c>
      <c r="V669" s="3">
        <f>IF(K669&lt;0, (K669/100)^2, 0)</f>
        <v/>
      </c>
    </row>
    <row r="670">
      <c r="A670" s="3">
        <f>TEXT(668, """T""0000")</f>
        <v/>
      </c>
      <c r="B670" s="3">
        <f>RAW_INPUT!A670</f>
        <v/>
      </c>
      <c r="C670" s="3">
        <f>RAW_INPUT!B670</f>
        <v/>
      </c>
      <c r="D670" s="3">
        <f>RAW_INPUT!D670</f>
        <v/>
      </c>
      <c r="E670" s="3">
        <f>D670-C670</f>
        <v/>
      </c>
      <c r="F670" s="3">
        <f>RAW_INPUT!C670</f>
        <v/>
      </c>
      <c r="G670" s="3">
        <f>RAW_INPUT!E670</f>
        <v/>
      </c>
      <c r="H670" s="3">
        <f>I670/F670</f>
        <v/>
      </c>
      <c r="I670" s="3">
        <f>METRICS!$C$14 * 0.02</f>
        <v/>
      </c>
      <c r="J670" s="3">
        <f>(G670-F670)*H670</f>
        <v/>
      </c>
      <c r="K670" s="3">
        <f>(G670-F670)/F670*100</f>
        <v/>
      </c>
      <c r="L670" s="3">
        <f>RAW_INPUT!F670</f>
        <v/>
      </c>
      <c r="M670" s="3">
        <f>K670-L670</f>
        <v/>
      </c>
      <c r="N670" s="3">
        <f>IF(J670&gt;0, 1, 0)</f>
        <v/>
      </c>
      <c r="O670" s="3">
        <f>IF(J670&lt;0, 1, 0)</f>
        <v/>
      </c>
      <c r="P670" s="3">
        <f>SUM($J$3:J670)</f>
        <v/>
      </c>
      <c r="Q670" s="3">
        <f>P670/METRICS!$C$14*100</f>
        <v/>
      </c>
      <c r="R670" s="3">
        <f>METRICS!$C$14+P670</f>
        <v/>
      </c>
      <c r="S670" s="3">
        <f>MAX($R$3:R670)</f>
        <v/>
      </c>
      <c r="T670" s="3">
        <f>R670-S670</f>
        <v/>
      </c>
      <c r="U670" s="3">
        <f>(R670-S670)/S670*100</f>
        <v/>
      </c>
      <c r="V670" s="3">
        <f>IF(K670&lt;0, (K670/100)^2, 0)</f>
        <v/>
      </c>
    </row>
    <row r="671">
      <c r="A671" s="3">
        <f>TEXT(669, """T""0000")</f>
        <v/>
      </c>
      <c r="B671" s="3">
        <f>RAW_INPUT!A671</f>
        <v/>
      </c>
      <c r="C671" s="3">
        <f>RAW_INPUT!B671</f>
        <v/>
      </c>
      <c r="D671" s="3">
        <f>RAW_INPUT!D671</f>
        <v/>
      </c>
      <c r="E671" s="3">
        <f>D671-C671</f>
        <v/>
      </c>
      <c r="F671" s="3">
        <f>RAW_INPUT!C671</f>
        <v/>
      </c>
      <c r="G671" s="3">
        <f>RAW_INPUT!E671</f>
        <v/>
      </c>
      <c r="H671" s="3">
        <f>I671/F671</f>
        <v/>
      </c>
      <c r="I671" s="3">
        <f>METRICS!$C$14 * 0.02</f>
        <v/>
      </c>
      <c r="J671" s="3">
        <f>(G671-F671)*H671</f>
        <v/>
      </c>
      <c r="K671" s="3">
        <f>(G671-F671)/F671*100</f>
        <v/>
      </c>
      <c r="L671" s="3">
        <f>RAW_INPUT!F671</f>
        <v/>
      </c>
      <c r="M671" s="3">
        <f>K671-L671</f>
        <v/>
      </c>
      <c r="N671" s="3">
        <f>IF(J671&gt;0, 1, 0)</f>
        <v/>
      </c>
      <c r="O671" s="3">
        <f>IF(J671&lt;0, 1, 0)</f>
        <v/>
      </c>
      <c r="P671" s="3">
        <f>SUM($J$3:J671)</f>
        <v/>
      </c>
      <c r="Q671" s="3">
        <f>P671/METRICS!$C$14*100</f>
        <v/>
      </c>
      <c r="R671" s="3">
        <f>METRICS!$C$14+P671</f>
        <v/>
      </c>
      <c r="S671" s="3">
        <f>MAX($R$3:R671)</f>
        <v/>
      </c>
      <c r="T671" s="3">
        <f>R671-S671</f>
        <v/>
      </c>
      <c r="U671" s="3">
        <f>(R671-S671)/S671*100</f>
        <v/>
      </c>
      <c r="V671" s="3">
        <f>IF(K671&lt;0, (K671/100)^2, 0)</f>
        <v/>
      </c>
    </row>
    <row r="672">
      <c r="A672" s="3">
        <f>TEXT(670, """T""0000")</f>
        <v/>
      </c>
      <c r="B672" s="3">
        <f>RAW_INPUT!A672</f>
        <v/>
      </c>
      <c r="C672" s="3">
        <f>RAW_INPUT!B672</f>
        <v/>
      </c>
      <c r="D672" s="3">
        <f>RAW_INPUT!D672</f>
        <v/>
      </c>
      <c r="E672" s="3">
        <f>D672-C672</f>
        <v/>
      </c>
      <c r="F672" s="3">
        <f>RAW_INPUT!C672</f>
        <v/>
      </c>
      <c r="G672" s="3">
        <f>RAW_INPUT!E672</f>
        <v/>
      </c>
      <c r="H672" s="3">
        <f>I672/F672</f>
        <v/>
      </c>
      <c r="I672" s="3">
        <f>METRICS!$C$14 * 0.02</f>
        <v/>
      </c>
      <c r="J672" s="3">
        <f>(G672-F672)*H672</f>
        <v/>
      </c>
      <c r="K672" s="3">
        <f>(G672-F672)/F672*100</f>
        <v/>
      </c>
      <c r="L672" s="3">
        <f>RAW_INPUT!F672</f>
        <v/>
      </c>
      <c r="M672" s="3">
        <f>K672-L672</f>
        <v/>
      </c>
      <c r="N672" s="3">
        <f>IF(J672&gt;0, 1, 0)</f>
        <v/>
      </c>
      <c r="O672" s="3">
        <f>IF(J672&lt;0, 1, 0)</f>
        <v/>
      </c>
      <c r="P672" s="3">
        <f>SUM($J$3:J672)</f>
        <v/>
      </c>
      <c r="Q672" s="3">
        <f>P672/METRICS!$C$14*100</f>
        <v/>
      </c>
      <c r="R672" s="3">
        <f>METRICS!$C$14+P672</f>
        <v/>
      </c>
      <c r="S672" s="3">
        <f>MAX($R$3:R672)</f>
        <v/>
      </c>
      <c r="T672" s="3">
        <f>R672-S672</f>
        <v/>
      </c>
      <c r="U672" s="3">
        <f>(R672-S672)/S672*100</f>
        <v/>
      </c>
      <c r="V672" s="3">
        <f>IF(K672&lt;0, (K672/100)^2, 0)</f>
        <v/>
      </c>
    </row>
    <row r="673">
      <c r="A673" s="3">
        <f>TEXT(671, """T""0000")</f>
        <v/>
      </c>
      <c r="B673" s="3">
        <f>RAW_INPUT!A673</f>
        <v/>
      </c>
      <c r="C673" s="3">
        <f>RAW_INPUT!B673</f>
        <v/>
      </c>
      <c r="D673" s="3">
        <f>RAW_INPUT!D673</f>
        <v/>
      </c>
      <c r="E673" s="3">
        <f>D673-C673</f>
        <v/>
      </c>
      <c r="F673" s="3">
        <f>RAW_INPUT!C673</f>
        <v/>
      </c>
      <c r="G673" s="3">
        <f>RAW_INPUT!E673</f>
        <v/>
      </c>
      <c r="H673" s="3">
        <f>I673/F673</f>
        <v/>
      </c>
      <c r="I673" s="3">
        <f>METRICS!$C$14 * 0.02</f>
        <v/>
      </c>
      <c r="J673" s="3">
        <f>(G673-F673)*H673</f>
        <v/>
      </c>
      <c r="K673" s="3">
        <f>(G673-F673)/F673*100</f>
        <v/>
      </c>
      <c r="L673" s="3">
        <f>RAW_INPUT!F673</f>
        <v/>
      </c>
      <c r="M673" s="3">
        <f>K673-L673</f>
        <v/>
      </c>
      <c r="N673" s="3">
        <f>IF(J673&gt;0, 1, 0)</f>
        <v/>
      </c>
      <c r="O673" s="3">
        <f>IF(J673&lt;0, 1, 0)</f>
        <v/>
      </c>
      <c r="P673" s="3">
        <f>SUM($J$3:J673)</f>
        <v/>
      </c>
      <c r="Q673" s="3">
        <f>P673/METRICS!$C$14*100</f>
        <v/>
      </c>
      <c r="R673" s="3">
        <f>METRICS!$C$14+P673</f>
        <v/>
      </c>
      <c r="S673" s="3">
        <f>MAX($R$3:R673)</f>
        <v/>
      </c>
      <c r="T673" s="3">
        <f>R673-S673</f>
        <v/>
      </c>
      <c r="U673" s="3">
        <f>(R673-S673)/S673*100</f>
        <v/>
      </c>
      <c r="V673" s="3">
        <f>IF(K673&lt;0, (K673/100)^2, 0)</f>
        <v/>
      </c>
    </row>
    <row r="674">
      <c r="A674" s="3">
        <f>TEXT(672, """T""0000")</f>
        <v/>
      </c>
      <c r="B674" s="3">
        <f>RAW_INPUT!A674</f>
        <v/>
      </c>
      <c r="C674" s="3">
        <f>RAW_INPUT!B674</f>
        <v/>
      </c>
      <c r="D674" s="3">
        <f>RAW_INPUT!D674</f>
        <v/>
      </c>
      <c r="E674" s="3">
        <f>D674-C674</f>
        <v/>
      </c>
      <c r="F674" s="3">
        <f>RAW_INPUT!C674</f>
        <v/>
      </c>
      <c r="G674" s="3">
        <f>RAW_INPUT!E674</f>
        <v/>
      </c>
      <c r="H674" s="3">
        <f>I674/F674</f>
        <v/>
      </c>
      <c r="I674" s="3">
        <f>METRICS!$C$14 * 0.02</f>
        <v/>
      </c>
      <c r="J674" s="3">
        <f>(G674-F674)*H674</f>
        <v/>
      </c>
      <c r="K674" s="3">
        <f>(G674-F674)/F674*100</f>
        <v/>
      </c>
      <c r="L674" s="3">
        <f>RAW_INPUT!F674</f>
        <v/>
      </c>
      <c r="M674" s="3">
        <f>K674-L674</f>
        <v/>
      </c>
      <c r="N674" s="3">
        <f>IF(J674&gt;0, 1, 0)</f>
        <v/>
      </c>
      <c r="O674" s="3">
        <f>IF(J674&lt;0, 1, 0)</f>
        <v/>
      </c>
      <c r="P674" s="3">
        <f>SUM($J$3:J674)</f>
        <v/>
      </c>
      <c r="Q674" s="3">
        <f>P674/METRICS!$C$14*100</f>
        <v/>
      </c>
      <c r="R674" s="3">
        <f>METRICS!$C$14+P674</f>
        <v/>
      </c>
      <c r="S674" s="3">
        <f>MAX($R$3:R674)</f>
        <v/>
      </c>
      <c r="T674" s="3">
        <f>R674-S674</f>
        <v/>
      </c>
      <c r="U674" s="3">
        <f>(R674-S674)/S674*100</f>
        <v/>
      </c>
      <c r="V674" s="3">
        <f>IF(K674&lt;0, (K674/100)^2, 0)</f>
        <v/>
      </c>
    </row>
    <row r="675">
      <c r="A675" s="3">
        <f>TEXT(673, """T""0000")</f>
        <v/>
      </c>
      <c r="B675" s="3">
        <f>RAW_INPUT!A675</f>
        <v/>
      </c>
      <c r="C675" s="3">
        <f>RAW_INPUT!B675</f>
        <v/>
      </c>
      <c r="D675" s="3">
        <f>RAW_INPUT!D675</f>
        <v/>
      </c>
      <c r="E675" s="3">
        <f>D675-C675</f>
        <v/>
      </c>
      <c r="F675" s="3">
        <f>RAW_INPUT!C675</f>
        <v/>
      </c>
      <c r="G675" s="3">
        <f>RAW_INPUT!E675</f>
        <v/>
      </c>
      <c r="H675" s="3">
        <f>I675/F675</f>
        <v/>
      </c>
      <c r="I675" s="3">
        <f>METRICS!$C$14 * 0.02</f>
        <v/>
      </c>
      <c r="J675" s="3">
        <f>(G675-F675)*H675</f>
        <v/>
      </c>
      <c r="K675" s="3">
        <f>(G675-F675)/F675*100</f>
        <v/>
      </c>
      <c r="L675" s="3">
        <f>RAW_INPUT!F675</f>
        <v/>
      </c>
      <c r="M675" s="3">
        <f>K675-L675</f>
        <v/>
      </c>
      <c r="N675" s="3">
        <f>IF(J675&gt;0, 1, 0)</f>
        <v/>
      </c>
      <c r="O675" s="3">
        <f>IF(J675&lt;0, 1, 0)</f>
        <v/>
      </c>
      <c r="P675" s="3">
        <f>SUM($J$3:J675)</f>
        <v/>
      </c>
      <c r="Q675" s="3">
        <f>P675/METRICS!$C$14*100</f>
        <v/>
      </c>
      <c r="R675" s="3">
        <f>METRICS!$C$14+P675</f>
        <v/>
      </c>
      <c r="S675" s="3">
        <f>MAX($R$3:R675)</f>
        <v/>
      </c>
      <c r="T675" s="3">
        <f>R675-S675</f>
        <v/>
      </c>
      <c r="U675" s="3">
        <f>(R675-S675)/S675*100</f>
        <v/>
      </c>
      <c r="V675" s="3">
        <f>IF(K675&lt;0, (K675/100)^2, 0)</f>
        <v/>
      </c>
    </row>
    <row r="676">
      <c r="A676" s="3">
        <f>TEXT(674, """T""0000")</f>
        <v/>
      </c>
      <c r="B676" s="3">
        <f>RAW_INPUT!A676</f>
        <v/>
      </c>
      <c r="C676" s="3">
        <f>RAW_INPUT!B676</f>
        <v/>
      </c>
      <c r="D676" s="3">
        <f>RAW_INPUT!D676</f>
        <v/>
      </c>
      <c r="E676" s="3">
        <f>D676-C676</f>
        <v/>
      </c>
      <c r="F676" s="3">
        <f>RAW_INPUT!C676</f>
        <v/>
      </c>
      <c r="G676" s="3">
        <f>RAW_INPUT!E676</f>
        <v/>
      </c>
      <c r="H676" s="3">
        <f>I676/F676</f>
        <v/>
      </c>
      <c r="I676" s="3">
        <f>METRICS!$C$14 * 0.02</f>
        <v/>
      </c>
      <c r="J676" s="3">
        <f>(G676-F676)*H676</f>
        <v/>
      </c>
      <c r="K676" s="3">
        <f>(G676-F676)/F676*100</f>
        <v/>
      </c>
      <c r="L676" s="3">
        <f>RAW_INPUT!F676</f>
        <v/>
      </c>
      <c r="M676" s="3">
        <f>K676-L676</f>
        <v/>
      </c>
      <c r="N676" s="3">
        <f>IF(J676&gt;0, 1, 0)</f>
        <v/>
      </c>
      <c r="O676" s="3">
        <f>IF(J676&lt;0, 1, 0)</f>
        <v/>
      </c>
      <c r="P676" s="3">
        <f>SUM($J$3:J676)</f>
        <v/>
      </c>
      <c r="Q676" s="3">
        <f>P676/METRICS!$C$14*100</f>
        <v/>
      </c>
      <c r="R676" s="3">
        <f>METRICS!$C$14+P676</f>
        <v/>
      </c>
      <c r="S676" s="3">
        <f>MAX($R$3:R676)</f>
        <v/>
      </c>
      <c r="T676" s="3">
        <f>R676-S676</f>
        <v/>
      </c>
      <c r="U676" s="3">
        <f>(R676-S676)/S676*100</f>
        <v/>
      </c>
      <c r="V676" s="3">
        <f>IF(K676&lt;0, (K676/100)^2, 0)</f>
        <v/>
      </c>
    </row>
    <row r="677">
      <c r="A677" s="3">
        <f>TEXT(675, """T""0000")</f>
        <v/>
      </c>
      <c r="B677" s="3">
        <f>RAW_INPUT!A677</f>
        <v/>
      </c>
      <c r="C677" s="3">
        <f>RAW_INPUT!B677</f>
        <v/>
      </c>
      <c r="D677" s="3">
        <f>RAW_INPUT!D677</f>
        <v/>
      </c>
      <c r="E677" s="3">
        <f>D677-C677</f>
        <v/>
      </c>
      <c r="F677" s="3">
        <f>RAW_INPUT!C677</f>
        <v/>
      </c>
      <c r="G677" s="3">
        <f>RAW_INPUT!E677</f>
        <v/>
      </c>
      <c r="H677" s="3">
        <f>I677/F677</f>
        <v/>
      </c>
      <c r="I677" s="3">
        <f>METRICS!$C$14 * 0.02</f>
        <v/>
      </c>
      <c r="J677" s="3">
        <f>(G677-F677)*H677</f>
        <v/>
      </c>
      <c r="K677" s="3">
        <f>(G677-F677)/F677*100</f>
        <v/>
      </c>
      <c r="L677" s="3">
        <f>RAW_INPUT!F677</f>
        <v/>
      </c>
      <c r="M677" s="3">
        <f>K677-L677</f>
        <v/>
      </c>
      <c r="N677" s="3">
        <f>IF(J677&gt;0, 1, 0)</f>
        <v/>
      </c>
      <c r="O677" s="3">
        <f>IF(J677&lt;0, 1, 0)</f>
        <v/>
      </c>
      <c r="P677" s="3">
        <f>SUM($J$3:J677)</f>
        <v/>
      </c>
      <c r="Q677" s="3">
        <f>P677/METRICS!$C$14*100</f>
        <v/>
      </c>
      <c r="R677" s="3">
        <f>METRICS!$C$14+P677</f>
        <v/>
      </c>
      <c r="S677" s="3">
        <f>MAX($R$3:R677)</f>
        <v/>
      </c>
      <c r="T677" s="3">
        <f>R677-S677</f>
        <v/>
      </c>
      <c r="U677" s="3">
        <f>(R677-S677)/S677*100</f>
        <v/>
      </c>
      <c r="V677" s="3">
        <f>IF(K677&lt;0, (K677/100)^2, 0)</f>
        <v/>
      </c>
    </row>
    <row r="678">
      <c r="A678" s="3">
        <f>TEXT(676, """T""0000")</f>
        <v/>
      </c>
      <c r="B678" s="3">
        <f>RAW_INPUT!A678</f>
        <v/>
      </c>
      <c r="C678" s="3">
        <f>RAW_INPUT!B678</f>
        <v/>
      </c>
      <c r="D678" s="3">
        <f>RAW_INPUT!D678</f>
        <v/>
      </c>
      <c r="E678" s="3">
        <f>D678-C678</f>
        <v/>
      </c>
      <c r="F678" s="3">
        <f>RAW_INPUT!C678</f>
        <v/>
      </c>
      <c r="G678" s="3">
        <f>RAW_INPUT!E678</f>
        <v/>
      </c>
      <c r="H678" s="3">
        <f>I678/F678</f>
        <v/>
      </c>
      <c r="I678" s="3">
        <f>METRICS!$C$14 * 0.02</f>
        <v/>
      </c>
      <c r="J678" s="3">
        <f>(G678-F678)*H678</f>
        <v/>
      </c>
      <c r="K678" s="3">
        <f>(G678-F678)/F678*100</f>
        <v/>
      </c>
      <c r="L678" s="3">
        <f>RAW_INPUT!F678</f>
        <v/>
      </c>
      <c r="M678" s="3">
        <f>K678-L678</f>
        <v/>
      </c>
      <c r="N678" s="3">
        <f>IF(J678&gt;0, 1, 0)</f>
        <v/>
      </c>
      <c r="O678" s="3">
        <f>IF(J678&lt;0, 1, 0)</f>
        <v/>
      </c>
      <c r="P678" s="3">
        <f>SUM($J$3:J678)</f>
        <v/>
      </c>
      <c r="Q678" s="3">
        <f>P678/METRICS!$C$14*100</f>
        <v/>
      </c>
      <c r="R678" s="3">
        <f>METRICS!$C$14+P678</f>
        <v/>
      </c>
      <c r="S678" s="3">
        <f>MAX($R$3:R678)</f>
        <v/>
      </c>
      <c r="T678" s="3">
        <f>R678-S678</f>
        <v/>
      </c>
      <c r="U678" s="3">
        <f>(R678-S678)/S678*100</f>
        <v/>
      </c>
      <c r="V678" s="3">
        <f>IF(K678&lt;0, (K678/100)^2, 0)</f>
        <v/>
      </c>
    </row>
    <row r="679">
      <c r="A679" s="3">
        <f>TEXT(677, """T""0000")</f>
        <v/>
      </c>
      <c r="B679" s="3">
        <f>RAW_INPUT!A679</f>
        <v/>
      </c>
      <c r="C679" s="3">
        <f>RAW_INPUT!B679</f>
        <v/>
      </c>
      <c r="D679" s="3">
        <f>RAW_INPUT!D679</f>
        <v/>
      </c>
      <c r="E679" s="3">
        <f>D679-C679</f>
        <v/>
      </c>
      <c r="F679" s="3">
        <f>RAW_INPUT!C679</f>
        <v/>
      </c>
      <c r="G679" s="3">
        <f>RAW_INPUT!E679</f>
        <v/>
      </c>
      <c r="H679" s="3">
        <f>I679/F679</f>
        <v/>
      </c>
      <c r="I679" s="3">
        <f>METRICS!$C$14 * 0.02</f>
        <v/>
      </c>
      <c r="J679" s="3">
        <f>(G679-F679)*H679</f>
        <v/>
      </c>
      <c r="K679" s="3">
        <f>(G679-F679)/F679*100</f>
        <v/>
      </c>
      <c r="L679" s="3">
        <f>RAW_INPUT!F679</f>
        <v/>
      </c>
      <c r="M679" s="3">
        <f>K679-L679</f>
        <v/>
      </c>
      <c r="N679" s="3">
        <f>IF(J679&gt;0, 1, 0)</f>
        <v/>
      </c>
      <c r="O679" s="3">
        <f>IF(J679&lt;0, 1, 0)</f>
        <v/>
      </c>
      <c r="P679" s="3">
        <f>SUM($J$3:J679)</f>
        <v/>
      </c>
      <c r="Q679" s="3">
        <f>P679/METRICS!$C$14*100</f>
        <v/>
      </c>
      <c r="R679" s="3">
        <f>METRICS!$C$14+P679</f>
        <v/>
      </c>
      <c r="S679" s="3">
        <f>MAX($R$3:R679)</f>
        <v/>
      </c>
      <c r="T679" s="3">
        <f>R679-S679</f>
        <v/>
      </c>
      <c r="U679" s="3">
        <f>(R679-S679)/S679*100</f>
        <v/>
      </c>
      <c r="V679" s="3">
        <f>IF(K679&lt;0, (K679/100)^2, 0)</f>
        <v/>
      </c>
    </row>
    <row r="680">
      <c r="A680" s="3">
        <f>TEXT(678, """T""0000")</f>
        <v/>
      </c>
      <c r="B680" s="3">
        <f>RAW_INPUT!A680</f>
        <v/>
      </c>
      <c r="C680" s="3">
        <f>RAW_INPUT!B680</f>
        <v/>
      </c>
      <c r="D680" s="3">
        <f>RAW_INPUT!D680</f>
        <v/>
      </c>
      <c r="E680" s="3">
        <f>D680-C680</f>
        <v/>
      </c>
      <c r="F680" s="3">
        <f>RAW_INPUT!C680</f>
        <v/>
      </c>
      <c r="G680" s="3">
        <f>RAW_INPUT!E680</f>
        <v/>
      </c>
      <c r="H680" s="3">
        <f>I680/F680</f>
        <v/>
      </c>
      <c r="I680" s="3">
        <f>METRICS!$C$14 * 0.02</f>
        <v/>
      </c>
      <c r="J680" s="3">
        <f>(G680-F680)*H680</f>
        <v/>
      </c>
      <c r="K680" s="3">
        <f>(G680-F680)/F680*100</f>
        <v/>
      </c>
      <c r="L680" s="3">
        <f>RAW_INPUT!F680</f>
        <v/>
      </c>
      <c r="M680" s="3">
        <f>K680-L680</f>
        <v/>
      </c>
      <c r="N680" s="3">
        <f>IF(J680&gt;0, 1, 0)</f>
        <v/>
      </c>
      <c r="O680" s="3">
        <f>IF(J680&lt;0, 1, 0)</f>
        <v/>
      </c>
      <c r="P680" s="3">
        <f>SUM($J$3:J680)</f>
        <v/>
      </c>
      <c r="Q680" s="3">
        <f>P680/METRICS!$C$14*100</f>
        <v/>
      </c>
      <c r="R680" s="3">
        <f>METRICS!$C$14+P680</f>
        <v/>
      </c>
      <c r="S680" s="3">
        <f>MAX($R$3:R680)</f>
        <v/>
      </c>
      <c r="T680" s="3">
        <f>R680-S680</f>
        <v/>
      </c>
      <c r="U680" s="3">
        <f>(R680-S680)/S680*100</f>
        <v/>
      </c>
      <c r="V680" s="3">
        <f>IF(K680&lt;0, (K680/100)^2, 0)</f>
        <v/>
      </c>
    </row>
    <row r="681">
      <c r="A681" s="3">
        <f>TEXT(679, """T""0000")</f>
        <v/>
      </c>
      <c r="B681" s="3">
        <f>RAW_INPUT!A681</f>
        <v/>
      </c>
      <c r="C681" s="3">
        <f>RAW_INPUT!B681</f>
        <v/>
      </c>
      <c r="D681" s="3">
        <f>RAW_INPUT!D681</f>
        <v/>
      </c>
      <c r="E681" s="3">
        <f>D681-C681</f>
        <v/>
      </c>
      <c r="F681" s="3">
        <f>RAW_INPUT!C681</f>
        <v/>
      </c>
      <c r="G681" s="3">
        <f>RAW_INPUT!E681</f>
        <v/>
      </c>
      <c r="H681" s="3">
        <f>I681/F681</f>
        <v/>
      </c>
      <c r="I681" s="3">
        <f>METRICS!$C$14 * 0.02</f>
        <v/>
      </c>
      <c r="J681" s="3">
        <f>(G681-F681)*H681</f>
        <v/>
      </c>
      <c r="K681" s="3">
        <f>(G681-F681)/F681*100</f>
        <v/>
      </c>
      <c r="L681" s="3">
        <f>RAW_INPUT!F681</f>
        <v/>
      </c>
      <c r="M681" s="3">
        <f>K681-L681</f>
        <v/>
      </c>
      <c r="N681" s="3">
        <f>IF(J681&gt;0, 1, 0)</f>
        <v/>
      </c>
      <c r="O681" s="3">
        <f>IF(J681&lt;0, 1, 0)</f>
        <v/>
      </c>
      <c r="P681" s="3">
        <f>SUM($J$3:J681)</f>
        <v/>
      </c>
      <c r="Q681" s="3">
        <f>P681/METRICS!$C$14*100</f>
        <v/>
      </c>
      <c r="R681" s="3">
        <f>METRICS!$C$14+P681</f>
        <v/>
      </c>
      <c r="S681" s="3">
        <f>MAX($R$3:R681)</f>
        <v/>
      </c>
      <c r="T681" s="3">
        <f>R681-S681</f>
        <v/>
      </c>
      <c r="U681" s="3">
        <f>(R681-S681)/S681*100</f>
        <v/>
      </c>
      <c r="V681" s="3">
        <f>IF(K681&lt;0, (K681/100)^2, 0)</f>
        <v/>
      </c>
    </row>
    <row r="682">
      <c r="A682" s="3">
        <f>TEXT(680, """T""0000")</f>
        <v/>
      </c>
      <c r="B682" s="3">
        <f>RAW_INPUT!A682</f>
        <v/>
      </c>
      <c r="C682" s="3">
        <f>RAW_INPUT!B682</f>
        <v/>
      </c>
      <c r="D682" s="3">
        <f>RAW_INPUT!D682</f>
        <v/>
      </c>
      <c r="E682" s="3">
        <f>D682-C682</f>
        <v/>
      </c>
      <c r="F682" s="3">
        <f>RAW_INPUT!C682</f>
        <v/>
      </c>
      <c r="G682" s="3">
        <f>RAW_INPUT!E682</f>
        <v/>
      </c>
      <c r="H682" s="3">
        <f>I682/F682</f>
        <v/>
      </c>
      <c r="I682" s="3">
        <f>METRICS!$C$14 * 0.02</f>
        <v/>
      </c>
      <c r="J682" s="3">
        <f>(G682-F682)*H682</f>
        <v/>
      </c>
      <c r="K682" s="3">
        <f>(G682-F682)/F682*100</f>
        <v/>
      </c>
      <c r="L682" s="3">
        <f>RAW_INPUT!F682</f>
        <v/>
      </c>
      <c r="M682" s="3">
        <f>K682-L682</f>
        <v/>
      </c>
      <c r="N682" s="3">
        <f>IF(J682&gt;0, 1, 0)</f>
        <v/>
      </c>
      <c r="O682" s="3">
        <f>IF(J682&lt;0, 1, 0)</f>
        <v/>
      </c>
      <c r="P682" s="3">
        <f>SUM($J$3:J682)</f>
        <v/>
      </c>
      <c r="Q682" s="3">
        <f>P682/METRICS!$C$14*100</f>
        <v/>
      </c>
      <c r="R682" s="3">
        <f>METRICS!$C$14+P682</f>
        <v/>
      </c>
      <c r="S682" s="3">
        <f>MAX($R$3:R682)</f>
        <v/>
      </c>
      <c r="T682" s="3">
        <f>R682-S682</f>
        <v/>
      </c>
      <c r="U682" s="3">
        <f>(R682-S682)/S682*100</f>
        <v/>
      </c>
      <c r="V682" s="3">
        <f>IF(K682&lt;0, (K682/100)^2, 0)</f>
        <v/>
      </c>
    </row>
    <row r="683">
      <c r="A683" s="3">
        <f>TEXT(681, """T""0000")</f>
        <v/>
      </c>
      <c r="B683" s="3">
        <f>RAW_INPUT!A683</f>
        <v/>
      </c>
      <c r="C683" s="3">
        <f>RAW_INPUT!B683</f>
        <v/>
      </c>
      <c r="D683" s="3">
        <f>RAW_INPUT!D683</f>
        <v/>
      </c>
      <c r="E683" s="3">
        <f>D683-C683</f>
        <v/>
      </c>
      <c r="F683" s="3">
        <f>RAW_INPUT!C683</f>
        <v/>
      </c>
      <c r="G683" s="3">
        <f>RAW_INPUT!E683</f>
        <v/>
      </c>
      <c r="H683" s="3">
        <f>I683/F683</f>
        <v/>
      </c>
      <c r="I683" s="3">
        <f>METRICS!$C$14 * 0.02</f>
        <v/>
      </c>
      <c r="J683" s="3">
        <f>(G683-F683)*H683</f>
        <v/>
      </c>
      <c r="K683" s="3">
        <f>(G683-F683)/F683*100</f>
        <v/>
      </c>
      <c r="L683" s="3">
        <f>RAW_INPUT!F683</f>
        <v/>
      </c>
      <c r="M683" s="3">
        <f>K683-L683</f>
        <v/>
      </c>
      <c r="N683" s="3">
        <f>IF(J683&gt;0, 1, 0)</f>
        <v/>
      </c>
      <c r="O683" s="3">
        <f>IF(J683&lt;0, 1, 0)</f>
        <v/>
      </c>
      <c r="P683" s="3">
        <f>SUM($J$3:J683)</f>
        <v/>
      </c>
      <c r="Q683" s="3">
        <f>P683/METRICS!$C$14*100</f>
        <v/>
      </c>
      <c r="R683" s="3">
        <f>METRICS!$C$14+P683</f>
        <v/>
      </c>
      <c r="S683" s="3">
        <f>MAX($R$3:R683)</f>
        <v/>
      </c>
      <c r="T683" s="3">
        <f>R683-S683</f>
        <v/>
      </c>
      <c r="U683" s="3">
        <f>(R683-S683)/S683*100</f>
        <v/>
      </c>
      <c r="V683" s="3">
        <f>IF(K683&lt;0, (K683/100)^2, 0)</f>
        <v/>
      </c>
    </row>
    <row r="684">
      <c r="A684" s="3">
        <f>TEXT(682, """T""0000")</f>
        <v/>
      </c>
      <c r="B684" s="3">
        <f>RAW_INPUT!A684</f>
        <v/>
      </c>
      <c r="C684" s="3">
        <f>RAW_INPUT!B684</f>
        <v/>
      </c>
      <c r="D684" s="3">
        <f>RAW_INPUT!D684</f>
        <v/>
      </c>
      <c r="E684" s="3">
        <f>D684-C684</f>
        <v/>
      </c>
      <c r="F684" s="3">
        <f>RAW_INPUT!C684</f>
        <v/>
      </c>
      <c r="G684" s="3">
        <f>RAW_INPUT!E684</f>
        <v/>
      </c>
      <c r="H684" s="3">
        <f>I684/F684</f>
        <v/>
      </c>
      <c r="I684" s="3">
        <f>METRICS!$C$14 * 0.02</f>
        <v/>
      </c>
      <c r="J684" s="3">
        <f>(G684-F684)*H684</f>
        <v/>
      </c>
      <c r="K684" s="3">
        <f>(G684-F684)/F684*100</f>
        <v/>
      </c>
      <c r="L684" s="3">
        <f>RAW_INPUT!F684</f>
        <v/>
      </c>
      <c r="M684" s="3">
        <f>K684-L684</f>
        <v/>
      </c>
      <c r="N684" s="3">
        <f>IF(J684&gt;0, 1, 0)</f>
        <v/>
      </c>
      <c r="O684" s="3">
        <f>IF(J684&lt;0, 1, 0)</f>
        <v/>
      </c>
      <c r="P684" s="3">
        <f>SUM($J$3:J684)</f>
        <v/>
      </c>
      <c r="Q684" s="3">
        <f>P684/METRICS!$C$14*100</f>
        <v/>
      </c>
      <c r="R684" s="3">
        <f>METRICS!$C$14+P684</f>
        <v/>
      </c>
      <c r="S684" s="3">
        <f>MAX($R$3:R684)</f>
        <v/>
      </c>
      <c r="T684" s="3">
        <f>R684-S684</f>
        <v/>
      </c>
      <c r="U684" s="3">
        <f>(R684-S684)/S684*100</f>
        <v/>
      </c>
      <c r="V684" s="3">
        <f>IF(K684&lt;0, (K684/100)^2, 0)</f>
        <v/>
      </c>
    </row>
    <row r="685">
      <c r="A685" s="3">
        <f>TEXT(683, """T""0000")</f>
        <v/>
      </c>
      <c r="B685" s="3">
        <f>RAW_INPUT!A685</f>
        <v/>
      </c>
      <c r="C685" s="3">
        <f>RAW_INPUT!B685</f>
        <v/>
      </c>
      <c r="D685" s="3">
        <f>RAW_INPUT!D685</f>
        <v/>
      </c>
      <c r="E685" s="3">
        <f>D685-C685</f>
        <v/>
      </c>
      <c r="F685" s="3">
        <f>RAW_INPUT!C685</f>
        <v/>
      </c>
      <c r="G685" s="3">
        <f>RAW_INPUT!E685</f>
        <v/>
      </c>
      <c r="H685" s="3">
        <f>I685/F685</f>
        <v/>
      </c>
      <c r="I685" s="3">
        <f>METRICS!$C$14 * 0.02</f>
        <v/>
      </c>
      <c r="J685" s="3">
        <f>(G685-F685)*H685</f>
        <v/>
      </c>
      <c r="K685" s="3">
        <f>(G685-F685)/F685*100</f>
        <v/>
      </c>
      <c r="L685" s="3">
        <f>RAW_INPUT!F685</f>
        <v/>
      </c>
      <c r="M685" s="3">
        <f>K685-L685</f>
        <v/>
      </c>
      <c r="N685" s="3">
        <f>IF(J685&gt;0, 1, 0)</f>
        <v/>
      </c>
      <c r="O685" s="3">
        <f>IF(J685&lt;0, 1, 0)</f>
        <v/>
      </c>
      <c r="P685" s="3">
        <f>SUM($J$3:J685)</f>
        <v/>
      </c>
      <c r="Q685" s="3">
        <f>P685/METRICS!$C$14*100</f>
        <v/>
      </c>
      <c r="R685" s="3">
        <f>METRICS!$C$14+P685</f>
        <v/>
      </c>
      <c r="S685" s="3">
        <f>MAX($R$3:R685)</f>
        <v/>
      </c>
      <c r="T685" s="3">
        <f>R685-S685</f>
        <v/>
      </c>
      <c r="U685" s="3">
        <f>(R685-S685)/S685*100</f>
        <v/>
      </c>
      <c r="V685" s="3">
        <f>IF(K685&lt;0, (K685/100)^2, 0)</f>
        <v/>
      </c>
    </row>
    <row r="686">
      <c r="A686" s="3">
        <f>TEXT(684, """T""0000")</f>
        <v/>
      </c>
      <c r="B686" s="3">
        <f>RAW_INPUT!A686</f>
        <v/>
      </c>
      <c r="C686" s="3">
        <f>RAW_INPUT!B686</f>
        <v/>
      </c>
      <c r="D686" s="3">
        <f>RAW_INPUT!D686</f>
        <v/>
      </c>
      <c r="E686" s="3">
        <f>D686-C686</f>
        <v/>
      </c>
      <c r="F686" s="3">
        <f>RAW_INPUT!C686</f>
        <v/>
      </c>
      <c r="G686" s="3">
        <f>RAW_INPUT!E686</f>
        <v/>
      </c>
      <c r="H686" s="3">
        <f>I686/F686</f>
        <v/>
      </c>
      <c r="I686" s="3">
        <f>METRICS!$C$14 * 0.02</f>
        <v/>
      </c>
      <c r="J686" s="3">
        <f>(G686-F686)*H686</f>
        <v/>
      </c>
      <c r="K686" s="3">
        <f>(G686-F686)/F686*100</f>
        <v/>
      </c>
      <c r="L686" s="3">
        <f>RAW_INPUT!F686</f>
        <v/>
      </c>
      <c r="M686" s="3">
        <f>K686-L686</f>
        <v/>
      </c>
      <c r="N686" s="3">
        <f>IF(J686&gt;0, 1, 0)</f>
        <v/>
      </c>
      <c r="O686" s="3">
        <f>IF(J686&lt;0, 1, 0)</f>
        <v/>
      </c>
      <c r="P686" s="3">
        <f>SUM($J$3:J686)</f>
        <v/>
      </c>
      <c r="Q686" s="3">
        <f>P686/METRICS!$C$14*100</f>
        <v/>
      </c>
      <c r="R686" s="3">
        <f>METRICS!$C$14+P686</f>
        <v/>
      </c>
      <c r="S686" s="3">
        <f>MAX($R$3:R686)</f>
        <v/>
      </c>
      <c r="T686" s="3">
        <f>R686-S686</f>
        <v/>
      </c>
      <c r="U686" s="3">
        <f>(R686-S686)/S686*100</f>
        <v/>
      </c>
      <c r="V686" s="3">
        <f>IF(K686&lt;0, (K686/100)^2, 0)</f>
        <v/>
      </c>
    </row>
    <row r="687">
      <c r="A687" s="3">
        <f>TEXT(685, """T""0000")</f>
        <v/>
      </c>
      <c r="B687" s="3">
        <f>RAW_INPUT!A687</f>
        <v/>
      </c>
      <c r="C687" s="3">
        <f>RAW_INPUT!B687</f>
        <v/>
      </c>
      <c r="D687" s="3">
        <f>RAW_INPUT!D687</f>
        <v/>
      </c>
      <c r="E687" s="3">
        <f>D687-C687</f>
        <v/>
      </c>
      <c r="F687" s="3">
        <f>RAW_INPUT!C687</f>
        <v/>
      </c>
      <c r="G687" s="3">
        <f>RAW_INPUT!E687</f>
        <v/>
      </c>
      <c r="H687" s="3">
        <f>I687/F687</f>
        <v/>
      </c>
      <c r="I687" s="3">
        <f>METRICS!$C$14 * 0.02</f>
        <v/>
      </c>
      <c r="J687" s="3">
        <f>(G687-F687)*H687</f>
        <v/>
      </c>
      <c r="K687" s="3">
        <f>(G687-F687)/F687*100</f>
        <v/>
      </c>
      <c r="L687" s="3">
        <f>RAW_INPUT!F687</f>
        <v/>
      </c>
      <c r="M687" s="3">
        <f>K687-L687</f>
        <v/>
      </c>
      <c r="N687" s="3">
        <f>IF(J687&gt;0, 1, 0)</f>
        <v/>
      </c>
      <c r="O687" s="3">
        <f>IF(J687&lt;0, 1, 0)</f>
        <v/>
      </c>
      <c r="P687" s="3">
        <f>SUM($J$3:J687)</f>
        <v/>
      </c>
      <c r="Q687" s="3">
        <f>P687/METRICS!$C$14*100</f>
        <v/>
      </c>
      <c r="R687" s="3">
        <f>METRICS!$C$14+P687</f>
        <v/>
      </c>
      <c r="S687" s="3">
        <f>MAX($R$3:R687)</f>
        <v/>
      </c>
      <c r="T687" s="3">
        <f>R687-S687</f>
        <v/>
      </c>
      <c r="U687" s="3">
        <f>(R687-S687)/S687*100</f>
        <v/>
      </c>
      <c r="V687" s="3">
        <f>IF(K687&lt;0, (K687/100)^2, 0)</f>
        <v/>
      </c>
    </row>
    <row r="688">
      <c r="A688" s="3">
        <f>TEXT(686, """T""0000")</f>
        <v/>
      </c>
      <c r="B688" s="3">
        <f>RAW_INPUT!A688</f>
        <v/>
      </c>
      <c r="C688" s="3">
        <f>RAW_INPUT!B688</f>
        <v/>
      </c>
      <c r="D688" s="3">
        <f>RAW_INPUT!D688</f>
        <v/>
      </c>
      <c r="E688" s="3">
        <f>D688-C688</f>
        <v/>
      </c>
      <c r="F688" s="3">
        <f>RAW_INPUT!C688</f>
        <v/>
      </c>
      <c r="G688" s="3">
        <f>RAW_INPUT!E688</f>
        <v/>
      </c>
      <c r="H688" s="3">
        <f>I688/F688</f>
        <v/>
      </c>
      <c r="I688" s="3">
        <f>METRICS!$C$14 * 0.02</f>
        <v/>
      </c>
      <c r="J688" s="3">
        <f>(G688-F688)*H688</f>
        <v/>
      </c>
      <c r="K688" s="3">
        <f>(G688-F688)/F688*100</f>
        <v/>
      </c>
      <c r="L688" s="3">
        <f>RAW_INPUT!F688</f>
        <v/>
      </c>
      <c r="M688" s="3">
        <f>K688-L688</f>
        <v/>
      </c>
      <c r="N688" s="3">
        <f>IF(J688&gt;0, 1, 0)</f>
        <v/>
      </c>
      <c r="O688" s="3">
        <f>IF(J688&lt;0, 1, 0)</f>
        <v/>
      </c>
      <c r="P688" s="3">
        <f>SUM($J$3:J688)</f>
        <v/>
      </c>
      <c r="Q688" s="3">
        <f>P688/METRICS!$C$14*100</f>
        <v/>
      </c>
      <c r="R688" s="3">
        <f>METRICS!$C$14+P688</f>
        <v/>
      </c>
      <c r="S688" s="3">
        <f>MAX($R$3:R688)</f>
        <v/>
      </c>
      <c r="T688" s="3">
        <f>R688-S688</f>
        <v/>
      </c>
      <c r="U688" s="3">
        <f>(R688-S688)/S688*100</f>
        <v/>
      </c>
      <c r="V688" s="3">
        <f>IF(K688&lt;0, (K688/100)^2, 0)</f>
        <v/>
      </c>
    </row>
    <row r="689">
      <c r="A689" s="3">
        <f>TEXT(687, """T""0000")</f>
        <v/>
      </c>
      <c r="B689" s="3">
        <f>RAW_INPUT!A689</f>
        <v/>
      </c>
      <c r="C689" s="3">
        <f>RAW_INPUT!B689</f>
        <v/>
      </c>
      <c r="D689" s="3">
        <f>RAW_INPUT!D689</f>
        <v/>
      </c>
      <c r="E689" s="3">
        <f>D689-C689</f>
        <v/>
      </c>
      <c r="F689" s="3">
        <f>RAW_INPUT!C689</f>
        <v/>
      </c>
      <c r="G689" s="3">
        <f>RAW_INPUT!E689</f>
        <v/>
      </c>
      <c r="H689" s="3">
        <f>I689/F689</f>
        <v/>
      </c>
      <c r="I689" s="3">
        <f>METRICS!$C$14 * 0.02</f>
        <v/>
      </c>
      <c r="J689" s="3">
        <f>(G689-F689)*H689</f>
        <v/>
      </c>
      <c r="K689" s="3">
        <f>(G689-F689)/F689*100</f>
        <v/>
      </c>
      <c r="L689" s="3">
        <f>RAW_INPUT!F689</f>
        <v/>
      </c>
      <c r="M689" s="3">
        <f>K689-L689</f>
        <v/>
      </c>
      <c r="N689" s="3">
        <f>IF(J689&gt;0, 1, 0)</f>
        <v/>
      </c>
      <c r="O689" s="3">
        <f>IF(J689&lt;0, 1, 0)</f>
        <v/>
      </c>
      <c r="P689" s="3">
        <f>SUM($J$3:J689)</f>
        <v/>
      </c>
      <c r="Q689" s="3">
        <f>P689/METRICS!$C$14*100</f>
        <v/>
      </c>
      <c r="R689" s="3">
        <f>METRICS!$C$14+P689</f>
        <v/>
      </c>
      <c r="S689" s="3">
        <f>MAX($R$3:R689)</f>
        <v/>
      </c>
      <c r="T689" s="3">
        <f>R689-S689</f>
        <v/>
      </c>
      <c r="U689" s="3">
        <f>(R689-S689)/S689*100</f>
        <v/>
      </c>
      <c r="V689" s="3">
        <f>IF(K689&lt;0, (K689/100)^2, 0)</f>
        <v/>
      </c>
    </row>
    <row r="690">
      <c r="A690" s="3">
        <f>TEXT(688, """T""0000")</f>
        <v/>
      </c>
      <c r="B690" s="3">
        <f>RAW_INPUT!A690</f>
        <v/>
      </c>
      <c r="C690" s="3">
        <f>RAW_INPUT!B690</f>
        <v/>
      </c>
      <c r="D690" s="3">
        <f>RAW_INPUT!D690</f>
        <v/>
      </c>
      <c r="E690" s="3">
        <f>D690-C690</f>
        <v/>
      </c>
      <c r="F690" s="3">
        <f>RAW_INPUT!C690</f>
        <v/>
      </c>
      <c r="G690" s="3">
        <f>RAW_INPUT!E690</f>
        <v/>
      </c>
      <c r="H690" s="3">
        <f>I690/F690</f>
        <v/>
      </c>
      <c r="I690" s="3">
        <f>METRICS!$C$14 * 0.02</f>
        <v/>
      </c>
      <c r="J690" s="3">
        <f>(G690-F690)*H690</f>
        <v/>
      </c>
      <c r="K690" s="3">
        <f>(G690-F690)/F690*100</f>
        <v/>
      </c>
      <c r="L690" s="3">
        <f>RAW_INPUT!F690</f>
        <v/>
      </c>
      <c r="M690" s="3">
        <f>K690-L690</f>
        <v/>
      </c>
      <c r="N690" s="3">
        <f>IF(J690&gt;0, 1, 0)</f>
        <v/>
      </c>
      <c r="O690" s="3">
        <f>IF(J690&lt;0, 1, 0)</f>
        <v/>
      </c>
      <c r="P690" s="3">
        <f>SUM($J$3:J690)</f>
        <v/>
      </c>
      <c r="Q690" s="3">
        <f>P690/METRICS!$C$14*100</f>
        <v/>
      </c>
      <c r="R690" s="3">
        <f>METRICS!$C$14+P690</f>
        <v/>
      </c>
      <c r="S690" s="3">
        <f>MAX($R$3:R690)</f>
        <v/>
      </c>
      <c r="T690" s="3">
        <f>R690-S690</f>
        <v/>
      </c>
      <c r="U690" s="3">
        <f>(R690-S690)/S690*100</f>
        <v/>
      </c>
      <c r="V690" s="3">
        <f>IF(K690&lt;0, (K690/100)^2, 0)</f>
        <v/>
      </c>
    </row>
    <row r="691">
      <c r="A691" s="3">
        <f>TEXT(689, """T""0000")</f>
        <v/>
      </c>
      <c r="B691" s="3">
        <f>RAW_INPUT!A691</f>
        <v/>
      </c>
      <c r="C691" s="3">
        <f>RAW_INPUT!B691</f>
        <v/>
      </c>
      <c r="D691" s="3">
        <f>RAW_INPUT!D691</f>
        <v/>
      </c>
      <c r="E691" s="3">
        <f>D691-C691</f>
        <v/>
      </c>
      <c r="F691" s="3">
        <f>RAW_INPUT!C691</f>
        <v/>
      </c>
      <c r="G691" s="3">
        <f>RAW_INPUT!E691</f>
        <v/>
      </c>
      <c r="H691" s="3">
        <f>I691/F691</f>
        <v/>
      </c>
      <c r="I691" s="3">
        <f>METRICS!$C$14 * 0.02</f>
        <v/>
      </c>
      <c r="J691" s="3">
        <f>(G691-F691)*H691</f>
        <v/>
      </c>
      <c r="K691" s="3">
        <f>(G691-F691)/F691*100</f>
        <v/>
      </c>
      <c r="L691" s="3">
        <f>RAW_INPUT!F691</f>
        <v/>
      </c>
      <c r="M691" s="3">
        <f>K691-L691</f>
        <v/>
      </c>
      <c r="N691" s="3">
        <f>IF(J691&gt;0, 1, 0)</f>
        <v/>
      </c>
      <c r="O691" s="3">
        <f>IF(J691&lt;0, 1, 0)</f>
        <v/>
      </c>
      <c r="P691" s="3">
        <f>SUM($J$3:J691)</f>
        <v/>
      </c>
      <c r="Q691" s="3">
        <f>P691/METRICS!$C$14*100</f>
        <v/>
      </c>
      <c r="R691" s="3">
        <f>METRICS!$C$14+P691</f>
        <v/>
      </c>
      <c r="S691" s="3">
        <f>MAX($R$3:R691)</f>
        <v/>
      </c>
      <c r="T691" s="3">
        <f>R691-S691</f>
        <v/>
      </c>
      <c r="U691" s="3">
        <f>(R691-S691)/S691*100</f>
        <v/>
      </c>
      <c r="V691" s="3">
        <f>IF(K691&lt;0, (K691/100)^2, 0)</f>
        <v/>
      </c>
    </row>
    <row r="692">
      <c r="A692" s="3">
        <f>TEXT(690, """T""0000")</f>
        <v/>
      </c>
      <c r="B692" s="3">
        <f>RAW_INPUT!A692</f>
        <v/>
      </c>
      <c r="C692" s="3">
        <f>RAW_INPUT!B692</f>
        <v/>
      </c>
      <c r="D692" s="3">
        <f>RAW_INPUT!D692</f>
        <v/>
      </c>
      <c r="E692" s="3">
        <f>D692-C692</f>
        <v/>
      </c>
      <c r="F692" s="3">
        <f>RAW_INPUT!C692</f>
        <v/>
      </c>
      <c r="G692" s="3">
        <f>RAW_INPUT!E692</f>
        <v/>
      </c>
      <c r="H692" s="3">
        <f>I692/F692</f>
        <v/>
      </c>
      <c r="I692" s="3">
        <f>METRICS!$C$14 * 0.02</f>
        <v/>
      </c>
      <c r="J692" s="3">
        <f>(G692-F692)*H692</f>
        <v/>
      </c>
      <c r="K692" s="3">
        <f>(G692-F692)/F692*100</f>
        <v/>
      </c>
      <c r="L692" s="3">
        <f>RAW_INPUT!F692</f>
        <v/>
      </c>
      <c r="M692" s="3">
        <f>K692-L692</f>
        <v/>
      </c>
      <c r="N692" s="3">
        <f>IF(J692&gt;0, 1, 0)</f>
        <v/>
      </c>
      <c r="O692" s="3">
        <f>IF(J692&lt;0, 1, 0)</f>
        <v/>
      </c>
      <c r="P692" s="3">
        <f>SUM($J$3:J692)</f>
        <v/>
      </c>
      <c r="Q692" s="3">
        <f>P692/METRICS!$C$14*100</f>
        <v/>
      </c>
      <c r="R692" s="3">
        <f>METRICS!$C$14+P692</f>
        <v/>
      </c>
      <c r="S692" s="3">
        <f>MAX($R$3:R692)</f>
        <v/>
      </c>
      <c r="T692" s="3">
        <f>R692-S692</f>
        <v/>
      </c>
      <c r="U692" s="3">
        <f>(R692-S692)/S692*100</f>
        <v/>
      </c>
      <c r="V692" s="3">
        <f>IF(K692&lt;0, (K692/100)^2, 0)</f>
        <v/>
      </c>
    </row>
    <row r="693">
      <c r="A693" s="3">
        <f>TEXT(691, """T""0000")</f>
        <v/>
      </c>
      <c r="B693" s="3">
        <f>RAW_INPUT!A693</f>
        <v/>
      </c>
      <c r="C693" s="3">
        <f>RAW_INPUT!B693</f>
        <v/>
      </c>
      <c r="D693" s="3">
        <f>RAW_INPUT!D693</f>
        <v/>
      </c>
      <c r="E693" s="3">
        <f>D693-C693</f>
        <v/>
      </c>
      <c r="F693" s="3">
        <f>RAW_INPUT!C693</f>
        <v/>
      </c>
      <c r="G693" s="3">
        <f>RAW_INPUT!E693</f>
        <v/>
      </c>
      <c r="H693" s="3">
        <f>I693/F693</f>
        <v/>
      </c>
      <c r="I693" s="3">
        <f>METRICS!$C$14 * 0.02</f>
        <v/>
      </c>
      <c r="J693" s="3">
        <f>(G693-F693)*H693</f>
        <v/>
      </c>
      <c r="K693" s="3">
        <f>(G693-F693)/F693*100</f>
        <v/>
      </c>
      <c r="L693" s="3">
        <f>RAW_INPUT!F693</f>
        <v/>
      </c>
      <c r="M693" s="3">
        <f>K693-L693</f>
        <v/>
      </c>
      <c r="N693" s="3">
        <f>IF(J693&gt;0, 1, 0)</f>
        <v/>
      </c>
      <c r="O693" s="3">
        <f>IF(J693&lt;0, 1, 0)</f>
        <v/>
      </c>
      <c r="P693" s="3">
        <f>SUM($J$3:J693)</f>
        <v/>
      </c>
      <c r="Q693" s="3">
        <f>P693/METRICS!$C$14*100</f>
        <v/>
      </c>
      <c r="R693" s="3">
        <f>METRICS!$C$14+P693</f>
        <v/>
      </c>
      <c r="S693" s="3">
        <f>MAX($R$3:R693)</f>
        <v/>
      </c>
      <c r="T693" s="3">
        <f>R693-S693</f>
        <v/>
      </c>
      <c r="U693" s="3">
        <f>(R693-S693)/S693*100</f>
        <v/>
      </c>
      <c r="V693" s="3">
        <f>IF(K693&lt;0, (K693/100)^2, 0)</f>
        <v/>
      </c>
    </row>
    <row r="694">
      <c r="A694" s="3">
        <f>TEXT(692, """T""0000")</f>
        <v/>
      </c>
      <c r="B694" s="3">
        <f>RAW_INPUT!A694</f>
        <v/>
      </c>
      <c r="C694" s="3">
        <f>RAW_INPUT!B694</f>
        <v/>
      </c>
      <c r="D694" s="3">
        <f>RAW_INPUT!D694</f>
        <v/>
      </c>
      <c r="E694" s="3">
        <f>D694-C694</f>
        <v/>
      </c>
      <c r="F694" s="3">
        <f>RAW_INPUT!C694</f>
        <v/>
      </c>
      <c r="G694" s="3">
        <f>RAW_INPUT!E694</f>
        <v/>
      </c>
      <c r="H694" s="3">
        <f>I694/F694</f>
        <v/>
      </c>
      <c r="I694" s="3">
        <f>METRICS!$C$14 * 0.02</f>
        <v/>
      </c>
      <c r="J694" s="3">
        <f>(G694-F694)*H694</f>
        <v/>
      </c>
      <c r="K694" s="3">
        <f>(G694-F694)/F694*100</f>
        <v/>
      </c>
      <c r="L694" s="3">
        <f>RAW_INPUT!F694</f>
        <v/>
      </c>
      <c r="M694" s="3">
        <f>K694-L694</f>
        <v/>
      </c>
      <c r="N694" s="3">
        <f>IF(J694&gt;0, 1, 0)</f>
        <v/>
      </c>
      <c r="O694" s="3">
        <f>IF(J694&lt;0, 1, 0)</f>
        <v/>
      </c>
      <c r="P694" s="3">
        <f>SUM($J$3:J694)</f>
        <v/>
      </c>
      <c r="Q694" s="3">
        <f>P694/METRICS!$C$14*100</f>
        <v/>
      </c>
      <c r="R694" s="3">
        <f>METRICS!$C$14+P694</f>
        <v/>
      </c>
      <c r="S694" s="3">
        <f>MAX($R$3:R694)</f>
        <v/>
      </c>
      <c r="T694" s="3">
        <f>R694-S694</f>
        <v/>
      </c>
      <c r="U694" s="3">
        <f>(R694-S694)/S694*100</f>
        <v/>
      </c>
      <c r="V694" s="3">
        <f>IF(K694&lt;0, (K694/100)^2, 0)</f>
        <v/>
      </c>
    </row>
    <row r="695">
      <c r="A695" s="3">
        <f>TEXT(693, """T""0000")</f>
        <v/>
      </c>
      <c r="B695" s="3">
        <f>RAW_INPUT!A695</f>
        <v/>
      </c>
      <c r="C695" s="3">
        <f>RAW_INPUT!B695</f>
        <v/>
      </c>
      <c r="D695" s="3">
        <f>RAW_INPUT!D695</f>
        <v/>
      </c>
      <c r="E695" s="3">
        <f>D695-C695</f>
        <v/>
      </c>
      <c r="F695" s="3">
        <f>RAW_INPUT!C695</f>
        <v/>
      </c>
      <c r="G695" s="3">
        <f>RAW_INPUT!E695</f>
        <v/>
      </c>
      <c r="H695" s="3">
        <f>I695/F695</f>
        <v/>
      </c>
      <c r="I695" s="3">
        <f>METRICS!$C$14 * 0.02</f>
        <v/>
      </c>
      <c r="J695" s="3">
        <f>(G695-F695)*H695</f>
        <v/>
      </c>
      <c r="K695" s="3">
        <f>(G695-F695)/F695*100</f>
        <v/>
      </c>
      <c r="L695" s="3">
        <f>RAW_INPUT!F695</f>
        <v/>
      </c>
      <c r="M695" s="3">
        <f>K695-L695</f>
        <v/>
      </c>
      <c r="N695" s="3">
        <f>IF(J695&gt;0, 1, 0)</f>
        <v/>
      </c>
      <c r="O695" s="3">
        <f>IF(J695&lt;0, 1, 0)</f>
        <v/>
      </c>
      <c r="P695" s="3">
        <f>SUM($J$3:J695)</f>
        <v/>
      </c>
      <c r="Q695" s="3">
        <f>P695/METRICS!$C$14*100</f>
        <v/>
      </c>
      <c r="R695" s="3">
        <f>METRICS!$C$14+P695</f>
        <v/>
      </c>
      <c r="S695" s="3">
        <f>MAX($R$3:R695)</f>
        <v/>
      </c>
      <c r="T695" s="3">
        <f>R695-S695</f>
        <v/>
      </c>
      <c r="U695" s="3">
        <f>(R695-S695)/S695*100</f>
        <v/>
      </c>
      <c r="V695" s="3">
        <f>IF(K695&lt;0, (K695/100)^2, 0)</f>
        <v/>
      </c>
    </row>
    <row r="696">
      <c r="A696" s="3">
        <f>TEXT(694, """T""0000")</f>
        <v/>
      </c>
      <c r="B696" s="3">
        <f>RAW_INPUT!A696</f>
        <v/>
      </c>
      <c r="C696" s="3">
        <f>RAW_INPUT!B696</f>
        <v/>
      </c>
      <c r="D696" s="3">
        <f>RAW_INPUT!D696</f>
        <v/>
      </c>
      <c r="E696" s="3">
        <f>D696-C696</f>
        <v/>
      </c>
      <c r="F696" s="3">
        <f>RAW_INPUT!C696</f>
        <v/>
      </c>
      <c r="G696" s="3">
        <f>RAW_INPUT!E696</f>
        <v/>
      </c>
      <c r="H696" s="3">
        <f>I696/F696</f>
        <v/>
      </c>
      <c r="I696" s="3">
        <f>METRICS!$C$14 * 0.02</f>
        <v/>
      </c>
      <c r="J696" s="3">
        <f>(G696-F696)*H696</f>
        <v/>
      </c>
      <c r="K696" s="3">
        <f>(G696-F696)/F696*100</f>
        <v/>
      </c>
      <c r="L696" s="3">
        <f>RAW_INPUT!F696</f>
        <v/>
      </c>
      <c r="M696" s="3">
        <f>K696-L696</f>
        <v/>
      </c>
      <c r="N696" s="3">
        <f>IF(J696&gt;0, 1, 0)</f>
        <v/>
      </c>
      <c r="O696" s="3">
        <f>IF(J696&lt;0, 1, 0)</f>
        <v/>
      </c>
      <c r="P696" s="3">
        <f>SUM($J$3:J696)</f>
        <v/>
      </c>
      <c r="Q696" s="3">
        <f>P696/METRICS!$C$14*100</f>
        <v/>
      </c>
      <c r="R696" s="3">
        <f>METRICS!$C$14+P696</f>
        <v/>
      </c>
      <c r="S696" s="3">
        <f>MAX($R$3:R696)</f>
        <v/>
      </c>
      <c r="T696" s="3">
        <f>R696-S696</f>
        <v/>
      </c>
      <c r="U696" s="3">
        <f>(R696-S696)/S696*100</f>
        <v/>
      </c>
      <c r="V696" s="3">
        <f>IF(K696&lt;0, (K696/100)^2, 0)</f>
        <v/>
      </c>
    </row>
    <row r="697">
      <c r="A697" s="3">
        <f>TEXT(695, """T""0000")</f>
        <v/>
      </c>
      <c r="B697" s="3">
        <f>RAW_INPUT!A697</f>
        <v/>
      </c>
      <c r="C697" s="3">
        <f>RAW_INPUT!B697</f>
        <v/>
      </c>
      <c r="D697" s="3">
        <f>RAW_INPUT!D697</f>
        <v/>
      </c>
      <c r="E697" s="3">
        <f>D697-C697</f>
        <v/>
      </c>
      <c r="F697" s="3">
        <f>RAW_INPUT!C697</f>
        <v/>
      </c>
      <c r="G697" s="3">
        <f>RAW_INPUT!E697</f>
        <v/>
      </c>
      <c r="H697" s="3">
        <f>I697/F697</f>
        <v/>
      </c>
      <c r="I697" s="3">
        <f>METRICS!$C$14 * 0.02</f>
        <v/>
      </c>
      <c r="J697" s="3">
        <f>(G697-F697)*H697</f>
        <v/>
      </c>
      <c r="K697" s="3">
        <f>(G697-F697)/F697*100</f>
        <v/>
      </c>
      <c r="L697" s="3">
        <f>RAW_INPUT!F697</f>
        <v/>
      </c>
      <c r="M697" s="3">
        <f>K697-L697</f>
        <v/>
      </c>
      <c r="N697" s="3">
        <f>IF(J697&gt;0, 1, 0)</f>
        <v/>
      </c>
      <c r="O697" s="3">
        <f>IF(J697&lt;0, 1, 0)</f>
        <v/>
      </c>
      <c r="P697" s="3">
        <f>SUM($J$3:J697)</f>
        <v/>
      </c>
      <c r="Q697" s="3">
        <f>P697/METRICS!$C$14*100</f>
        <v/>
      </c>
      <c r="R697" s="3">
        <f>METRICS!$C$14+P697</f>
        <v/>
      </c>
      <c r="S697" s="3">
        <f>MAX($R$3:R697)</f>
        <v/>
      </c>
      <c r="T697" s="3">
        <f>R697-S697</f>
        <v/>
      </c>
      <c r="U697" s="3">
        <f>(R697-S697)/S697*100</f>
        <v/>
      </c>
      <c r="V697" s="3">
        <f>IF(K697&lt;0, (K697/100)^2, 0)</f>
        <v/>
      </c>
    </row>
    <row r="698">
      <c r="A698" s="3">
        <f>TEXT(696, """T""0000")</f>
        <v/>
      </c>
      <c r="B698" s="3">
        <f>RAW_INPUT!A698</f>
        <v/>
      </c>
      <c r="C698" s="3">
        <f>RAW_INPUT!B698</f>
        <v/>
      </c>
      <c r="D698" s="3">
        <f>RAW_INPUT!D698</f>
        <v/>
      </c>
      <c r="E698" s="3">
        <f>D698-C698</f>
        <v/>
      </c>
      <c r="F698" s="3">
        <f>RAW_INPUT!C698</f>
        <v/>
      </c>
      <c r="G698" s="3">
        <f>RAW_INPUT!E698</f>
        <v/>
      </c>
      <c r="H698" s="3">
        <f>I698/F698</f>
        <v/>
      </c>
      <c r="I698" s="3">
        <f>METRICS!$C$14 * 0.02</f>
        <v/>
      </c>
      <c r="J698" s="3">
        <f>(G698-F698)*H698</f>
        <v/>
      </c>
      <c r="K698" s="3">
        <f>(G698-F698)/F698*100</f>
        <v/>
      </c>
      <c r="L698" s="3">
        <f>RAW_INPUT!F698</f>
        <v/>
      </c>
      <c r="M698" s="3">
        <f>K698-L698</f>
        <v/>
      </c>
      <c r="N698" s="3">
        <f>IF(J698&gt;0, 1, 0)</f>
        <v/>
      </c>
      <c r="O698" s="3">
        <f>IF(J698&lt;0, 1, 0)</f>
        <v/>
      </c>
      <c r="P698" s="3">
        <f>SUM($J$3:J698)</f>
        <v/>
      </c>
      <c r="Q698" s="3">
        <f>P698/METRICS!$C$14*100</f>
        <v/>
      </c>
      <c r="R698" s="3">
        <f>METRICS!$C$14+P698</f>
        <v/>
      </c>
      <c r="S698" s="3">
        <f>MAX($R$3:R698)</f>
        <v/>
      </c>
      <c r="T698" s="3">
        <f>R698-S698</f>
        <v/>
      </c>
      <c r="U698" s="3">
        <f>(R698-S698)/S698*100</f>
        <v/>
      </c>
      <c r="V698" s="3">
        <f>IF(K698&lt;0, (K698/100)^2, 0)</f>
        <v/>
      </c>
    </row>
    <row r="699">
      <c r="A699" s="3">
        <f>TEXT(697, """T""0000")</f>
        <v/>
      </c>
      <c r="B699" s="3">
        <f>RAW_INPUT!A699</f>
        <v/>
      </c>
      <c r="C699" s="3">
        <f>RAW_INPUT!B699</f>
        <v/>
      </c>
      <c r="D699" s="3">
        <f>RAW_INPUT!D699</f>
        <v/>
      </c>
      <c r="E699" s="3">
        <f>D699-C699</f>
        <v/>
      </c>
      <c r="F699" s="3">
        <f>RAW_INPUT!C699</f>
        <v/>
      </c>
      <c r="G699" s="3">
        <f>RAW_INPUT!E699</f>
        <v/>
      </c>
      <c r="H699" s="3">
        <f>I699/F699</f>
        <v/>
      </c>
      <c r="I699" s="3">
        <f>METRICS!$C$14 * 0.02</f>
        <v/>
      </c>
      <c r="J699" s="3">
        <f>(G699-F699)*H699</f>
        <v/>
      </c>
      <c r="K699" s="3">
        <f>(G699-F699)/F699*100</f>
        <v/>
      </c>
      <c r="L699" s="3">
        <f>RAW_INPUT!F699</f>
        <v/>
      </c>
      <c r="M699" s="3">
        <f>K699-L699</f>
        <v/>
      </c>
      <c r="N699" s="3">
        <f>IF(J699&gt;0, 1, 0)</f>
        <v/>
      </c>
      <c r="O699" s="3">
        <f>IF(J699&lt;0, 1, 0)</f>
        <v/>
      </c>
      <c r="P699" s="3">
        <f>SUM($J$3:J699)</f>
        <v/>
      </c>
      <c r="Q699" s="3">
        <f>P699/METRICS!$C$14*100</f>
        <v/>
      </c>
      <c r="R699" s="3">
        <f>METRICS!$C$14+P699</f>
        <v/>
      </c>
      <c r="S699" s="3">
        <f>MAX($R$3:R699)</f>
        <v/>
      </c>
      <c r="T699" s="3">
        <f>R699-S699</f>
        <v/>
      </c>
      <c r="U699" s="3">
        <f>(R699-S699)/S699*100</f>
        <v/>
      </c>
      <c r="V699" s="3">
        <f>IF(K699&lt;0, (K699/100)^2, 0)</f>
        <v/>
      </c>
    </row>
    <row r="700">
      <c r="A700" s="3">
        <f>TEXT(698, """T""0000")</f>
        <v/>
      </c>
      <c r="B700" s="3">
        <f>RAW_INPUT!A700</f>
        <v/>
      </c>
      <c r="C700" s="3">
        <f>RAW_INPUT!B700</f>
        <v/>
      </c>
      <c r="D700" s="3">
        <f>RAW_INPUT!D700</f>
        <v/>
      </c>
      <c r="E700" s="3">
        <f>D700-C700</f>
        <v/>
      </c>
      <c r="F700" s="3">
        <f>RAW_INPUT!C700</f>
        <v/>
      </c>
      <c r="G700" s="3">
        <f>RAW_INPUT!E700</f>
        <v/>
      </c>
      <c r="H700" s="3">
        <f>I700/F700</f>
        <v/>
      </c>
      <c r="I700" s="3">
        <f>METRICS!$C$14 * 0.02</f>
        <v/>
      </c>
      <c r="J700" s="3">
        <f>(G700-F700)*H700</f>
        <v/>
      </c>
      <c r="K700" s="3">
        <f>(G700-F700)/F700*100</f>
        <v/>
      </c>
      <c r="L700" s="3">
        <f>RAW_INPUT!F700</f>
        <v/>
      </c>
      <c r="M700" s="3">
        <f>K700-L700</f>
        <v/>
      </c>
      <c r="N700" s="3">
        <f>IF(J700&gt;0, 1, 0)</f>
        <v/>
      </c>
      <c r="O700" s="3">
        <f>IF(J700&lt;0, 1, 0)</f>
        <v/>
      </c>
      <c r="P700" s="3">
        <f>SUM($J$3:J700)</f>
        <v/>
      </c>
      <c r="Q700" s="3">
        <f>P700/METRICS!$C$14*100</f>
        <v/>
      </c>
      <c r="R700" s="3">
        <f>METRICS!$C$14+P700</f>
        <v/>
      </c>
      <c r="S700" s="3">
        <f>MAX($R$3:R700)</f>
        <v/>
      </c>
      <c r="T700" s="3">
        <f>R700-S700</f>
        <v/>
      </c>
      <c r="U700" s="3">
        <f>(R700-S700)/S700*100</f>
        <v/>
      </c>
      <c r="V700" s="3">
        <f>IF(K700&lt;0, (K700/100)^2, 0)</f>
        <v/>
      </c>
    </row>
    <row r="701">
      <c r="A701" s="3">
        <f>TEXT(699, """T""0000")</f>
        <v/>
      </c>
      <c r="B701" s="3">
        <f>RAW_INPUT!A701</f>
        <v/>
      </c>
      <c r="C701" s="3">
        <f>RAW_INPUT!B701</f>
        <v/>
      </c>
      <c r="D701" s="3">
        <f>RAW_INPUT!D701</f>
        <v/>
      </c>
      <c r="E701" s="3">
        <f>D701-C701</f>
        <v/>
      </c>
      <c r="F701" s="3">
        <f>RAW_INPUT!C701</f>
        <v/>
      </c>
      <c r="G701" s="3">
        <f>RAW_INPUT!E701</f>
        <v/>
      </c>
      <c r="H701" s="3">
        <f>I701/F701</f>
        <v/>
      </c>
      <c r="I701" s="3">
        <f>METRICS!$C$14 * 0.02</f>
        <v/>
      </c>
      <c r="J701" s="3">
        <f>(G701-F701)*H701</f>
        <v/>
      </c>
      <c r="K701" s="3">
        <f>(G701-F701)/F701*100</f>
        <v/>
      </c>
      <c r="L701" s="3">
        <f>RAW_INPUT!F701</f>
        <v/>
      </c>
      <c r="M701" s="3">
        <f>K701-L701</f>
        <v/>
      </c>
      <c r="N701" s="3">
        <f>IF(J701&gt;0, 1, 0)</f>
        <v/>
      </c>
      <c r="O701" s="3">
        <f>IF(J701&lt;0, 1, 0)</f>
        <v/>
      </c>
      <c r="P701" s="3">
        <f>SUM($J$3:J701)</f>
        <v/>
      </c>
      <c r="Q701" s="3">
        <f>P701/METRICS!$C$14*100</f>
        <v/>
      </c>
      <c r="R701" s="3">
        <f>METRICS!$C$14+P701</f>
        <v/>
      </c>
      <c r="S701" s="3">
        <f>MAX($R$3:R701)</f>
        <v/>
      </c>
      <c r="T701" s="3">
        <f>R701-S701</f>
        <v/>
      </c>
      <c r="U701" s="3">
        <f>(R701-S701)/S701*100</f>
        <v/>
      </c>
      <c r="V701" s="3">
        <f>IF(K701&lt;0, (K701/100)^2, 0)</f>
        <v/>
      </c>
    </row>
    <row r="702">
      <c r="A702" s="3">
        <f>TEXT(700, """T""0000")</f>
        <v/>
      </c>
      <c r="B702" s="3">
        <f>RAW_INPUT!A702</f>
        <v/>
      </c>
      <c r="C702" s="3">
        <f>RAW_INPUT!B702</f>
        <v/>
      </c>
      <c r="D702" s="3">
        <f>RAW_INPUT!D702</f>
        <v/>
      </c>
      <c r="E702" s="3">
        <f>D702-C702</f>
        <v/>
      </c>
      <c r="F702" s="3">
        <f>RAW_INPUT!C702</f>
        <v/>
      </c>
      <c r="G702" s="3">
        <f>RAW_INPUT!E702</f>
        <v/>
      </c>
      <c r="H702" s="3">
        <f>I702/F702</f>
        <v/>
      </c>
      <c r="I702" s="3">
        <f>METRICS!$C$14 * 0.02</f>
        <v/>
      </c>
      <c r="J702" s="3">
        <f>(G702-F702)*H702</f>
        <v/>
      </c>
      <c r="K702" s="3">
        <f>(G702-F702)/F702*100</f>
        <v/>
      </c>
      <c r="L702" s="3">
        <f>RAW_INPUT!F702</f>
        <v/>
      </c>
      <c r="M702" s="3">
        <f>K702-L702</f>
        <v/>
      </c>
      <c r="N702" s="3">
        <f>IF(J702&gt;0, 1, 0)</f>
        <v/>
      </c>
      <c r="O702" s="3">
        <f>IF(J702&lt;0, 1, 0)</f>
        <v/>
      </c>
      <c r="P702" s="3">
        <f>SUM($J$3:J702)</f>
        <v/>
      </c>
      <c r="Q702" s="3">
        <f>P702/METRICS!$C$14*100</f>
        <v/>
      </c>
      <c r="R702" s="3">
        <f>METRICS!$C$14+P702</f>
        <v/>
      </c>
      <c r="S702" s="3">
        <f>MAX($R$3:R702)</f>
        <v/>
      </c>
      <c r="T702" s="3">
        <f>R702-S702</f>
        <v/>
      </c>
      <c r="U702" s="3">
        <f>(R702-S702)/S702*100</f>
        <v/>
      </c>
      <c r="V702" s="3">
        <f>IF(K702&lt;0, (K702/100)^2, 0)</f>
        <v/>
      </c>
    </row>
    <row r="703">
      <c r="A703" s="3">
        <f>TEXT(701, """T""0000")</f>
        <v/>
      </c>
      <c r="B703" s="3">
        <f>RAW_INPUT!A703</f>
        <v/>
      </c>
      <c r="C703" s="3">
        <f>RAW_INPUT!B703</f>
        <v/>
      </c>
      <c r="D703" s="3">
        <f>RAW_INPUT!D703</f>
        <v/>
      </c>
      <c r="E703" s="3">
        <f>D703-C703</f>
        <v/>
      </c>
      <c r="F703" s="3">
        <f>RAW_INPUT!C703</f>
        <v/>
      </c>
      <c r="G703" s="3">
        <f>RAW_INPUT!E703</f>
        <v/>
      </c>
      <c r="H703" s="3">
        <f>I703/F703</f>
        <v/>
      </c>
      <c r="I703" s="3">
        <f>METRICS!$C$14 * 0.02</f>
        <v/>
      </c>
      <c r="J703" s="3">
        <f>(G703-F703)*H703</f>
        <v/>
      </c>
      <c r="K703" s="3">
        <f>(G703-F703)/F703*100</f>
        <v/>
      </c>
      <c r="L703" s="3">
        <f>RAW_INPUT!F703</f>
        <v/>
      </c>
      <c r="M703" s="3">
        <f>K703-L703</f>
        <v/>
      </c>
      <c r="N703" s="3">
        <f>IF(J703&gt;0, 1, 0)</f>
        <v/>
      </c>
      <c r="O703" s="3">
        <f>IF(J703&lt;0, 1, 0)</f>
        <v/>
      </c>
      <c r="P703" s="3">
        <f>SUM($J$3:J703)</f>
        <v/>
      </c>
      <c r="Q703" s="3">
        <f>P703/METRICS!$C$14*100</f>
        <v/>
      </c>
      <c r="R703" s="3">
        <f>METRICS!$C$14+P703</f>
        <v/>
      </c>
      <c r="S703" s="3">
        <f>MAX($R$3:R703)</f>
        <v/>
      </c>
      <c r="T703" s="3">
        <f>R703-S703</f>
        <v/>
      </c>
      <c r="U703" s="3">
        <f>(R703-S703)/S703*100</f>
        <v/>
      </c>
      <c r="V703" s="3">
        <f>IF(K703&lt;0, (K703/100)^2, 0)</f>
        <v/>
      </c>
    </row>
    <row r="704">
      <c r="A704" s="3">
        <f>TEXT(702, """T""0000")</f>
        <v/>
      </c>
      <c r="B704" s="3">
        <f>RAW_INPUT!A704</f>
        <v/>
      </c>
      <c r="C704" s="3">
        <f>RAW_INPUT!B704</f>
        <v/>
      </c>
      <c r="D704" s="3">
        <f>RAW_INPUT!D704</f>
        <v/>
      </c>
      <c r="E704" s="3">
        <f>D704-C704</f>
        <v/>
      </c>
      <c r="F704" s="3">
        <f>RAW_INPUT!C704</f>
        <v/>
      </c>
      <c r="G704" s="3">
        <f>RAW_INPUT!E704</f>
        <v/>
      </c>
      <c r="H704" s="3">
        <f>I704/F704</f>
        <v/>
      </c>
      <c r="I704" s="3">
        <f>METRICS!$C$14 * 0.02</f>
        <v/>
      </c>
      <c r="J704" s="3">
        <f>(G704-F704)*H704</f>
        <v/>
      </c>
      <c r="K704" s="3">
        <f>(G704-F704)/F704*100</f>
        <v/>
      </c>
      <c r="L704" s="3">
        <f>RAW_INPUT!F704</f>
        <v/>
      </c>
      <c r="M704" s="3">
        <f>K704-L704</f>
        <v/>
      </c>
      <c r="N704" s="3">
        <f>IF(J704&gt;0, 1, 0)</f>
        <v/>
      </c>
      <c r="O704" s="3">
        <f>IF(J704&lt;0, 1, 0)</f>
        <v/>
      </c>
      <c r="P704" s="3">
        <f>SUM($J$3:J704)</f>
        <v/>
      </c>
      <c r="Q704" s="3">
        <f>P704/METRICS!$C$14*100</f>
        <v/>
      </c>
      <c r="R704" s="3">
        <f>METRICS!$C$14+P704</f>
        <v/>
      </c>
      <c r="S704" s="3">
        <f>MAX($R$3:R704)</f>
        <v/>
      </c>
      <c r="T704" s="3">
        <f>R704-S704</f>
        <v/>
      </c>
      <c r="U704" s="3">
        <f>(R704-S704)/S704*100</f>
        <v/>
      </c>
      <c r="V704" s="3">
        <f>IF(K704&lt;0, (K704/100)^2, 0)</f>
        <v/>
      </c>
    </row>
    <row r="705">
      <c r="A705" s="3">
        <f>TEXT(703, """T""0000")</f>
        <v/>
      </c>
      <c r="B705" s="3">
        <f>RAW_INPUT!A705</f>
        <v/>
      </c>
      <c r="C705" s="3">
        <f>RAW_INPUT!B705</f>
        <v/>
      </c>
      <c r="D705" s="3">
        <f>RAW_INPUT!D705</f>
        <v/>
      </c>
      <c r="E705" s="3">
        <f>D705-C705</f>
        <v/>
      </c>
      <c r="F705" s="3">
        <f>RAW_INPUT!C705</f>
        <v/>
      </c>
      <c r="G705" s="3">
        <f>RAW_INPUT!E705</f>
        <v/>
      </c>
      <c r="H705" s="3">
        <f>I705/F705</f>
        <v/>
      </c>
      <c r="I705" s="3">
        <f>METRICS!$C$14 * 0.02</f>
        <v/>
      </c>
      <c r="J705" s="3">
        <f>(G705-F705)*H705</f>
        <v/>
      </c>
      <c r="K705" s="3">
        <f>(G705-F705)/F705*100</f>
        <v/>
      </c>
      <c r="L705" s="3">
        <f>RAW_INPUT!F705</f>
        <v/>
      </c>
      <c r="M705" s="3">
        <f>K705-L705</f>
        <v/>
      </c>
      <c r="N705" s="3">
        <f>IF(J705&gt;0, 1, 0)</f>
        <v/>
      </c>
      <c r="O705" s="3">
        <f>IF(J705&lt;0, 1, 0)</f>
        <v/>
      </c>
      <c r="P705" s="3">
        <f>SUM($J$3:J705)</f>
        <v/>
      </c>
      <c r="Q705" s="3">
        <f>P705/METRICS!$C$14*100</f>
        <v/>
      </c>
      <c r="R705" s="3">
        <f>METRICS!$C$14+P705</f>
        <v/>
      </c>
      <c r="S705" s="3">
        <f>MAX($R$3:R705)</f>
        <v/>
      </c>
      <c r="T705" s="3">
        <f>R705-S705</f>
        <v/>
      </c>
      <c r="U705" s="3">
        <f>(R705-S705)/S705*100</f>
        <v/>
      </c>
      <c r="V705" s="3">
        <f>IF(K705&lt;0, (K705/100)^2, 0)</f>
        <v/>
      </c>
    </row>
    <row r="706">
      <c r="A706" s="3">
        <f>TEXT(704, """T""0000")</f>
        <v/>
      </c>
      <c r="B706" s="3">
        <f>RAW_INPUT!A706</f>
        <v/>
      </c>
      <c r="C706" s="3">
        <f>RAW_INPUT!B706</f>
        <v/>
      </c>
      <c r="D706" s="3">
        <f>RAW_INPUT!D706</f>
        <v/>
      </c>
      <c r="E706" s="3">
        <f>D706-C706</f>
        <v/>
      </c>
      <c r="F706" s="3">
        <f>RAW_INPUT!C706</f>
        <v/>
      </c>
      <c r="G706" s="3">
        <f>RAW_INPUT!E706</f>
        <v/>
      </c>
      <c r="H706" s="3">
        <f>I706/F706</f>
        <v/>
      </c>
      <c r="I706" s="3">
        <f>METRICS!$C$14 * 0.02</f>
        <v/>
      </c>
      <c r="J706" s="3">
        <f>(G706-F706)*H706</f>
        <v/>
      </c>
      <c r="K706" s="3">
        <f>(G706-F706)/F706*100</f>
        <v/>
      </c>
      <c r="L706" s="3">
        <f>RAW_INPUT!F706</f>
        <v/>
      </c>
      <c r="M706" s="3">
        <f>K706-L706</f>
        <v/>
      </c>
      <c r="N706" s="3">
        <f>IF(J706&gt;0, 1, 0)</f>
        <v/>
      </c>
      <c r="O706" s="3">
        <f>IF(J706&lt;0, 1, 0)</f>
        <v/>
      </c>
      <c r="P706" s="3">
        <f>SUM($J$3:J706)</f>
        <v/>
      </c>
      <c r="Q706" s="3">
        <f>P706/METRICS!$C$14*100</f>
        <v/>
      </c>
      <c r="R706" s="3">
        <f>METRICS!$C$14+P706</f>
        <v/>
      </c>
      <c r="S706" s="3">
        <f>MAX($R$3:R706)</f>
        <v/>
      </c>
      <c r="T706" s="3">
        <f>R706-S706</f>
        <v/>
      </c>
      <c r="U706" s="3">
        <f>(R706-S706)/S706*100</f>
        <v/>
      </c>
      <c r="V706" s="3">
        <f>IF(K706&lt;0, (K706/100)^2, 0)</f>
        <v/>
      </c>
    </row>
    <row r="707">
      <c r="A707" s="3">
        <f>TEXT(705, """T""0000")</f>
        <v/>
      </c>
      <c r="B707" s="3">
        <f>RAW_INPUT!A707</f>
        <v/>
      </c>
      <c r="C707" s="3">
        <f>RAW_INPUT!B707</f>
        <v/>
      </c>
      <c r="D707" s="3">
        <f>RAW_INPUT!D707</f>
        <v/>
      </c>
      <c r="E707" s="3">
        <f>D707-C707</f>
        <v/>
      </c>
      <c r="F707" s="3">
        <f>RAW_INPUT!C707</f>
        <v/>
      </c>
      <c r="G707" s="3">
        <f>RAW_INPUT!E707</f>
        <v/>
      </c>
      <c r="H707" s="3">
        <f>I707/F707</f>
        <v/>
      </c>
      <c r="I707" s="3">
        <f>METRICS!$C$14 * 0.02</f>
        <v/>
      </c>
      <c r="J707" s="3">
        <f>(G707-F707)*H707</f>
        <v/>
      </c>
      <c r="K707" s="3">
        <f>(G707-F707)/F707*100</f>
        <v/>
      </c>
      <c r="L707" s="3">
        <f>RAW_INPUT!F707</f>
        <v/>
      </c>
      <c r="M707" s="3">
        <f>K707-L707</f>
        <v/>
      </c>
      <c r="N707" s="3">
        <f>IF(J707&gt;0, 1, 0)</f>
        <v/>
      </c>
      <c r="O707" s="3">
        <f>IF(J707&lt;0, 1, 0)</f>
        <v/>
      </c>
      <c r="P707" s="3">
        <f>SUM($J$3:J707)</f>
        <v/>
      </c>
      <c r="Q707" s="3">
        <f>P707/METRICS!$C$14*100</f>
        <v/>
      </c>
      <c r="R707" s="3">
        <f>METRICS!$C$14+P707</f>
        <v/>
      </c>
      <c r="S707" s="3">
        <f>MAX($R$3:R707)</f>
        <v/>
      </c>
      <c r="T707" s="3">
        <f>R707-S707</f>
        <v/>
      </c>
      <c r="U707" s="3">
        <f>(R707-S707)/S707*100</f>
        <v/>
      </c>
      <c r="V707" s="3">
        <f>IF(K707&lt;0, (K707/100)^2, 0)</f>
        <v/>
      </c>
    </row>
    <row r="708">
      <c r="A708" s="3">
        <f>TEXT(706, """T""0000")</f>
        <v/>
      </c>
      <c r="B708" s="3">
        <f>RAW_INPUT!A708</f>
        <v/>
      </c>
      <c r="C708" s="3">
        <f>RAW_INPUT!B708</f>
        <v/>
      </c>
      <c r="D708" s="3">
        <f>RAW_INPUT!D708</f>
        <v/>
      </c>
      <c r="E708" s="3">
        <f>D708-C708</f>
        <v/>
      </c>
      <c r="F708" s="3">
        <f>RAW_INPUT!C708</f>
        <v/>
      </c>
      <c r="G708" s="3">
        <f>RAW_INPUT!E708</f>
        <v/>
      </c>
      <c r="H708" s="3">
        <f>I708/F708</f>
        <v/>
      </c>
      <c r="I708" s="3">
        <f>METRICS!$C$14 * 0.02</f>
        <v/>
      </c>
      <c r="J708" s="3">
        <f>(G708-F708)*H708</f>
        <v/>
      </c>
      <c r="K708" s="3">
        <f>(G708-F708)/F708*100</f>
        <v/>
      </c>
      <c r="L708" s="3">
        <f>RAW_INPUT!F708</f>
        <v/>
      </c>
      <c r="M708" s="3">
        <f>K708-L708</f>
        <v/>
      </c>
      <c r="N708" s="3">
        <f>IF(J708&gt;0, 1, 0)</f>
        <v/>
      </c>
      <c r="O708" s="3">
        <f>IF(J708&lt;0, 1, 0)</f>
        <v/>
      </c>
      <c r="P708" s="3">
        <f>SUM($J$3:J708)</f>
        <v/>
      </c>
      <c r="Q708" s="3">
        <f>P708/METRICS!$C$14*100</f>
        <v/>
      </c>
      <c r="R708" s="3">
        <f>METRICS!$C$14+P708</f>
        <v/>
      </c>
      <c r="S708" s="3">
        <f>MAX($R$3:R708)</f>
        <v/>
      </c>
      <c r="T708" s="3">
        <f>R708-S708</f>
        <v/>
      </c>
      <c r="U708" s="3">
        <f>(R708-S708)/S708*100</f>
        <v/>
      </c>
      <c r="V708" s="3">
        <f>IF(K708&lt;0, (K708/100)^2, 0)</f>
        <v/>
      </c>
    </row>
    <row r="709">
      <c r="A709" s="3">
        <f>TEXT(707, """T""0000")</f>
        <v/>
      </c>
      <c r="B709" s="3">
        <f>RAW_INPUT!A709</f>
        <v/>
      </c>
      <c r="C709" s="3">
        <f>RAW_INPUT!B709</f>
        <v/>
      </c>
      <c r="D709" s="3">
        <f>RAW_INPUT!D709</f>
        <v/>
      </c>
      <c r="E709" s="3">
        <f>D709-C709</f>
        <v/>
      </c>
      <c r="F709" s="3">
        <f>RAW_INPUT!C709</f>
        <v/>
      </c>
      <c r="G709" s="3">
        <f>RAW_INPUT!E709</f>
        <v/>
      </c>
      <c r="H709" s="3">
        <f>I709/F709</f>
        <v/>
      </c>
      <c r="I709" s="3">
        <f>METRICS!$C$14 * 0.02</f>
        <v/>
      </c>
      <c r="J709" s="3">
        <f>(G709-F709)*H709</f>
        <v/>
      </c>
      <c r="K709" s="3">
        <f>(G709-F709)/F709*100</f>
        <v/>
      </c>
      <c r="L709" s="3">
        <f>RAW_INPUT!F709</f>
        <v/>
      </c>
      <c r="M709" s="3">
        <f>K709-L709</f>
        <v/>
      </c>
      <c r="N709" s="3">
        <f>IF(J709&gt;0, 1, 0)</f>
        <v/>
      </c>
      <c r="O709" s="3">
        <f>IF(J709&lt;0, 1, 0)</f>
        <v/>
      </c>
      <c r="P709" s="3">
        <f>SUM($J$3:J709)</f>
        <v/>
      </c>
      <c r="Q709" s="3">
        <f>P709/METRICS!$C$14*100</f>
        <v/>
      </c>
      <c r="R709" s="3">
        <f>METRICS!$C$14+P709</f>
        <v/>
      </c>
      <c r="S709" s="3">
        <f>MAX($R$3:R709)</f>
        <v/>
      </c>
      <c r="T709" s="3">
        <f>R709-S709</f>
        <v/>
      </c>
      <c r="U709" s="3">
        <f>(R709-S709)/S709*100</f>
        <v/>
      </c>
      <c r="V709" s="3">
        <f>IF(K709&lt;0, (K709/100)^2, 0)</f>
        <v/>
      </c>
    </row>
    <row r="710">
      <c r="A710" s="3">
        <f>TEXT(708, """T""0000")</f>
        <v/>
      </c>
      <c r="B710" s="3">
        <f>RAW_INPUT!A710</f>
        <v/>
      </c>
      <c r="C710" s="3">
        <f>RAW_INPUT!B710</f>
        <v/>
      </c>
      <c r="D710" s="3">
        <f>RAW_INPUT!D710</f>
        <v/>
      </c>
      <c r="E710" s="3">
        <f>D710-C710</f>
        <v/>
      </c>
      <c r="F710" s="3">
        <f>RAW_INPUT!C710</f>
        <v/>
      </c>
      <c r="G710" s="3">
        <f>RAW_INPUT!E710</f>
        <v/>
      </c>
      <c r="H710" s="3">
        <f>I710/F710</f>
        <v/>
      </c>
      <c r="I710" s="3">
        <f>METRICS!$C$14 * 0.02</f>
        <v/>
      </c>
      <c r="J710" s="3">
        <f>(G710-F710)*H710</f>
        <v/>
      </c>
      <c r="K710" s="3">
        <f>(G710-F710)/F710*100</f>
        <v/>
      </c>
      <c r="L710" s="3">
        <f>RAW_INPUT!F710</f>
        <v/>
      </c>
      <c r="M710" s="3">
        <f>K710-L710</f>
        <v/>
      </c>
      <c r="N710" s="3">
        <f>IF(J710&gt;0, 1, 0)</f>
        <v/>
      </c>
      <c r="O710" s="3">
        <f>IF(J710&lt;0, 1, 0)</f>
        <v/>
      </c>
      <c r="P710" s="3">
        <f>SUM($J$3:J710)</f>
        <v/>
      </c>
      <c r="Q710" s="3">
        <f>P710/METRICS!$C$14*100</f>
        <v/>
      </c>
      <c r="R710" s="3">
        <f>METRICS!$C$14+P710</f>
        <v/>
      </c>
      <c r="S710" s="3">
        <f>MAX($R$3:R710)</f>
        <v/>
      </c>
      <c r="T710" s="3">
        <f>R710-S710</f>
        <v/>
      </c>
      <c r="U710" s="3">
        <f>(R710-S710)/S710*100</f>
        <v/>
      </c>
      <c r="V710" s="3">
        <f>IF(K710&lt;0, (K710/100)^2, 0)</f>
        <v/>
      </c>
    </row>
    <row r="711">
      <c r="A711" s="3">
        <f>TEXT(709, """T""0000")</f>
        <v/>
      </c>
      <c r="B711" s="3">
        <f>RAW_INPUT!A711</f>
        <v/>
      </c>
      <c r="C711" s="3">
        <f>RAW_INPUT!B711</f>
        <v/>
      </c>
      <c r="D711" s="3">
        <f>RAW_INPUT!D711</f>
        <v/>
      </c>
      <c r="E711" s="3">
        <f>D711-C711</f>
        <v/>
      </c>
      <c r="F711" s="3">
        <f>RAW_INPUT!C711</f>
        <v/>
      </c>
      <c r="G711" s="3">
        <f>RAW_INPUT!E711</f>
        <v/>
      </c>
      <c r="H711" s="3">
        <f>I711/F711</f>
        <v/>
      </c>
      <c r="I711" s="3">
        <f>METRICS!$C$14 * 0.02</f>
        <v/>
      </c>
      <c r="J711" s="3">
        <f>(G711-F711)*H711</f>
        <v/>
      </c>
      <c r="K711" s="3">
        <f>(G711-F711)/F711*100</f>
        <v/>
      </c>
      <c r="L711" s="3">
        <f>RAW_INPUT!F711</f>
        <v/>
      </c>
      <c r="M711" s="3">
        <f>K711-L711</f>
        <v/>
      </c>
      <c r="N711" s="3">
        <f>IF(J711&gt;0, 1, 0)</f>
        <v/>
      </c>
      <c r="O711" s="3">
        <f>IF(J711&lt;0, 1, 0)</f>
        <v/>
      </c>
      <c r="P711" s="3">
        <f>SUM($J$3:J711)</f>
        <v/>
      </c>
      <c r="Q711" s="3">
        <f>P711/METRICS!$C$14*100</f>
        <v/>
      </c>
      <c r="R711" s="3">
        <f>METRICS!$C$14+P711</f>
        <v/>
      </c>
      <c r="S711" s="3">
        <f>MAX($R$3:R711)</f>
        <v/>
      </c>
      <c r="T711" s="3">
        <f>R711-S711</f>
        <v/>
      </c>
      <c r="U711" s="3">
        <f>(R711-S711)/S711*100</f>
        <v/>
      </c>
      <c r="V711" s="3">
        <f>IF(K711&lt;0, (K711/100)^2, 0)</f>
        <v/>
      </c>
    </row>
    <row r="712">
      <c r="A712" s="3">
        <f>TEXT(710, """T""0000")</f>
        <v/>
      </c>
      <c r="B712" s="3">
        <f>RAW_INPUT!A712</f>
        <v/>
      </c>
      <c r="C712" s="3">
        <f>RAW_INPUT!B712</f>
        <v/>
      </c>
      <c r="D712" s="3">
        <f>RAW_INPUT!D712</f>
        <v/>
      </c>
      <c r="E712" s="3">
        <f>D712-C712</f>
        <v/>
      </c>
      <c r="F712" s="3">
        <f>RAW_INPUT!C712</f>
        <v/>
      </c>
      <c r="G712" s="3">
        <f>RAW_INPUT!E712</f>
        <v/>
      </c>
      <c r="H712" s="3">
        <f>I712/F712</f>
        <v/>
      </c>
      <c r="I712" s="3">
        <f>METRICS!$C$14 * 0.02</f>
        <v/>
      </c>
      <c r="J712" s="3">
        <f>(G712-F712)*H712</f>
        <v/>
      </c>
      <c r="K712" s="3">
        <f>(G712-F712)/F712*100</f>
        <v/>
      </c>
      <c r="L712" s="3">
        <f>RAW_INPUT!F712</f>
        <v/>
      </c>
      <c r="M712" s="3">
        <f>K712-L712</f>
        <v/>
      </c>
      <c r="N712" s="3">
        <f>IF(J712&gt;0, 1, 0)</f>
        <v/>
      </c>
      <c r="O712" s="3">
        <f>IF(J712&lt;0, 1, 0)</f>
        <v/>
      </c>
      <c r="P712" s="3">
        <f>SUM($J$3:J712)</f>
        <v/>
      </c>
      <c r="Q712" s="3">
        <f>P712/METRICS!$C$14*100</f>
        <v/>
      </c>
      <c r="R712" s="3">
        <f>METRICS!$C$14+P712</f>
        <v/>
      </c>
      <c r="S712" s="3">
        <f>MAX($R$3:R712)</f>
        <v/>
      </c>
      <c r="T712" s="3">
        <f>R712-S712</f>
        <v/>
      </c>
      <c r="U712" s="3">
        <f>(R712-S712)/S712*100</f>
        <v/>
      </c>
      <c r="V712" s="3">
        <f>IF(K712&lt;0, (K712/100)^2, 0)</f>
        <v/>
      </c>
    </row>
    <row r="713">
      <c r="A713" s="3">
        <f>TEXT(711, """T""0000")</f>
        <v/>
      </c>
      <c r="B713" s="3">
        <f>RAW_INPUT!A713</f>
        <v/>
      </c>
      <c r="C713" s="3">
        <f>RAW_INPUT!B713</f>
        <v/>
      </c>
      <c r="D713" s="3">
        <f>RAW_INPUT!D713</f>
        <v/>
      </c>
      <c r="E713" s="3">
        <f>D713-C713</f>
        <v/>
      </c>
      <c r="F713" s="3">
        <f>RAW_INPUT!C713</f>
        <v/>
      </c>
      <c r="G713" s="3">
        <f>RAW_INPUT!E713</f>
        <v/>
      </c>
      <c r="H713" s="3">
        <f>I713/F713</f>
        <v/>
      </c>
      <c r="I713" s="3">
        <f>METRICS!$C$14 * 0.02</f>
        <v/>
      </c>
      <c r="J713" s="3">
        <f>(G713-F713)*H713</f>
        <v/>
      </c>
      <c r="K713" s="3">
        <f>(G713-F713)/F713*100</f>
        <v/>
      </c>
      <c r="L713" s="3">
        <f>RAW_INPUT!F713</f>
        <v/>
      </c>
      <c r="M713" s="3">
        <f>K713-L713</f>
        <v/>
      </c>
      <c r="N713" s="3">
        <f>IF(J713&gt;0, 1, 0)</f>
        <v/>
      </c>
      <c r="O713" s="3">
        <f>IF(J713&lt;0, 1, 0)</f>
        <v/>
      </c>
      <c r="P713" s="3">
        <f>SUM($J$3:J713)</f>
        <v/>
      </c>
      <c r="Q713" s="3">
        <f>P713/METRICS!$C$14*100</f>
        <v/>
      </c>
      <c r="R713" s="3">
        <f>METRICS!$C$14+P713</f>
        <v/>
      </c>
      <c r="S713" s="3">
        <f>MAX($R$3:R713)</f>
        <v/>
      </c>
      <c r="T713" s="3">
        <f>R713-S713</f>
        <v/>
      </c>
      <c r="U713" s="3">
        <f>(R713-S713)/S713*100</f>
        <v/>
      </c>
      <c r="V713" s="3">
        <f>IF(K713&lt;0, (K713/100)^2, 0)</f>
        <v/>
      </c>
    </row>
    <row r="714">
      <c r="A714" s="3">
        <f>TEXT(712, """T""0000")</f>
        <v/>
      </c>
      <c r="B714" s="3">
        <f>RAW_INPUT!A714</f>
        <v/>
      </c>
      <c r="C714" s="3">
        <f>RAW_INPUT!B714</f>
        <v/>
      </c>
      <c r="D714" s="3">
        <f>RAW_INPUT!D714</f>
        <v/>
      </c>
      <c r="E714" s="3">
        <f>D714-C714</f>
        <v/>
      </c>
      <c r="F714" s="3">
        <f>RAW_INPUT!C714</f>
        <v/>
      </c>
      <c r="G714" s="3">
        <f>RAW_INPUT!E714</f>
        <v/>
      </c>
      <c r="H714" s="3">
        <f>I714/F714</f>
        <v/>
      </c>
      <c r="I714" s="3">
        <f>METRICS!$C$14 * 0.02</f>
        <v/>
      </c>
      <c r="J714" s="3">
        <f>(G714-F714)*H714</f>
        <v/>
      </c>
      <c r="K714" s="3">
        <f>(G714-F714)/F714*100</f>
        <v/>
      </c>
      <c r="L714" s="3">
        <f>RAW_INPUT!F714</f>
        <v/>
      </c>
      <c r="M714" s="3">
        <f>K714-L714</f>
        <v/>
      </c>
      <c r="N714" s="3">
        <f>IF(J714&gt;0, 1, 0)</f>
        <v/>
      </c>
      <c r="O714" s="3">
        <f>IF(J714&lt;0, 1, 0)</f>
        <v/>
      </c>
      <c r="P714" s="3">
        <f>SUM($J$3:J714)</f>
        <v/>
      </c>
      <c r="Q714" s="3">
        <f>P714/METRICS!$C$14*100</f>
        <v/>
      </c>
      <c r="R714" s="3">
        <f>METRICS!$C$14+P714</f>
        <v/>
      </c>
      <c r="S714" s="3">
        <f>MAX($R$3:R714)</f>
        <v/>
      </c>
      <c r="T714" s="3">
        <f>R714-S714</f>
        <v/>
      </c>
      <c r="U714" s="3">
        <f>(R714-S714)/S714*100</f>
        <v/>
      </c>
      <c r="V714" s="3">
        <f>IF(K714&lt;0, (K714/100)^2, 0)</f>
        <v/>
      </c>
    </row>
    <row r="715">
      <c r="A715" s="3">
        <f>TEXT(713, """T""0000")</f>
        <v/>
      </c>
      <c r="B715" s="3">
        <f>RAW_INPUT!A715</f>
        <v/>
      </c>
      <c r="C715" s="3">
        <f>RAW_INPUT!B715</f>
        <v/>
      </c>
      <c r="D715" s="3">
        <f>RAW_INPUT!D715</f>
        <v/>
      </c>
      <c r="E715" s="3">
        <f>D715-C715</f>
        <v/>
      </c>
      <c r="F715" s="3">
        <f>RAW_INPUT!C715</f>
        <v/>
      </c>
      <c r="G715" s="3">
        <f>RAW_INPUT!E715</f>
        <v/>
      </c>
      <c r="H715" s="3">
        <f>I715/F715</f>
        <v/>
      </c>
      <c r="I715" s="3">
        <f>METRICS!$C$14 * 0.02</f>
        <v/>
      </c>
      <c r="J715" s="3">
        <f>(G715-F715)*H715</f>
        <v/>
      </c>
      <c r="K715" s="3">
        <f>(G715-F715)/F715*100</f>
        <v/>
      </c>
      <c r="L715" s="3">
        <f>RAW_INPUT!F715</f>
        <v/>
      </c>
      <c r="M715" s="3">
        <f>K715-L715</f>
        <v/>
      </c>
      <c r="N715" s="3">
        <f>IF(J715&gt;0, 1, 0)</f>
        <v/>
      </c>
      <c r="O715" s="3">
        <f>IF(J715&lt;0, 1, 0)</f>
        <v/>
      </c>
      <c r="P715" s="3">
        <f>SUM($J$3:J715)</f>
        <v/>
      </c>
      <c r="Q715" s="3">
        <f>P715/METRICS!$C$14*100</f>
        <v/>
      </c>
      <c r="R715" s="3">
        <f>METRICS!$C$14+P715</f>
        <v/>
      </c>
      <c r="S715" s="3">
        <f>MAX($R$3:R715)</f>
        <v/>
      </c>
      <c r="T715" s="3">
        <f>R715-S715</f>
        <v/>
      </c>
      <c r="U715" s="3">
        <f>(R715-S715)/S715*100</f>
        <v/>
      </c>
      <c r="V715" s="3">
        <f>IF(K715&lt;0, (K715/100)^2, 0)</f>
        <v/>
      </c>
    </row>
    <row r="716">
      <c r="A716" s="3">
        <f>TEXT(714, """T""0000")</f>
        <v/>
      </c>
      <c r="B716" s="3">
        <f>RAW_INPUT!A716</f>
        <v/>
      </c>
      <c r="C716" s="3">
        <f>RAW_INPUT!B716</f>
        <v/>
      </c>
      <c r="D716" s="3">
        <f>RAW_INPUT!D716</f>
        <v/>
      </c>
      <c r="E716" s="3">
        <f>D716-C716</f>
        <v/>
      </c>
      <c r="F716" s="3">
        <f>RAW_INPUT!C716</f>
        <v/>
      </c>
      <c r="G716" s="3">
        <f>RAW_INPUT!E716</f>
        <v/>
      </c>
      <c r="H716" s="3">
        <f>I716/F716</f>
        <v/>
      </c>
      <c r="I716" s="3">
        <f>METRICS!$C$14 * 0.02</f>
        <v/>
      </c>
      <c r="J716" s="3">
        <f>(G716-F716)*H716</f>
        <v/>
      </c>
      <c r="K716" s="3">
        <f>(G716-F716)/F716*100</f>
        <v/>
      </c>
      <c r="L716" s="3">
        <f>RAW_INPUT!F716</f>
        <v/>
      </c>
      <c r="M716" s="3">
        <f>K716-L716</f>
        <v/>
      </c>
      <c r="N716" s="3">
        <f>IF(J716&gt;0, 1, 0)</f>
        <v/>
      </c>
      <c r="O716" s="3">
        <f>IF(J716&lt;0, 1, 0)</f>
        <v/>
      </c>
      <c r="P716" s="3">
        <f>SUM($J$3:J716)</f>
        <v/>
      </c>
      <c r="Q716" s="3">
        <f>P716/METRICS!$C$14*100</f>
        <v/>
      </c>
      <c r="R716" s="3">
        <f>METRICS!$C$14+P716</f>
        <v/>
      </c>
      <c r="S716" s="3">
        <f>MAX($R$3:R716)</f>
        <v/>
      </c>
      <c r="T716" s="3">
        <f>R716-S716</f>
        <v/>
      </c>
      <c r="U716" s="3">
        <f>(R716-S716)/S716*100</f>
        <v/>
      </c>
      <c r="V716" s="3">
        <f>IF(K716&lt;0, (K716/100)^2, 0)</f>
        <v/>
      </c>
    </row>
    <row r="717">
      <c r="A717" s="3">
        <f>TEXT(715, """T""0000")</f>
        <v/>
      </c>
      <c r="B717" s="3">
        <f>RAW_INPUT!A717</f>
        <v/>
      </c>
      <c r="C717" s="3">
        <f>RAW_INPUT!B717</f>
        <v/>
      </c>
      <c r="D717" s="3">
        <f>RAW_INPUT!D717</f>
        <v/>
      </c>
      <c r="E717" s="3">
        <f>D717-C717</f>
        <v/>
      </c>
      <c r="F717" s="3">
        <f>RAW_INPUT!C717</f>
        <v/>
      </c>
      <c r="G717" s="3">
        <f>RAW_INPUT!E717</f>
        <v/>
      </c>
      <c r="H717" s="3">
        <f>I717/F717</f>
        <v/>
      </c>
      <c r="I717" s="3">
        <f>METRICS!$C$14 * 0.02</f>
        <v/>
      </c>
      <c r="J717" s="3">
        <f>(G717-F717)*H717</f>
        <v/>
      </c>
      <c r="K717" s="3">
        <f>(G717-F717)/F717*100</f>
        <v/>
      </c>
      <c r="L717" s="3">
        <f>RAW_INPUT!F717</f>
        <v/>
      </c>
      <c r="M717" s="3">
        <f>K717-L717</f>
        <v/>
      </c>
      <c r="N717" s="3">
        <f>IF(J717&gt;0, 1, 0)</f>
        <v/>
      </c>
      <c r="O717" s="3">
        <f>IF(J717&lt;0, 1, 0)</f>
        <v/>
      </c>
      <c r="P717" s="3">
        <f>SUM($J$3:J717)</f>
        <v/>
      </c>
      <c r="Q717" s="3">
        <f>P717/METRICS!$C$14*100</f>
        <v/>
      </c>
      <c r="R717" s="3">
        <f>METRICS!$C$14+P717</f>
        <v/>
      </c>
      <c r="S717" s="3">
        <f>MAX($R$3:R717)</f>
        <v/>
      </c>
      <c r="T717" s="3">
        <f>R717-S717</f>
        <v/>
      </c>
      <c r="U717" s="3">
        <f>(R717-S717)/S717*100</f>
        <v/>
      </c>
      <c r="V717" s="3">
        <f>IF(K717&lt;0, (K717/100)^2, 0)</f>
        <v/>
      </c>
    </row>
    <row r="718">
      <c r="A718" s="3">
        <f>TEXT(716, """T""0000")</f>
        <v/>
      </c>
      <c r="B718" s="3">
        <f>RAW_INPUT!A718</f>
        <v/>
      </c>
      <c r="C718" s="3">
        <f>RAW_INPUT!B718</f>
        <v/>
      </c>
      <c r="D718" s="3">
        <f>RAW_INPUT!D718</f>
        <v/>
      </c>
      <c r="E718" s="3">
        <f>D718-C718</f>
        <v/>
      </c>
      <c r="F718" s="3">
        <f>RAW_INPUT!C718</f>
        <v/>
      </c>
      <c r="G718" s="3">
        <f>RAW_INPUT!E718</f>
        <v/>
      </c>
      <c r="H718" s="3">
        <f>I718/F718</f>
        <v/>
      </c>
      <c r="I718" s="3">
        <f>METRICS!$C$14 * 0.02</f>
        <v/>
      </c>
      <c r="J718" s="3">
        <f>(G718-F718)*H718</f>
        <v/>
      </c>
      <c r="K718" s="3">
        <f>(G718-F718)/F718*100</f>
        <v/>
      </c>
      <c r="L718" s="3">
        <f>RAW_INPUT!F718</f>
        <v/>
      </c>
      <c r="M718" s="3">
        <f>K718-L718</f>
        <v/>
      </c>
      <c r="N718" s="3">
        <f>IF(J718&gt;0, 1, 0)</f>
        <v/>
      </c>
      <c r="O718" s="3">
        <f>IF(J718&lt;0, 1, 0)</f>
        <v/>
      </c>
      <c r="P718" s="3">
        <f>SUM($J$3:J718)</f>
        <v/>
      </c>
      <c r="Q718" s="3">
        <f>P718/METRICS!$C$14*100</f>
        <v/>
      </c>
      <c r="R718" s="3">
        <f>METRICS!$C$14+P718</f>
        <v/>
      </c>
      <c r="S718" s="3">
        <f>MAX($R$3:R718)</f>
        <v/>
      </c>
      <c r="T718" s="3">
        <f>R718-S718</f>
        <v/>
      </c>
      <c r="U718" s="3">
        <f>(R718-S718)/S718*100</f>
        <v/>
      </c>
      <c r="V718" s="3">
        <f>IF(K718&lt;0, (K718/100)^2, 0)</f>
        <v/>
      </c>
    </row>
    <row r="719">
      <c r="A719" s="3">
        <f>TEXT(717, """T""0000")</f>
        <v/>
      </c>
      <c r="B719" s="3">
        <f>RAW_INPUT!A719</f>
        <v/>
      </c>
      <c r="C719" s="3">
        <f>RAW_INPUT!B719</f>
        <v/>
      </c>
      <c r="D719" s="3">
        <f>RAW_INPUT!D719</f>
        <v/>
      </c>
      <c r="E719" s="3">
        <f>D719-C719</f>
        <v/>
      </c>
      <c r="F719" s="3">
        <f>RAW_INPUT!C719</f>
        <v/>
      </c>
      <c r="G719" s="3">
        <f>RAW_INPUT!E719</f>
        <v/>
      </c>
      <c r="H719" s="3">
        <f>I719/F719</f>
        <v/>
      </c>
      <c r="I719" s="3">
        <f>METRICS!$C$14 * 0.02</f>
        <v/>
      </c>
      <c r="J719" s="3">
        <f>(G719-F719)*H719</f>
        <v/>
      </c>
      <c r="K719" s="3">
        <f>(G719-F719)/F719*100</f>
        <v/>
      </c>
      <c r="L719" s="3">
        <f>RAW_INPUT!F719</f>
        <v/>
      </c>
      <c r="M719" s="3">
        <f>K719-L719</f>
        <v/>
      </c>
      <c r="N719" s="3">
        <f>IF(J719&gt;0, 1, 0)</f>
        <v/>
      </c>
      <c r="O719" s="3">
        <f>IF(J719&lt;0, 1, 0)</f>
        <v/>
      </c>
      <c r="P719" s="3">
        <f>SUM($J$3:J719)</f>
        <v/>
      </c>
      <c r="Q719" s="3">
        <f>P719/METRICS!$C$14*100</f>
        <v/>
      </c>
      <c r="R719" s="3">
        <f>METRICS!$C$14+P719</f>
        <v/>
      </c>
      <c r="S719" s="3">
        <f>MAX($R$3:R719)</f>
        <v/>
      </c>
      <c r="T719" s="3">
        <f>R719-S719</f>
        <v/>
      </c>
      <c r="U719" s="3">
        <f>(R719-S719)/S719*100</f>
        <v/>
      </c>
      <c r="V719" s="3">
        <f>IF(K719&lt;0, (K719/100)^2, 0)</f>
        <v/>
      </c>
    </row>
    <row r="720">
      <c r="A720" s="3">
        <f>TEXT(718, """T""0000")</f>
        <v/>
      </c>
      <c r="B720" s="3">
        <f>RAW_INPUT!A720</f>
        <v/>
      </c>
      <c r="C720" s="3">
        <f>RAW_INPUT!B720</f>
        <v/>
      </c>
      <c r="D720" s="3">
        <f>RAW_INPUT!D720</f>
        <v/>
      </c>
      <c r="E720" s="3">
        <f>D720-C720</f>
        <v/>
      </c>
      <c r="F720" s="3">
        <f>RAW_INPUT!C720</f>
        <v/>
      </c>
      <c r="G720" s="3">
        <f>RAW_INPUT!E720</f>
        <v/>
      </c>
      <c r="H720" s="3">
        <f>I720/F720</f>
        <v/>
      </c>
      <c r="I720" s="3">
        <f>METRICS!$C$14 * 0.02</f>
        <v/>
      </c>
      <c r="J720" s="3">
        <f>(G720-F720)*H720</f>
        <v/>
      </c>
      <c r="K720" s="3">
        <f>(G720-F720)/F720*100</f>
        <v/>
      </c>
      <c r="L720" s="3">
        <f>RAW_INPUT!F720</f>
        <v/>
      </c>
      <c r="M720" s="3">
        <f>K720-L720</f>
        <v/>
      </c>
      <c r="N720" s="3">
        <f>IF(J720&gt;0, 1, 0)</f>
        <v/>
      </c>
      <c r="O720" s="3">
        <f>IF(J720&lt;0, 1, 0)</f>
        <v/>
      </c>
      <c r="P720" s="3">
        <f>SUM($J$3:J720)</f>
        <v/>
      </c>
      <c r="Q720" s="3">
        <f>P720/METRICS!$C$14*100</f>
        <v/>
      </c>
      <c r="R720" s="3">
        <f>METRICS!$C$14+P720</f>
        <v/>
      </c>
      <c r="S720" s="3">
        <f>MAX($R$3:R720)</f>
        <v/>
      </c>
      <c r="T720" s="3">
        <f>R720-S720</f>
        <v/>
      </c>
      <c r="U720" s="3">
        <f>(R720-S720)/S720*100</f>
        <v/>
      </c>
      <c r="V720" s="3">
        <f>IF(K720&lt;0, (K720/100)^2, 0)</f>
        <v/>
      </c>
    </row>
    <row r="721">
      <c r="A721" s="3">
        <f>TEXT(719, """T""0000")</f>
        <v/>
      </c>
      <c r="B721" s="3">
        <f>RAW_INPUT!A721</f>
        <v/>
      </c>
      <c r="C721" s="3">
        <f>RAW_INPUT!B721</f>
        <v/>
      </c>
      <c r="D721" s="3">
        <f>RAW_INPUT!D721</f>
        <v/>
      </c>
      <c r="E721" s="3">
        <f>D721-C721</f>
        <v/>
      </c>
      <c r="F721" s="3">
        <f>RAW_INPUT!C721</f>
        <v/>
      </c>
      <c r="G721" s="3">
        <f>RAW_INPUT!E721</f>
        <v/>
      </c>
      <c r="H721" s="3">
        <f>I721/F721</f>
        <v/>
      </c>
      <c r="I721" s="3">
        <f>METRICS!$C$14 * 0.02</f>
        <v/>
      </c>
      <c r="J721" s="3">
        <f>(G721-F721)*H721</f>
        <v/>
      </c>
      <c r="K721" s="3">
        <f>(G721-F721)/F721*100</f>
        <v/>
      </c>
      <c r="L721" s="3">
        <f>RAW_INPUT!F721</f>
        <v/>
      </c>
      <c r="M721" s="3">
        <f>K721-L721</f>
        <v/>
      </c>
      <c r="N721" s="3">
        <f>IF(J721&gt;0, 1, 0)</f>
        <v/>
      </c>
      <c r="O721" s="3">
        <f>IF(J721&lt;0, 1, 0)</f>
        <v/>
      </c>
      <c r="P721" s="3">
        <f>SUM($J$3:J721)</f>
        <v/>
      </c>
      <c r="Q721" s="3">
        <f>P721/METRICS!$C$14*100</f>
        <v/>
      </c>
      <c r="R721" s="3">
        <f>METRICS!$C$14+P721</f>
        <v/>
      </c>
      <c r="S721" s="3">
        <f>MAX($R$3:R721)</f>
        <v/>
      </c>
      <c r="T721" s="3">
        <f>R721-S721</f>
        <v/>
      </c>
      <c r="U721" s="3">
        <f>(R721-S721)/S721*100</f>
        <v/>
      </c>
      <c r="V721" s="3">
        <f>IF(K721&lt;0, (K721/100)^2, 0)</f>
        <v/>
      </c>
    </row>
    <row r="722">
      <c r="A722" s="3">
        <f>TEXT(720, """T""0000")</f>
        <v/>
      </c>
      <c r="B722" s="3">
        <f>RAW_INPUT!A722</f>
        <v/>
      </c>
      <c r="C722" s="3">
        <f>RAW_INPUT!B722</f>
        <v/>
      </c>
      <c r="D722" s="3">
        <f>RAW_INPUT!D722</f>
        <v/>
      </c>
      <c r="E722" s="3">
        <f>D722-C722</f>
        <v/>
      </c>
      <c r="F722" s="3">
        <f>RAW_INPUT!C722</f>
        <v/>
      </c>
      <c r="G722" s="3">
        <f>RAW_INPUT!E722</f>
        <v/>
      </c>
      <c r="H722" s="3">
        <f>I722/F722</f>
        <v/>
      </c>
      <c r="I722" s="3">
        <f>METRICS!$C$14 * 0.02</f>
        <v/>
      </c>
      <c r="J722" s="3">
        <f>(G722-F722)*H722</f>
        <v/>
      </c>
      <c r="K722" s="3">
        <f>(G722-F722)/F722*100</f>
        <v/>
      </c>
      <c r="L722" s="3">
        <f>RAW_INPUT!F722</f>
        <v/>
      </c>
      <c r="M722" s="3">
        <f>K722-L722</f>
        <v/>
      </c>
      <c r="N722" s="3">
        <f>IF(J722&gt;0, 1, 0)</f>
        <v/>
      </c>
      <c r="O722" s="3">
        <f>IF(J722&lt;0, 1, 0)</f>
        <v/>
      </c>
      <c r="P722" s="3">
        <f>SUM($J$3:J722)</f>
        <v/>
      </c>
      <c r="Q722" s="3">
        <f>P722/METRICS!$C$14*100</f>
        <v/>
      </c>
      <c r="R722" s="3">
        <f>METRICS!$C$14+P722</f>
        <v/>
      </c>
      <c r="S722" s="3">
        <f>MAX($R$3:R722)</f>
        <v/>
      </c>
      <c r="T722" s="3">
        <f>R722-S722</f>
        <v/>
      </c>
      <c r="U722" s="3">
        <f>(R722-S722)/S722*100</f>
        <v/>
      </c>
      <c r="V722" s="3">
        <f>IF(K722&lt;0, (K722/100)^2, 0)</f>
        <v/>
      </c>
    </row>
    <row r="723">
      <c r="A723" s="3">
        <f>TEXT(721, """T""0000")</f>
        <v/>
      </c>
      <c r="B723" s="3">
        <f>RAW_INPUT!A723</f>
        <v/>
      </c>
      <c r="C723" s="3">
        <f>RAW_INPUT!B723</f>
        <v/>
      </c>
      <c r="D723" s="3">
        <f>RAW_INPUT!D723</f>
        <v/>
      </c>
      <c r="E723" s="3">
        <f>D723-C723</f>
        <v/>
      </c>
      <c r="F723" s="3">
        <f>RAW_INPUT!C723</f>
        <v/>
      </c>
      <c r="G723" s="3">
        <f>RAW_INPUT!E723</f>
        <v/>
      </c>
      <c r="H723" s="3">
        <f>I723/F723</f>
        <v/>
      </c>
      <c r="I723" s="3">
        <f>METRICS!$C$14 * 0.02</f>
        <v/>
      </c>
      <c r="J723" s="3">
        <f>(G723-F723)*H723</f>
        <v/>
      </c>
      <c r="K723" s="3">
        <f>(G723-F723)/F723*100</f>
        <v/>
      </c>
      <c r="L723" s="3">
        <f>RAW_INPUT!F723</f>
        <v/>
      </c>
      <c r="M723" s="3">
        <f>K723-L723</f>
        <v/>
      </c>
      <c r="N723" s="3">
        <f>IF(J723&gt;0, 1, 0)</f>
        <v/>
      </c>
      <c r="O723" s="3">
        <f>IF(J723&lt;0, 1, 0)</f>
        <v/>
      </c>
      <c r="P723" s="3">
        <f>SUM($J$3:J723)</f>
        <v/>
      </c>
      <c r="Q723" s="3">
        <f>P723/METRICS!$C$14*100</f>
        <v/>
      </c>
      <c r="R723" s="3">
        <f>METRICS!$C$14+P723</f>
        <v/>
      </c>
      <c r="S723" s="3">
        <f>MAX($R$3:R723)</f>
        <v/>
      </c>
      <c r="T723" s="3">
        <f>R723-S723</f>
        <v/>
      </c>
      <c r="U723" s="3">
        <f>(R723-S723)/S723*100</f>
        <v/>
      </c>
      <c r="V723" s="3">
        <f>IF(K723&lt;0, (K723/100)^2, 0)</f>
        <v/>
      </c>
    </row>
    <row r="724">
      <c r="A724" s="3">
        <f>TEXT(722, """T""0000")</f>
        <v/>
      </c>
      <c r="B724" s="3">
        <f>RAW_INPUT!A724</f>
        <v/>
      </c>
      <c r="C724" s="3">
        <f>RAW_INPUT!B724</f>
        <v/>
      </c>
      <c r="D724" s="3">
        <f>RAW_INPUT!D724</f>
        <v/>
      </c>
      <c r="E724" s="3">
        <f>D724-C724</f>
        <v/>
      </c>
      <c r="F724" s="3">
        <f>RAW_INPUT!C724</f>
        <v/>
      </c>
      <c r="G724" s="3">
        <f>RAW_INPUT!E724</f>
        <v/>
      </c>
      <c r="H724" s="3">
        <f>I724/F724</f>
        <v/>
      </c>
      <c r="I724" s="3">
        <f>METRICS!$C$14 * 0.02</f>
        <v/>
      </c>
      <c r="J724" s="3">
        <f>(G724-F724)*H724</f>
        <v/>
      </c>
      <c r="K724" s="3">
        <f>(G724-F724)/F724*100</f>
        <v/>
      </c>
      <c r="L724" s="3">
        <f>RAW_INPUT!F724</f>
        <v/>
      </c>
      <c r="M724" s="3">
        <f>K724-L724</f>
        <v/>
      </c>
      <c r="N724" s="3">
        <f>IF(J724&gt;0, 1, 0)</f>
        <v/>
      </c>
      <c r="O724" s="3">
        <f>IF(J724&lt;0, 1, 0)</f>
        <v/>
      </c>
      <c r="P724" s="3">
        <f>SUM($J$3:J724)</f>
        <v/>
      </c>
      <c r="Q724" s="3">
        <f>P724/METRICS!$C$14*100</f>
        <v/>
      </c>
      <c r="R724" s="3">
        <f>METRICS!$C$14+P724</f>
        <v/>
      </c>
      <c r="S724" s="3">
        <f>MAX($R$3:R724)</f>
        <v/>
      </c>
      <c r="T724" s="3">
        <f>R724-S724</f>
        <v/>
      </c>
      <c r="U724" s="3">
        <f>(R724-S724)/S724*100</f>
        <v/>
      </c>
      <c r="V724" s="3">
        <f>IF(K724&lt;0, (K724/100)^2, 0)</f>
        <v/>
      </c>
    </row>
    <row r="725">
      <c r="A725" s="3">
        <f>TEXT(723, """T""0000")</f>
        <v/>
      </c>
      <c r="B725" s="3">
        <f>RAW_INPUT!A725</f>
        <v/>
      </c>
      <c r="C725" s="3">
        <f>RAW_INPUT!B725</f>
        <v/>
      </c>
      <c r="D725" s="3">
        <f>RAW_INPUT!D725</f>
        <v/>
      </c>
      <c r="E725" s="3">
        <f>D725-C725</f>
        <v/>
      </c>
      <c r="F725" s="3">
        <f>RAW_INPUT!C725</f>
        <v/>
      </c>
      <c r="G725" s="3">
        <f>RAW_INPUT!E725</f>
        <v/>
      </c>
      <c r="H725" s="3">
        <f>I725/F725</f>
        <v/>
      </c>
      <c r="I725" s="3">
        <f>METRICS!$C$14 * 0.02</f>
        <v/>
      </c>
      <c r="J725" s="3">
        <f>(G725-F725)*H725</f>
        <v/>
      </c>
      <c r="K725" s="3">
        <f>(G725-F725)/F725*100</f>
        <v/>
      </c>
      <c r="L725" s="3">
        <f>RAW_INPUT!F725</f>
        <v/>
      </c>
      <c r="M725" s="3">
        <f>K725-L725</f>
        <v/>
      </c>
      <c r="N725" s="3">
        <f>IF(J725&gt;0, 1, 0)</f>
        <v/>
      </c>
      <c r="O725" s="3">
        <f>IF(J725&lt;0, 1, 0)</f>
        <v/>
      </c>
      <c r="P725" s="3">
        <f>SUM($J$3:J725)</f>
        <v/>
      </c>
      <c r="Q725" s="3">
        <f>P725/METRICS!$C$14*100</f>
        <v/>
      </c>
      <c r="R725" s="3">
        <f>METRICS!$C$14+P725</f>
        <v/>
      </c>
      <c r="S725" s="3">
        <f>MAX($R$3:R725)</f>
        <v/>
      </c>
      <c r="T725" s="3">
        <f>R725-S725</f>
        <v/>
      </c>
      <c r="U725" s="3">
        <f>(R725-S725)/S725*100</f>
        <v/>
      </c>
      <c r="V725" s="3">
        <f>IF(K725&lt;0, (K725/100)^2, 0)</f>
        <v/>
      </c>
    </row>
    <row r="726">
      <c r="A726" s="3">
        <f>TEXT(724, """T""0000")</f>
        <v/>
      </c>
      <c r="B726" s="3">
        <f>RAW_INPUT!A726</f>
        <v/>
      </c>
      <c r="C726" s="3">
        <f>RAW_INPUT!B726</f>
        <v/>
      </c>
      <c r="D726" s="3">
        <f>RAW_INPUT!D726</f>
        <v/>
      </c>
      <c r="E726" s="3">
        <f>D726-C726</f>
        <v/>
      </c>
      <c r="F726" s="3">
        <f>RAW_INPUT!C726</f>
        <v/>
      </c>
      <c r="G726" s="3">
        <f>RAW_INPUT!E726</f>
        <v/>
      </c>
      <c r="H726" s="3">
        <f>I726/F726</f>
        <v/>
      </c>
      <c r="I726" s="3">
        <f>METRICS!$C$14 * 0.02</f>
        <v/>
      </c>
      <c r="J726" s="3">
        <f>(G726-F726)*H726</f>
        <v/>
      </c>
      <c r="K726" s="3">
        <f>(G726-F726)/F726*100</f>
        <v/>
      </c>
      <c r="L726" s="3">
        <f>RAW_INPUT!F726</f>
        <v/>
      </c>
      <c r="M726" s="3">
        <f>K726-L726</f>
        <v/>
      </c>
      <c r="N726" s="3">
        <f>IF(J726&gt;0, 1, 0)</f>
        <v/>
      </c>
      <c r="O726" s="3">
        <f>IF(J726&lt;0, 1, 0)</f>
        <v/>
      </c>
      <c r="P726" s="3">
        <f>SUM($J$3:J726)</f>
        <v/>
      </c>
      <c r="Q726" s="3">
        <f>P726/METRICS!$C$14*100</f>
        <v/>
      </c>
      <c r="R726" s="3">
        <f>METRICS!$C$14+P726</f>
        <v/>
      </c>
      <c r="S726" s="3">
        <f>MAX($R$3:R726)</f>
        <v/>
      </c>
      <c r="T726" s="3">
        <f>R726-S726</f>
        <v/>
      </c>
      <c r="U726" s="3">
        <f>(R726-S726)/S726*100</f>
        <v/>
      </c>
      <c r="V726" s="3">
        <f>IF(K726&lt;0, (K726/100)^2, 0)</f>
        <v/>
      </c>
    </row>
    <row r="727">
      <c r="A727" s="3">
        <f>TEXT(725, """T""0000")</f>
        <v/>
      </c>
      <c r="B727" s="3">
        <f>RAW_INPUT!A727</f>
        <v/>
      </c>
      <c r="C727" s="3">
        <f>RAW_INPUT!B727</f>
        <v/>
      </c>
      <c r="D727" s="3">
        <f>RAW_INPUT!D727</f>
        <v/>
      </c>
      <c r="E727" s="3">
        <f>D727-C727</f>
        <v/>
      </c>
      <c r="F727" s="3">
        <f>RAW_INPUT!C727</f>
        <v/>
      </c>
      <c r="G727" s="3">
        <f>RAW_INPUT!E727</f>
        <v/>
      </c>
      <c r="H727" s="3">
        <f>I727/F727</f>
        <v/>
      </c>
      <c r="I727" s="3">
        <f>METRICS!$C$14 * 0.02</f>
        <v/>
      </c>
      <c r="J727" s="3">
        <f>(G727-F727)*H727</f>
        <v/>
      </c>
      <c r="K727" s="3">
        <f>(G727-F727)/F727*100</f>
        <v/>
      </c>
      <c r="L727" s="3">
        <f>RAW_INPUT!F727</f>
        <v/>
      </c>
      <c r="M727" s="3">
        <f>K727-L727</f>
        <v/>
      </c>
      <c r="N727" s="3">
        <f>IF(J727&gt;0, 1, 0)</f>
        <v/>
      </c>
      <c r="O727" s="3">
        <f>IF(J727&lt;0, 1, 0)</f>
        <v/>
      </c>
      <c r="P727" s="3">
        <f>SUM($J$3:J727)</f>
        <v/>
      </c>
      <c r="Q727" s="3">
        <f>P727/METRICS!$C$14*100</f>
        <v/>
      </c>
      <c r="R727" s="3">
        <f>METRICS!$C$14+P727</f>
        <v/>
      </c>
      <c r="S727" s="3">
        <f>MAX($R$3:R727)</f>
        <v/>
      </c>
      <c r="T727" s="3">
        <f>R727-S727</f>
        <v/>
      </c>
      <c r="U727" s="3">
        <f>(R727-S727)/S727*100</f>
        <v/>
      </c>
      <c r="V727" s="3">
        <f>IF(K727&lt;0, (K727/100)^2, 0)</f>
        <v/>
      </c>
    </row>
    <row r="728">
      <c r="A728" s="3">
        <f>TEXT(726, """T""0000")</f>
        <v/>
      </c>
      <c r="B728" s="3">
        <f>RAW_INPUT!A728</f>
        <v/>
      </c>
      <c r="C728" s="3">
        <f>RAW_INPUT!B728</f>
        <v/>
      </c>
      <c r="D728" s="3">
        <f>RAW_INPUT!D728</f>
        <v/>
      </c>
      <c r="E728" s="3">
        <f>D728-C728</f>
        <v/>
      </c>
      <c r="F728" s="3">
        <f>RAW_INPUT!C728</f>
        <v/>
      </c>
      <c r="G728" s="3">
        <f>RAW_INPUT!E728</f>
        <v/>
      </c>
      <c r="H728" s="3">
        <f>I728/F728</f>
        <v/>
      </c>
      <c r="I728" s="3">
        <f>METRICS!$C$14 * 0.02</f>
        <v/>
      </c>
      <c r="J728" s="3">
        <f>(G728-F728)*H728</f>
        <v/>
      </c>
      <c r="K728" s="3">
        <f>(G728-F728)/F728*100</f>
        <v/>
      </c>
      <c r="L728" s="3">
        <f>RAW_INPUT!F728</f>
        <v/>
      </c>
      <c r="M728" s="3">
        <f>K728-L728</f>
        <v/>
      </c>
      <c r="N728" s="3">
        <f>IF(J728&gt;0, 1, 0)</f>
        <v/>
      </c>
      <c r="O728" s="3">
        <f>IF(J728&lt;0, 1, 0)</f>
        <v/>
      </c>
      <c r="P728" s="3">
        <f>SUM($J$3:J728)</f>
        <v/>
      </c>
      <c r="Q728" s="3">
        <f>P728/METRICS!$C$14*100</f>
        <v/>
      </c>
      <c r="R728" s="3">
        <f>METRICS!$C$14+P728</f>
        <v/>
      </c>
      <c r="S728" s="3">
        <f>MAX($R$3:R728)</f>
        <v/>
      </c>
      <c r="T728" s="3">
        <f>R728-S728</f>
        <v/>
      </c>
      <c r="U728" s="3">
        <f>(R728-S728)/S728*100</f>
        <v/>
      </c>
      <c r="V728" s="3">
        <f>IF(K728&lt;0, (K728/100)^2, 0)</f>
        <v/>
      </c>
    </row>
    <row r="729">
      <c r="A729" s="3">
        <f>TEXT(727, """T""0000")</f>
        <v/>
      </c>
      <c r="B729" s="3">
        <f>RAW_INPUT!A729</f>
        <v/>
      </c>
      <c r="C729" s="3">
        <f>RAW_INPUT!B729</f>
        <v/>
      </c>
      <c r="D729" s="3">
        <f>RAW_INPUT!D729</f>
        <v/>
      </c>
      <c r="E729" s="3">
        <f>D729-C729</f>
        <v/>
      </c>
      <c r="F729" s="3">
        <f>RAW_INPUT!C729</f>
        <v/>
      </c>
      <c r="G729" s="3">
        <f>RAW_INPUT!E729</f>
        <v/>
      </c>
      <c r="H729" s="3">
        <f>I729/F729</f>
        <v/>
      </c>
      <c r="I729" s="3">
        <f>METRICS!$C$14 * 0.02</f>
        <v/>
      </c>
      <c r="J729" s="3">
        <f>(G729-F729)*H729</f>
        <v/>
      </c>
      <c r="K729" s="3">
        <f>(G729-F729)/F729*100</f>
        <v/>
      </c>
      <c r="L729" s="3">
        <f>RAW_INPUT!F729</f>
        <v/>
      </c>
      <c r="M729" s="3">
        <f>K729-L729</f>
        <v/>
      </c>
      <c r="N729" s="3">
        <f>IF(J729&gt;0, 1, 0)</f>
        <v/>
      </c>
      <c r="O729" s="3">
        <f>IF(J729&lt;0, 1, 0)</f>
        <v/>
      </c>
      <c r="P729" s="3">
        <f>SUM($J$3:J729)</f>
        <v/>
      </c>
      <c r="Q729" s="3">
        <f>P729/METRICS!$C$14*100</f>
        <v/>
      </c>
      <c r="R729" s="3">
        <f>METRICS!$C$14+P729</f>
        <v/>
      </c>
      <c r="S729" s="3">
        <f>MAX($R$3:R729)</f>
        <v/>
      </c>
      <c r="T729" s="3">
        <f>R729-S729</f>
        <v/>
      </c>
      <c r="U729" s="3">
        <f>(R729-S729)/S729*100</f>
        <v/>
      </c>
      <c r="V729" s="3">
        <f>IF(K729&lt;0, (K729/100)^2, 0)</f>
        <v/>
      </c>
    </row>
    <row r="730">
      <c r="A730" s="3">
        <f>TEXT(728, """T""0000")</f>
        <v/>
      </c>
      <c r="B730" s="3">
        <f>RAW_INPUT!A730</f>
        <v/>
      </c>
      <c r="C730" s="3">
        <f>RAW_INPUT!B730</f>
        <v/>
      </c>
      <c r="D730" s="3">
        <f>RAW_INPUT!D730</f>
        <v/>
      </c>
      <c r="E730" s="3">
        <f>D730-C730</f>
        <v/>
      </c>
      <c r="F730" s="3">
        <f>RAW_INPUT!C730</f>
        <v/>
      </c>
      <c r="G730" s="3">
        <f>RAW_INPUT!E730</f>
        <v/>
      </c>
      <c r="H730" s="3">
        <f>I730/F730</f>
        <v/>
      </c>
      <c r="I730" s="3">
        <f>METRICS!$C$14 * 0.02</f>
        <v/>
      </c>
      <c r="J730" s="3">
        <f>(G730-F730)*H730</f>
        <v/>
      </c>
      <c r="K730" s="3">
        <f>(G730-F730)/F730*100</f>
        <v/>
      </c>
      <c r="L730" s="3">
        <f>RAW_INPUT!F730</f>
        <v/>
      </c>
      <c r="M730" s="3">
        <f>K730-L730</f>
        <v/>
      </c>
      <c r="N730" s="3">
        <f>IF(J730&gt;0, 1, 0)</f>
        <v/>
      </c>
      <c r="O730" s="3">
        <f>IF(J730&lt;0, 1, 0)</f>
        <v/>
      </c>
      <c r="P730" s="3">
        <f>SUM($J$3:J730)</f>
        <v/>
      </c>
      <c r="Q730" s="3">
        <f>P730/METRICS!$C$14*100</f>
        <v/>
      </c>
      <c r="R730" s="3">
        <f>METRICS!$C$14+P730</f>
        <v/>
      </c>
      <c r="S730" s="3">
        <f>MAX($R$3:R730)</f>
        <v/>
      </c>
      <c r="T730" s="3">
        <f>R730-S730</f>
        <v/>
      </c>
      <c r="U730" s="3">
        <f>(R730-S730)/S730*100</f>
        <v/>
      </c>
      <c r="V730" s="3">
        <f>IF(K730&lt;0, (K730/100)^2, 0)</f>
        <v/>
      </c>
    </row>
    <row r="731">
      <c r="A731" s="3">
        <f>TEXT(729, """T""0000")</f>
        <v/>
      </c>
      <c r="B731" s="3">
        <f>RAW_INPUT!A731</f>
        <v/>
      </c>
      <c r="C731" s="3">
        <f>RAW_INPUT!B731</f>
        <v/>
      </c>
      <c r="D731" s="3">
        <f>RAW_INPUT!D731</f>
        <v/>
      </c>
      <c r="E731" s="3">
        <f>D731-C731</f>
        <v/>
      </c>
      <c r="F731" s="3">
        <f>RAW_INPUT!C731</f>
        <v/>
      </c>
      <c r="G731" s="3">
        <f>RAW_INPUT!E731</f>
        <v/>
      </c>
      <c r="H731" s="3">
        <f>I731/F731</f>
        <v/>
      </c>
      <c r="I731" s="3">
        <f>METRICS!$C$14 * 0.02</f>
        <v/>
      </c>
      <c r="J731" s="3">
        <f>(G731-F731)*H731</f>
        <v/>
      </c>
      <c r="K731" s="3">
        <f>(G731-F731)/F731*100</f>
        <v/>
      </c>
      <c r="L731" s="3">
        <f>RAW_INPUT!F731</f>
        <v/>
      </c>
      <c r="M731" s="3">
        <f>K731-L731</f>
        <v/>
      </c>
      <c r="N731" s="3">
        <f>IF(J731&gt;0, 1, 0)</f>
        <v/>
      </c>
      <c r="O731" s="3">
        <f>IF(J731&lt;0, 1, 0)</f>
        <v/>
      </c>
      <c r="P731" s="3">
        <f>SUM($J$3:J731)</f>
        <v/>
      </c>
      <c r="Q731" s="3">
        <f>P731/METRICS!$C$14*100</f>
        <v/>
      </c>
      <c r="R731" s="3">
        <f>METRICS!$C$14+P731</f>
        <v/>
      </c>
      <c r="S731" s="3">
        <f>MAX($R$3:R731)</f>
        <v/>
      </c>
      <c r="T731" s="3">
        <f>R731-S731</f>
        <v/>
      </c>
      <c r="U731" s="3">
        <f>(R731-S731)/S731*100</f>
        <v/>
      </c>
      <c r="V731" s="3">
        <f>IF(K731&lt;0, (K731/100)^2, 0)</f>
        <v/>
      </c>
    </row>
    <row r="732">
      <c r="A732" s="3">
        <f>TEXT(730, """T""0000")</f>
        <v/>
      </c>
      <c r="B732" s="3">
        <f>RAW_INPUT!A732</f>
        <v/>
      </c>
      <c r="C732" s="3">
        <f>RAW_INPUT!B732</f>
        <v/>
      </c>
      <c r="D732" s="3">
        <f>RAW_INPUT!D732</f>
        <v/>
      </c>
      <c r="E732" s="3">
        <f>D732-C732</f>
        <v/>
      </c>
      <c r="F732" s="3">
        <f>RAW_INPUT!C732</f>
        <v/>
      </c>
      <c r="G732" s="3">
        <f>RAW_INPUT!E732</f>
        <v/>
      </c>
      <c r="H732" s="3">
        <f>I732/F732</f>
        <v/>
      </c>
      <c r="I732" s="3">
        <f>METRICS!$C$14 * 0.02</f>
        <v/>
      </c>
      <c r="J732" s="3">
        <f>(G732-F732)*H732</f>
        <v/>
      </c>
      <c r="K732" s="3">
        <f>(G732-F732)/F732*100</f>
        <v/>
      </c>
      <c r="L732" s="3">
        <f>RAW_INPUT!F732</f>
        <v/>
      </c>
      <c r="M732" s="3">
        <f>K732-L732</f>
        <v/>
      </c>
      <c r="N732" s="3">
        <f>IF(J732&gt;0, 1, 0)</f>
        <v/>
      </c>
      <c r="O732" s="3">
        <f>IF(J732&lt;0, 1, 0)</f>
        <v/>
      </c>
      <c r="P732" s="3">
        <f>SUM($J$3:J732)</f>
        <v/>
      </c>
      <c r="Q732" s="3">
        <f>P732/METRICS!$C$14*100</f>
        <v/>
      </c>
      <c r="R732" s="3">
        <f>METRICS!$C$14+P732</f>
        <v/>
      </c>
      <c r="S732" s="3">
        <f>MAX($R$3:R732)</f>
        <v/>
      </c>
      <c r="T732" s="3">
        <f>R732-S732</f>
        <v/>
      </c>
      <c r="U732" s="3">
        <f>(R732-S732)/S732*100</f>
        <v/>
      </c>
      <c r="V732" s="3">
        <f>IF(K732&lt;0, (K732/100)^2, 0)</f>
        <v/>
      </c>
    </row>
    <row r="733">
      <c r="A733" s="3">
        <f>TEXT(731, """T""0000")</f>
        <v/>
      </c>
      <c r="B733" s="3">
        <f>RAW_INPUT!A733</f>
        <v/>
      </c>
      <c r="C733" s="3">
        <f>RAW_INPUT!B733</f>
        <v/>
      </c>
      <c r="D733" s="3">
        <f>RAW_INPUT!D733</f>
        <v/>
      </c>
      <c r="E733" s="3">
        <f>D733-C733</f>
        <v/>
      </c>
      <c r="F733" s="3">
        <f>RAW_INPUT!C733</f>
        <v/>
      </c>
      <c r="G733" s="3">
        <f>RAW_INPUT!E733</f>
        <v/>
      </c>
      <c r="H733" s="3">
        <f>I733/F733</f>
        <v/>
      </c>
      <c r="I733" s="3">
        <f>METRICS!$C$14 * 0.02</f>
        <v/>
      </c>
      <c r="J733" s="3">
        <f>(G733-F733)*H733</f>
        <v/>
      </c>
      <c r="K733" s="3">
        <f>(G733-F733)/F733*100</f>
        <v/>
      </c>
      <c r="L733" s="3">
        <f>RAW_INPUT!F733</f>
        <v/>
      </c>
      <c r="M733" s="3">
        <f>K733-L733</f>
        <v/>
      </c>
      <c r="N733" s="3">
        <f>IF(J733&gt;0, 1, 0)</f>
        <v/>
      </c>
      <c r="O733" s="3">
        <f>IF(J733&lt;0, 1, 0)</f>
        <v/>
      </c>
      <c r="P733" s="3">
        <f>SUM($J$3:J733)</f>
        <v/>
      </c>
      <c r="Q733" s="3">
        <f>P733/METRICS!$C$14*100</f>
        <v/>
      </c>
      <c r="R733" s="3">
        <f>METRICS!$C$14+P733</f>
        <v/>
      </c>
      <c r="S733" s="3">
        <f>MAX($R$3:R733)</f>
        <v/>
      </c>
      <c r="T733" s="3">
        <f>R733-S733</f>
        <v/>
      </c>
      <c r="U733" s="3">
        <f>(R733-S733)/S733*100</f>
        <v/>
      </c>
      <c r="V733" s="3">
        <f>IF(K733&lt;0, (K733/100)^2, 0)</f>
        <v/>
      </c>
    </row>
    <row r="734">
      <c r="A734" s="3">
        <f>TEXT(732, """T""0000")</f>
        <v/>
      </c>
      <c r="B734" s="3">
        <f>RAW_INPUT!A734</f>
        <v/>
      </c>
      <c r="C734" s="3">
        <f>RAW_INPUT!B734</f>
        <v/>
      </c>
      <c r="D734" s="3">
        <f>RAW_INPUT!D734</f>
        <v/>
      </c>
      <c r="E734" s="3">
        <f>D734-C734</f>
        <v/>
      </c>
      <c r="F734" s="3">
        <f>RAW_INPUT!C734</f>
        <v/>
      </c>
      <c r="G734" s="3">
        <f>RAW_INPUT!E734</f>
        <v/>
      </c>
      <c r="H734" s="3">
        <f>I734/F734</f>
        <v/>
      </c>
      <c r="I734" s="3">
        <f>METRICS!$C$14 * 0.02</f>
        <v/>
      </c>
      <c r="J734" s="3">
        <f>(G734-F734)*H734</f>
        <v/>
      </c>
      <c r="K734" s="3">
        <f>(G734-F734)/F734*100</f>
        <v/>
      </c>
      <c r="L734" s="3">
        <f>RAW_INPUT!F734</f>
        <v/>
      </c>
      <c r="M734" s="3">
        <f>K734-L734</f>
        <v/>
      </c>
      <c r="N734" s="3">
        <f>IF(J734&gt;0, 1, 0)</f>
        <v/>
      </c>
      <c r="O734" s="3">
        <f>IF(J734&lt;0, 1, 0)</f>
        <v/>
      </c>
      <c r="P734" s="3">
        <f>SUM($J$3:J734)</f>
        <v/>
      </c>
      <c r="Q734" s="3">
        <f>P734/METRICS!$C$14*100</f>
        <v/>
      </c>
      <c r="R734" s="3">
        <f>METRICS!$C$14+P734</f>
        <v/>
      </c>
      <c r="S734" s="3">
        <f>MAX($R$3:R734)</f>
        <v/>
      </c>
      <c r="T734" s="3">
        <f>R734-S734</f>
        <v/>
      </c>
      <c r="U734" s="3">
        <f>(R734-S734)/S734*100</f>
        <v/>
      </c>
      <c r="V734" s="3">
        <f>IF(K734&lt;0, (K734/100)^2, 0)</f>
        <v/>
      </c>
    </row>
    <row r="735">
      <c r="A735" s="3">
        <f>TEXT(733, """T""0000")</f>
        <v/>
      </c>
      <c r="B735" s="3">
        <f>RAW_INPUT!A735</f>
        <v/>
      </c>
      <c r="C735" s="3">
        <f>RAW_INPUT!B735</f>
        <v/>
      </c>
      <c r="D735" s="3">
        <f>RAW_INPUT!D735</f>
        <v/>
      </c>
      <c r="E735" s="3">
        <f>D735-C735</f>
        <v/>
      </c>
      <c r="F735" s="3">
        <f>RAW_INPUT!C735</f>
        <v/>
      </c>
      <c r="G735" s="3">
        <f>RAW_INPUT!E735</f>
        <v/>
      </c>
      <c r="H735" s="3">
        <f>I735/F735</f>
        <v/>
      </c>
      <c r="I735" s="3">
        <f>METRICS!$C$14 * 0.02</f>
        <v/>
      </c>
      <c r="J735" s="3">
        <f>(G735-F735)*H735</f>
        <v/>
      </c>
      <c r="K735" s="3">
        <f>(G735-F735)/F735*100</f>
        <v/>
      </c>
      <c r="L735" s="3">
        <f>RAW_INPUT!F735</f>
        <v/>
      </c>
      <c r="M735" s="3">
        <f>K735-L735</f>
        <v/>
      </c>
      <c r="N735" s="3">
        <f>IF(J735&gt;0, 1, 0)</f>
        <v/>
      </c>
      <c r="O735" s="3">
        <f>IF(J735&lt;0, 1, 0)</f>
        <v/>
      </c>
      <c r="P735" s="3">
        <f>SUM($J$3:J735)</f>
        <v/>
      </c>
      <c r="Q735" s="3">
        <f>P735/METRICS!$C$14*100</f>
        <v/>
      </c>
      <c r="R735" s="3">
        <f>METRICS!$C$14+P735</f>
        <v/>
      </c>
      <c r="S735" s="3">
        <f>MAX($R$3:R735)</f>
        <v/>
      </c>
      <c r="T735" s="3">
        <f>R735-S735</f>
        <v/>
      </c>
      <c r="U735" s="3">
        <f>(R735-S735)/S735*100</f>
        <v/>
      </c>
      <c r="V735" s="3">
        <f>IF(K735&lt;0, (K735/100)^2, 0)</f>
        <v/>
      </c>
    </row>
    <row r="736">
      <c r="A736" s="3">
        <f>TEXT(734, """T""0000")</f>
        <v/>
      </c>
      <c r="B736" s="3">
        <f>RAW_INPUT!A736</f>
        <v/>
      </c>
      <c r="C736" s="3">
        <f>RAW_INPUT!B736</f>
        <v/>
      </c>
      <c r="D736" s="3">
        <f>RAW_INPUT!D736</f>
        <v/>
      </c>
      <c r="E736" s="3">
        <f>D736-C736</f>
        <v/>
      </c>
      <c r="F736" s="3">
        <f>RAW_INPUT!C736</f>
        <v/>
      </c>
      <c r="G736" s="3">
        <f>RAW_INPUT!E736</f>
        <v/>
      </c>
      <c r="H736" s="3">
        <f>I736/F736</f>
        <v/>
      </c>
      <c r="I736" s="3">
        <f>METRICS!$C$14 * 0.02</f>
        <v/>
      </c>
      <c r="J736" s="3">
        <f>(G736-F736)*H736</f>
        <v/>
      </c>
      <c r="K736" s="3">
        <f>(G736-F736)/F736*100</f>
        <v/>
      </c>
      <c r="L736" s="3">
        <f>RAW_INPUT!F736</f>
        <v/>
      </c>
      <c r="M736" s="3">
        <f>K736-L736</f>
        <v/>
      </c>
      <c r="N736" s="3">
        <f>IF(J736&gt;0, 1, 0)</f>
        <v/>
      </c>
      <c r="O736" s="3">
        <f>IF(J736&lt;0, 1, 0)</f>
        <v/>
      </c>
      <c r="P736" s="3">
        <f>SUM($J$3:J736)</f>
        <v/>
      </c>
      <c r="Q736" s="3">
        <f>P736/METRICS!$C$14*100</f>
        <v/>
      </c>
      <c r="R736" s="3">
        <f>METRICS!$C$14+P736</f>
        <v/>
      </c>
      <c r="S736" s="3">
        <f>MAX($R$3:R736)</f>
        <v/>
      </c>
      <c r="T736" s="3">
        <f>R736-S736</f>
        <v/>
      </c>
      <c r="U736" s="3">
        <f>(R736-S736)/S736*100</f>
        <v/>
      </c>
      <c r="V736" s="3">
        <f>IF(K736&lt;0, (K736/100)^2, 0)</f>
        <v/>
      </c>
    </row>
    <row r="737">
      <c r="A737" s="3">
        <f>TEXT(735, """T""0000")</f>
        <v/>
      </c>
      <c r="B737" s="3">
        <f>RAW_INPUT!A737</f>
        <v/>
      </c>
      <c r="C737" s="3">
        <f>RAW_INPUT!B737</f>
        <v/>
      </c>
      <c r="D737" s="3">
        <f>RAW_INPUT!D737</f>
        <v/>
      </c>
      <c r="E737" s="3">
        <f>D737-C737</f>
        <v/>
      </c>
      <c r="F737" s="3">
        <f>RAW_INPUT!C737</f>
        <v/>
      </c>
      <c r="G737" s="3">
        <f>RAW_INPUT!E737</f>
        <v/>
      </c>
      <c r="H737" s="3">
        <f>I737/F737</f>
        <v/>
      </c>
      <c r="I737" s="3">
        <f>METRICS!$C$14 * 0.02</f>
        <v/>
      </c>
      <c r="J737" s="3">
        <f>(G737-F737)*H737</f>
        <v/>
      </c>
      <c r="K737" s="3">
        <f>(G737-F737)/F737*100</f>
        <v/>
      </c>
      <c r="L737" s="3">
        <f>RAW_INPUT!F737</f>
        <v/>
      </c>
      <c r="M737" s="3">
        <f>K737-L737</f>
        <v/>
      </c>
      <c r="N737" s="3">
        <f>IF(J737&gt;0, 1, 0)</f>
        <v/>
      </c>
      <c r="O737" s="3">
        <f>IF(J737&lt;0, 1, 0)</f>
        <v/>
      </c>
      <c r="P737" s="3">
        <f>SUM($J$3:J737)</f>
        <v/>
      </c>
      <c r="Q737" s="3">
        <f>P737/METRICS!$C$14*100</f>
        <v/>
      </c>
      <c r="R737" s="3">
        <f>METRICS!$C$14+P737</f>
        <v/>
      </c>
      <c r="S737" s="3">
        <f>MAX($R$3:R737)</f>
        <v/>
      </c>
      <c r="T737" s="3">
        <f>R737-S737</f>
        <v/>
      </c>
      <c r="U737" s="3">
        <f>(R737-S737)/S737*100</f>
        <v/>
      </c>
      <c r="V737" s="3">
        <f>IF(K737&lt;0, (K737/100)^2, 0)</f>
        <v/>
      </c>
    </row>
    <row r="738">
      <c r="A738" s="3">
        <f>TEXT(736, """T""0000")</f>
        <v/>
      </c>
      <c r="B738" s="3">
        <f>RAW_INPUT!A738</f>
        <v/>
      </c>
      <c r="C738" s="3">
        <f>RAW_INPUT!B738</f>
        <v/>
      </c>
      <c r="D738" s="3">
        <f>RAW_INPUT!D738</f>
        <v/>
      </c>
      <c r="E738" s="3">
        <f>D738-C738</f>
        <v/>
      </c>
      <c r="F738" s="3">
        <f>RAW_INPUT!C738</f>
        <v/>
      </c>
      <c r="G738" s="3">
        <f>RAW_INPUT!E738</f>
        <v/>
      </c>
      <c r="H738" s="3">
        <f>I738/F738</f>
        <v/>
      </c>
      <c r="I738" s="3">
        <f>METRICS!$C$14 * 0.02</f>
        <v/>
      </c>
      <c r="J738" s="3">
        <f>(G738-F738)*H738</f>
        <v/>
      </c>
      <c r="K738" s="3">
        <f>(G738-F738)/F738*100</f>
        <v/>
      </c>
      <c r="L738" s="3">
        <f>RAW_INPUT!F738</f>
        <v/>
      </c>
      <c r="M738" s="3">
        <f>K738-L738</f>
        <v/>
      </c>
      <c r="N738" s="3">
        <f>IF(J738&gt;0, 1, 0)</f>
        <v/>
      </c>
      <c r="O738" s="3">
        <f>IF(J738&lt;0, 1, 0)</f>
        <v/>
      </c>
      <c r="P738" s="3">
        <f>SUM($J$3:J738)</f>
        <v/>
      </c>
      <c r="Q738" s="3">
        <f>P738/METRICS!$C$14*100</f>
        <v/>
      </c>
      <c r="R738" s="3">
        <f>METRICS!$C$14+P738</f>
        <v/>
      </c>
      <c r="S738" s="3">
        <f>MAX($R$3:R738)</f>
        <v/>
      </c>
      <c r="T738" s="3">
        <f>R738-S738</f>
        <v/>
      </c>
      <c r="U738" s="3">
        <f>(R738-S738)/S738*100</f>
        <v/>
      </c>
      <c r="V738" s="3">
        <f>IF(K738&lt;0, (K738/100)^2, 0)</f>
        <v/>
      </c>
    </row>
    <row r="739">
      <c r="A739" s="3">
        <f>TEXT(737, """T""0000")</f>
        <v/>
      </c>
      <c r="B739" s="3">
        <f>RAW_INPUT!A739</f>
        <v/>
      </c>
      <c r="C739" s="3">
        <f>RAW_INPUT!B739</f>
        <v/>
      </c>
      <c r="D739" s="3">
        <f>RAW_INPUT!D739</f>
        <v/>
      </c>
      <c r="E739" s="3">
        <f>D739-C739</f>
        <v/>
      </c>
      <c r="F739" s="3">
        <f>RAW_INPUT!C739</f>
        <v/>
      </c>
      <c r="G739" s="3">
        <f>RAW_INPUT!E739</f>
        <v/>
      </c>
      <c r="H739" s="3">
        <f>I739/F739</f>
        <v/>
      </c>
      <c r="I739" s="3">
        <f>METRICS!$C$14 * 0.02</f>
        <v/>
      </c>
      <c r="J739" s="3">
        <f>(G739-F739)*H739</f>
        <v/>
      </c>
      <c r="K739" s="3">
        <f>(G739-F739)/F739*100</f>
        <v/>
      </c>
      <c r="L739" s="3">
        <f>RAW_INPUT!F739</f>
        <v/>
      </c>
      <c r="M739" s="3">
        <f>K739-L739</f>
        <v/>
      </c>
      <c r="N739" s="3">
        <f>IF(J739&gt;0, 1, 0)</f>
        <v/>
      </c>
      <c r="O739" s="3">
        <f>IF(J739&lt;0, 1, 0)</f>
        <v/>
      </c>
      <c r="P739" s="3">
        <f>SUM($J$3:J739)</f>
        <v/>
      </c>
      <c r="Q739" s="3">
        <f>P739/METRICS!$C$14*100</f>
        <v/>
      </c>
      <c r="R739" s="3">
        <f>METRICS!$C$14+P739</f>
        <v/>
      </c>
      <c r="S739" s="3">
        <f>MAX($R$3:R739)</f>
        <v/>
      </c>
      <c r="T739" s="3">
        <f>R739-S739</f>
        <v/>
      </c>
      <c r="U739" s="3">
        <f>(R739-S739)/S739*100</f>
        <v/>
      </c>
      <c r="V739" s="3">
        <f>IF(K739&lt;0, (K739/100)^2, 0)</f>
        <v/>
      </c>
    </row>
    <row r="740">
      <c r="A740" s="3">
        <f>TEXT(738, """T""0000")</f>
        <v/>
      </c>
      <c r="B740" s="3">
        <f>RAW_INPUT!A740</f>
        <v/>
      </c>
      <c r="C740" s="3">
        <f>RAW_INPUT!B740</f>
        <v/>
      </c>
      <c r="D740" s="3">
        <f>RAW_INPUT!D740</f>
        <v/>
      </c>
      <c r="E740" s="3">
        <f>D740-C740</f>
        <v/>
      </c>
      <c r="F740" s="3">
        <f>RAW_INPUT!C740</f>
        <v/>
      </c>
      <c r="G740" s="3">
        <f>RAW_INPUT!E740</f>
        <v/>
      </c>
      <c r="H740" s="3">
        <f>I740/F740</f>
        <v/>
      </c>
      <c r="I740" s="3">
        <f>METRICS!$C$14 * 0.02</f>
        <v/>
      </c>
      <c r="J740" s="3">
        <f>(G740-F740)*H740</f>
        <v/>
      </c>
      <c r="K740" s="3">
        <f>(G740-F740)/F740*100</f>
        <v/>
      </c>
      <c r="L740" s="3">
        <f>RAW_INPUT!F740</f>
        <v/>
      </c>
      <c r="M740" s="3">
        <f>K740-L740</f>
        <v/>
      </c>
      <c r="N740" s="3">
        <f>IF(J740&gt;0, 1, 0)</f>
        <v/>
      </c>
      <c r="O740" s="3">
        <f>IF(J740&lt;0, 1, 0)</f>
        <v/>
      </c>
      <c r="P740" s="3">
        <f>SUM($J$3:J740)</f>
        <v/>
      </c>
      <c r="Q740" s="3">
        <f>P740/METRICS!$C$14*100</f>
        <v/>
      </c>
      <c r="R740" s="3">
        <f>METRICS!$C$14+P740</f>
        <v/>
      </c>
      <c r="S740" s="3">
        <f>MAX($R$3:R740)</f>
        <v/>
      </c>
      <c r="T740" s="3">
        <f>R740-S740</f>
        <v/>
      </c>
      <c r="U740" s="3">
        <f>(R740-S740)/S740*100</f>
        <v/>
      </c>
      <c r="V740" s="3">
        <f>IF(K740&lt;0, (K740/100)^2, 0)</f>
        <v/>
      </c>
    </row>
    <row r="741">
      <c r="A741" s="3">
        <f>TEXT(739, """T""0000")</f>
        <v/>
      </c>
      <c r="B741" s="3">
        <f>RAW_INPUT!A741</f>
        <v/>
      </c>
      <c r="C741" s="3">
        <f>RAW_INPUT!B741</f>
        <v/>
      </c>
      <c r="D741" s="3">
        <f>RAW_INPUT!D741</f>
        <v/>
      </c>
      <c r="E741" s="3">
        <f>D741-C741</f>
        <v/>
      </c>
      <c r="F741" s="3">
        <f>RAW_INPUT!C741</f>
        <v/>
      </c>
      <c r="G741" s="3">
        <f>RAW_INPUT!E741</f>
        <v/>
      </c>
      <c r="H741" s="3">
        <f>I741/F741</f>
        <v/>
      </c>
      <c r="I741" s="3">
        <f>METRICS!$C$14 * 0.02</f>
        <v/>
      </c>
      <c r="J741" s="3">
        <f>(G741-F741)*H741</f>
        <v/>
      </c>
      <c r="K741" s="3">
        <f>(G741-F741)/F741*100</f>
        <v/>
      </c>
      <c r="L741" s="3">
        <f>RAW_INPUT!F741</f>
        <v/>
      </c>
      <c r="M741" s="3">
        <f>K741-L741</f>
        <v/>
      </c>
      <c r="N741" s="3">
        <f>IF(J741&gt;0, 1, 0)</f>
        <v/>
      </c>
      <c r="O741" s="3">
        <f>IF(J741&lt;0, 1, 0)</f>
        <v/>
      </c>
      <c r="P741" s="3">
        <f>SUM($J$3:J741)</f>
        <v/>
      </c>
      <c r="Q741" s="3">
        <f>P741/METRICS!$C$14*100</f>
        <v/>
      </c>
      <c r="R741" s="3">
        <f>METRICS!$C$14+P741</f>
        <v/>
      </c>
      <c r="S741" s="3">
        <f>MAX($R$3:R741)</f>
        <v/>
      </c>
      <c r="T741" s="3">
        <f>R741-S741</f>
        <v/>
      </c>
      <c r="U741" s="3">
        <f>(R741-S741)/S741*100</f>
        <v/>
      </c>
      <c r="V741" s="3">
        <f>IF(K741&lt;0, (K741/100)^2, 0)</f>
        <v/>
      </c>
    </row>
    <row r="742">
      <c r="A742" s="3">
        <f>TEXT(740, """T""0000")</f>
        <v/>
      </c>
      <c r="B742" s="3">
        <f>RAW_INPUT!A742</f>
        <v/>
      </c>
      <c r="C742" s="3">
        <f>RAW_INPUT!B742</f>
        <v/>
      </c>
      <c r="D742" s="3">
        <f>RAW_INPUT!D742</f>
        <v/>
      </c>
      <c r="E742" s="3">
        <f>D742-C742</f>
        <v/>
      </c>
      <c r="F742" s="3">
        <f>RAW_INPUT!C742</f>
        <v/>
      </c>
      <c r="G742" s="3">
        <f>RAW_INPUT!E742</f>
        <v/>
      </c>
      <c r="H742" s="3">
        <f>I742/F742</f>
        <v/>
      </c>
      <c r="I742" s="3">
        <f>METRICS!$C$14 * 0.02</f>
        <v/>
      </c>
      <c r="J742" s="3">
        <f>(G742-F742)*H742</f>
        <v/>
      </c>
      <c r="K742" s="3">
        <f>(G742-F742)/F742*100</f>
        <v/>
      </c>
      <c r="L742" s="3">
        <f>RAW_INPUT!F742</f>
        <v/>
      </c>
      <c r="M742" s="3">
        <f>K742-L742</f>
        <v/>
      </c>
      <c r="N742" s="3">
        <f>IF(J742&gt;0, 1, 0)</f>
        <v/>
      </c>
      <c r="O742" s="3">
        <f>IF(J742&lt;0, 1, 0)</f>
        <v/>
      </c>
      <c r="P742" s="3">
        <f>SUM($J$3:J742)</f>
        <v/>
      </c>
      <c r="Q742" s="3">
        <f>P742/METRICS!$C$14*100</f>
        <v/>
      </c>
      <c r="R742" s="3">
        <f>METRICS!$C$14+P742</f>
        <v/>
      </c>
      <c r="S742" s="3">
        <f>MAX($R$3:R742)</f>
        <v/>
      </c>
      <c r="T742" s="3">
        <f>R742-S742</f>
        <v/>
      </c>
      <c r="U742" s="3">
        <f>(R742-S742)/S742*100</f>
        <v/>
      </c>
      <c r="V742" s="3">
        <f>IF(K742&lt;0, (K742/100)^2, 0)</f>
        <v/>
      </c>
    </row>
    <row r="743">
      <c r="A743" s="3">
        <f>TEXT(741, """T""0000")</f>
        <v/>
      </c>
      <c r="B743" s="3">
        <f>RAW_INPUT!A743</f>
        <v/>
      </c>
      <c r="C743" s="3">
        <f>RAW_INPUT!B743</f>
        <v/>
      </c>
      <c r="D743" s="3">
        <f>RAW_INPUT!D743</f>
        <v/>
      </c>
      <c r="E743" s="3">
        <f>D743-C743</f>
        <v/>
      </c>
      <c r="F743" s="3">
        <f>RAW_INPUT!C743</f>
        <v/>
      </c>
      <c r="G743" s="3">
        <f>RAW_INPUT!E743</f>
        <v/>
      </c>
      <c r="H743" s="3">
        <f>I743/F743</f>
        <v/>
      </c>
      <c r="I743" s="3">
        <f>METRICS!$C$14 * 0.02</f>
        <v/>
      </c>
      <c r="J743" s="3">
        <f>(G743-F743)*H743</f>
        <v/>
      </c>
      <c r="K743" s="3">
        <f>(G743-F743)/F743*100</f>
        <v/>
      </c>
      <c r="L743" s="3">
        <f>RAW_INPUT!F743</f>
        <v/>
      </c>
      <c r="M743" s="3">
        <f>K743-L743</f>
        <v/>
      </c>
      <c r="N743" s="3">
        <f>IF(J743&gt;0, 1, 0)</f>
        <v/>
      </c>
      <c r="O743" s="3">
        <f>IF(J743&lt;0, 1, 0)</f>
        <v/>
      </c>
      <c r="P743" s="3">
        <f>SUM($J$3:J743)</f>
        <v/>
      </c>
      <c r="Q743" s="3">
        <f>P743/METRICS!$C$14*100</f>
        <v/>
      </c>
      <c r="R743" s="3">
        <f>METRICS!$C$14+P743</f>
        <v/>
      </c>
      <c r="S743" s="3">
        <f>MAX($R$3:R743)</f>
        <v/>
      </c>
      <c r="T743" s="3">
        <f>R743-S743</f>
        <v/>
      </c>
      <c r="U743" s="3">
        <f>(R743-S743)/S743*100</f>
        <v/>
      </c>
      <c r="V743" s="3">
        <f>IF(K743&lt;0, (K743/100)^2, 0)</f>
        <v/>
      </c>
    </row>
    <row r="744">
      <c r="A744" s="3">
        <f>TEXT(742, """T""0000")</f>
        <v/>
      </c>
      <c r="B744" s="3">
        <f>RAW_INPUT!A744</f>
        <v/>
      </c>
      <c r="C744" s="3">
        <f>RAW_INPUT!B744</f>
        <v/>
      </c>
      <c r="D744" s="3">
        <f>RAW_INPUT!D744</f>
        <v/>
      </c>
      <c r="E744" s="3">
        <f>D744-C744</f>
        <v/>
      </c>
      <c r="F744" s="3">
        <f>RAW_INPUT!C744</f>
        <v/>
      </c>
      <c r="G744" s="3">
        <f>RAW_INPUT!E744</f>
        <v/>
      </c>
      <c r="H744" s="3">
        <f>I744/F744</f>
        <v/>
      </c>
      <c r="I744" s="3">
        <f>METRICS!$C$14 * 0.02</f>
        <v/>
      </c>
      <c r="J744" s="3">
        <f>(G744-F744)*H744</f>
        <v/>
      </c>
      <c r="K744" s="3">
        <f>(G744-F744)/F744*100</f>
        <v/>
      </c>
      <c r="L744" s="3">
        <f>RAW_INPUT!F744</f>
        <v/>
      </c>
      <c r="M744" s="3">
        <f>K744-L744</f>
        <v/>
      </c>
      <c r="N744" s="3">
        <f>IF(J744&gt;0, 1, 0)</f>
        <v/>
      </c>
      <c r="O744" s="3">
        <f>IF(J744&lt;0, 1, 0)</f>
        <v/>
      </c>
      <c r="P744" s="3">
        <f>SUM($J$3:J744)</f>
        <v/>
      </c>
      <c r="Q744" s="3">
        <f>P744/METRICS!$C$14*100</f>
        <v/>
      </c>
      <c r="R744" s="3">
        <f>METRICS!$C$14+P744</f>
        <v/>
      </c>
      <c r="S744" s="3">
        <f>MAX($R$3:R744)</f>
        <v/>
      </c>
      <c r="T744" s="3">
        <f>R744-S744</f>
        <v/>
      </c>
      <c r="U744" s="3">
        <f>(R744-S744)/S744*100</f>
        <v/>
      </c>
      <c r="V744" s="3">
        <f>IF(K744&lt;0, (K744/100)^2, 0)</f>
        <v/>
      </c>
    </row>
    <row r="745">
      <c r="A745" s="3">
        <f>TEXT(743, """T""0000")</f>
        <v/>
      </c>
      <c r="B745" s="3">
        <f>RAW_INPUT!A745</f>
        <v/>
      </c>
      <c r="C745" s="3">
        <f>RAW_INPUT!B745</f>
        <v/>
      </c>
      <c r="D745" s="3">
        <f>RAW_INPUT!D745</f>
        <v/>
      </c>
      <c r="E745" s="3">
        <f>D745-C745</f>
        <v/>
      </c>
      <c r="F745" s="3">
        <f>RAW_INPUT!C745</f>
        <v/>
      </c>
      <c r="G745" s="3">
        <f>RAW_INPUT!E745</f>
        <v/>
      </c>
      <c r="H745" s="3">
        <f>I745/F745</f>
        <v/>
      </c>
      <c r="I745" s="3">
        <f>METRICS!$C$14 * 0.02</f>
        <v/>
      </c>
      <c r="J745" s="3">
        <f>(G745-F745)*H745</f>
        <v/>
      </c>
      <c r="K745" s="3">
        <f>(G745-F745)/F745*100</f>
        <v/>
      </c>
      <c r="L745" s="3">
        <f>RAW_INPUT!F745</f>
        <v/>
      </c>
      <c r="M745" s="3">
        <f>K745-L745</f>
        <v/>
      </c>
      <c r="N745" s="3">
        <f>IF(J745&gt;0, 1, 0)</f>
        <v/>
      </c>
      <c r="O745" s="3">
        <f>IF(J745&lt;0, 1, 0)</f>
        <v/>
      </c>
      <c r="P745" s="3">
        <f>SUM($J$3:J745)</f>
        <v/>
      </c>
      <c r="Q745" s="3">
        <f>P745/METRICS!$C$14*100</f>
        <v/>
      </c>
      <c r="R745" s="3">
        <f>METRICS!$C$14+P745</f>
        <v/>
      </c>
      <c r="S745" s="3">
        <f>MAX($R$3:R745)</f>
        <v/>
      </c>
      <c r="T745" s="3">
        <f>R745-S745</f>
        <v/>
      </c>
      <c r="U745" s="3">
        <f>(R745-S745)/S745*100</f>
        <v/>
      </c>
      <c r="V745" s="3">
        <f>IF(K745&lt;0, (K745/100)^2, 0)</f>
        <v/>
      </c>
    </row>
    <row r="746">
      <c r="A746" s="3">
        <f>TEXT(744, """T""0000")</f>
        <v/>
      </c>
      <c r="B746" s="3">
        <f>RAW_INPUT!A746</f>
        <v/>
      </c>
      <c r="C746" s="3">
        <f>RAW_INPUT!B746</f>
        <v/>
      </c>
      <c r="D746" s="3">
        <f>RAW_INPUT!D746</f>
        <v/>
      </c>
      <c r="E746" s="3">
        <f>D746-C746</f>
        <v/>
      </c>
      <c r="F746" s="3">
        <f>RAW_INPUT!C746</f>
        <v/>
      </c>
      <c r="G746" s="3">
        <f>RAW_INPUT!E746</f>
        <v/>
      </c>
      <c r="H746" s="3">
        <f>I746/F746</f>
        <v/>
      </c>
      <c r="I746" s="3">
        <f>METRICS!$C$14 * 0.02</f>
        <v/>
      </c>
      <c r="J746" s="3">
        <f>(G746-F746)*H746</f>
        <v/>
      </c>
      <c r="K746" s="3">
        <f>(G746-F746)/F746*100</f>
        <v/>
      </c>
      <c r="L746" s="3">
        <f>RAW_INPUT!F746</f>
        <v/>
      </c>
      <c r="M746" s="3">
        <f>K746-L746</f>
        <v/>
      </c>
      <c r="N746" s="3">
        <f>IF(J746&gt;0, 1, 0)</f>
        <v/>
      </c>
      <c r="O746" s="3">
        <f>IF(J746&lt;0, 1, 0)</f>
        <v/>
      </c>
      <c r="P746" s="3">
        <f>SUM($J$3:J746)</f>
        <v/>
      </c>
      <c r="Q746" s="3">
        <f>P746/METRICS!$C$14*100</f>
        <v/>
      </c>
      <c r="R746" s="3">
        <f>METRICS!$C$14+P746</f>
        <v/>
      </c>
      <c r="S746" s="3">
        <f>MAX($R$3:R746)</f>
        <v/>
      </c>
      <c r="T746" s="3">
        <f>R746-S746</f>
        <v/>
      </c>
      <c r="U746" s="3">
        <f>(R746-S746)/S746*100</f>
        <v/>
      </c>
      <c r="V746" s="3">
        <f>IF(K746&lt;0, (K746/100)^2, 0)</f>
        <v/>
      </c>
    </row>
    <row r="747">
      <c r="A747" s="3">
        <f>TEXT(745, """T""0000")</f>
        <v/>
      </c>
      <c r="B747" s="3">
        <f>RAW_INPUT!A747</f>
        <v/>
      </c>
      <c r="C747" s="3">
        <f>RAW_INPUT!B747</f>
        <v/>
      </c>
      <c r="D747" s="3">
        <f>RAW_INPUT!D747</f>
        <v/>
      </c>
      <c r="E747" s="3">
        <f>D747-C747</f>
        <v/>
      </c>
      <c r="F747" s="3">
        <f>RAW_INPUT!C747</f>
        <v/>
      </c>
      <c r="G747" s="3">
        <f>RAW_INPUT!E747</f>
        <v/>
      </c>
      <c r="H747" s="3">
        <f>I747/F747</f>
        <v/>
      </c>
      <c r="I747" s="3">
        <f>METRICS!$C$14 * 0.02</f>
        <v/>
      </c>
      <c r="J747" s="3">
        <f>(G747-F747)*H747</f>
        <v/>
      </c>
      <c r="K747" s="3">
        <f>(G747-F747)/F747*100</f>
        <v/>
      </c>
      <c r="L747" s="3">
        <f>RAW_INPUT!F747</f>
        <v/>
      </c>
      <c r="M747" s="3">
        <f>K747-L747</f>
        <v/>
      </c>
      <c r="N747" s="3">
        <f>IF(J747&gt;0, 1, 0)</f>
        <v/>
      </c>
      <c r="O747" s="3">
        <f>IF(J747&lt;0, 1, 0)</f>
        <v/>
      </c>
      <c r="P747" s="3">
        <f>SUM($J$3:J747)</f>
        <v/>
      </c>
      <c r="Q747" s="3">
        <f>P747/METRICS!$C$14*100</f>
        <v/>
      </c>
      <c r="R747" s="3">
        <f>METRICS!$C$14+P747</f>
        <v/>
      </c>
      <c r="S747" s="3">
        <f>MAX($R$3:R747)</f>
        <v/>
      </c>
      <c r="T747" s="3">
        <f>R747-S747</f>
        <v/>
      </c>
      <c r="U747" s="3">
        <f>(R747-S747)/S747*100</f>
        <v/>
      </c>
      <c r="V747" s="3">
        <f>IF(K747&lt;0, (K747/100)^2, 0)</f>
        <v/>
      </c>
    </row>
    <row r="748">
      <c r="A748" s="3">
        <f>TEXT(746, """T""0000")</f>
        <v/>
      </c>
      <c r="B748" s="3">
        <f>RAW_INPUT!A748</f>
        <v/>
      </c>
      <c r="C748" s="3">
        <f>RAW_INPUT!B748</f>
        <v/>
      </c>
      <c r="D748" s="3">
        <f>RAW_INPUT!D748</f>
        <v/>
      </c>
      <c r="E748" s="3">
        <f>D748-C748</f>
        <v/>
      </c>
      <c r="F748" s="3">
        <f>RAW_INPUT!C748</f>
        <v/>
      </c>
      <c r="G748" s="3">
        <f>RAW_INPUT!E748</f>
        <v/>
      </c>
      <c r="H748" s="3">
        <f>I748/F748</f>
        <v/>
      </c>
      <c r="I748" s="3">
        <f>METRICS!$C$14 * 0.02</f>
        <v/>
      </c>
      <c r="J748" s="3">
        <f>(G748-F748)*H748</f>
        <v/>
      </c>
      <c r="K748" s="3">
        <f>(G748-F748)/F748*100</f>
        <v/>
      </c>
      <c r="L748" s="3">
        <f>RAW_INPUT!F748</f>
        <v/>
      </c>
      <c r="M748" s="3">
        <f>K748-L748</f>
        <v/>
      </c>
      <c r="N748" s="3">
        <f>IF(J748&gt;0, 1, 0)</f>
        <v/>
      </c>
      <c r="O748" s="3">
        <f>IF(J748&lt;0, 1, 0)</f>
        <v/>
      </c>
      <c r="P748" s="3">
        <f>SUM($J$3:J748)</f>
        <v/>
      </c>
      <c r="Q748" s="3">
        <f>P748/METRICS!$C$14*100</f>
        <v/>
      </c>
      <c r="R748" s="3">
        <f>METRICS!$C$14+P748</f>
        <v/>
      </c>
      <c r="S748" s="3">
        <f>MAX($R$3:R748)</f>
        <v/>
      </c>
      <c r="T748" s="3">
        <f>R748-S748</f>
        <v/>
      </c>
      <c r="U748" s="3">
        <f>(R748-S748)/S748*100</f>
        <v/>
      </c>
      <c r="V748" s="3">
        <f>IF(K748&lt;0, (K748/100)^2, 0)</f>
        <v/>
      </c>
    </row>
    <row r="749">
      <c r="A749" s="3">
        <f>TEXT(747, """T""0000")</f>
        <v/>
      </c>
      <c r="B749" s="3">
        <f>RAW_INPUT!A749</f>
        <v/>
      </c>
      <c r="C749" s="3">
        <f>RAW_INPUT!B749</f>
        <v/>
      </c>
      <c r="D749" s="3">
        <f>RAW_INPUT!D749</f>
        <v/>
      </c>
      <c r="E749" s="3">
        <f>D749-C749</f>
        <v/>
      </c>
      <c r="F749" s="3">
        <f>RAW_INPUT!C749</f>
        <v/>
      </c>
      <c r="G749" s="3">
        <f>RAW_INPUT!E749</f>
        <v/>
      </c>
      <c r="H749" s="3">
        <f>I749/F749</f>
        <v/>
      </c>
      <c r="I749" s="3">
        <f>METRICS!$C$14 * 0.02</f>
        <v/>
      </c>
      <c r="J749" s="3">
        <f>(G749-F749)*H749</f>
        <v/>
      </c>
      <c r="K749" s="3">
        <f>(G749-F749)/F749*100</f>
        <v/>
      </c>
      <c r="L749" s="3">
        <f>RAW_INPUT!F749</f>
        <v/>
      </c>
      <c r="M749" s="3">
        <f>K749-L749</f>
        <v/>
      </c>
      <c r="N749" s="3">
        <f>IF(J749&gt;0, 1, 0)</f>
        <v/>
      </c>
      <c r="O749" s="3">
        <f>IF(J749&lt;0, 1, 0)</f>
        <v/>
      </c>
      <c r="P749" s="3">
        <f>SUM($J$3:J749)</f>
        <v/>
      </c>
      <c r="Q749" s="3">
        <f>P749/METRICS!$C$14*100</f>
        <v/>
      </c>
      <c r="R749" s="3">
        <f>METRICS!$C$14+P749</f>
        <v/>
      </c>
      <c r="S749" s="3">
        <f>MAX($R$3:R749)</f>
        <v/>
      </c>
      <c r="T749" s="3">
        <f>R749-S749</f>
        <v/>
      </c>
      <c r="U749" s="3">
        <f>(R749-S749)/S749*100</f>
        <v/>
      </c>
      <c r="V749" s="3">
        <f>IF(K749&lt;0, (K749/100)^2, 0)</f>
        <v/>
      </c>
    </row>
    <row r="750">
      <c r="A750" s="3">
        <f>TEXT(748, """T""0000")</f>
        <v/>
      </c>
      <c r="B750" s="3">
        <f>RAW_INPUT!A750</f>
        <v/>
      </c>
      <c r="C750" s="3">
        <f>RAW_INPUT!B750</f>
        <v/>
      </c>
      <c r="D750" s="3">
        <f>RAW_INPUT!D750</f>
        <v/>
      </c>
      <c r="E750" s="3">
        <f>D750-C750</f>
        <v/>
      </c>
      <c r="F750" s="3">
        <f>RAW_INPUT!C750</f>
        <v/>
      </c>
      <c r="G750" s="3">
        <f>RAW_INPUT!E750</f>
        <v/>
      </c>
      <c r="H750" s="3">
        <f>I750/F750</f>
        <v/>
      </c>
      <c r="I750" s="3">
        <f>METRICS!$C$14 * 0.02</f>
        <v/>
      </c>
      <c r="J750" s="3">
        <f>(G750-F750)*H750</f>
        <v/>
      </c>
      <c r="K750" s="3">
        <f>(G750-F750)/F750*100</f>
        <v/>
      </c>
      <c r="L750" s="3">
        <f>RAW_INPUT!F750</f>
        <v/>
      </c>
      <c r="M750" s="3">
        <f>K750-L750</f>
        <v/>
      </c>
      <c r="N750" s="3">
        <f>IF(J750&gt;0, 1, 0)</f>
        <v/>
      </c>
      <c r="O750" s="3">
        <f>IF(J750&lt;0, 1, 0)</f>
        <v/>
      </c>
      <c r="P750" s="3">
        <f>SUM($J$3:J750)</f>
        <v/>
      </c>
      <c r="Q750" s="3">
        <f>P750/METRICS!$C$14*100</f>
        <v/>
      </c>
      <c r="R750" s="3">
        <f>METRICS!$C$14+P750</f>
        <v/>
      </c>
      <c r="S750" s="3">
        <f>MAX($R$3:R750)</f>
        <v/>
      </c>
      <c r="T750" s="3">
        <f>R750-S750</f>
        <v/>
      </c>
      <c r="U750" s="3">
        <f>(R750-S750)/S750*100</f>
        <v/>
      </c>
      <c r="V750" s="3">
        <f>IF(K750&lt;0, (K750/100)^2, 0)</f>
        <v/>
      </c>
    </row>
    <row r="751">
      <c r="A751" s="3">
        <f>TEXT(749, """T""0000")</f>
        <v/>
      </c>
      <c r="B751" s="3">
        <f>RAW_INPUT!A751</f>
        <v/>
      </c>
      <c r="C751" s="3">
        <f>RAW_INPUT!B751</f>
        <v/>
      </c>
      <c r="D751" s="3">
        <f>RAW_INPUT!D751</f>
        <v/>
      </c>
      <c r="E751" s="3">
        <f>D751-C751</f>
        <v/>
      </c>
      <c r="F751" s="3">
        <f>RAW_INPUT!C751</f>
        <v/>
      </c>
      <c r="G751" s="3">
        <f>RAW_INPUT!E751</f>
        <v/>
      </c>
      <c r="H751" s="3">
        <f>I751/F751</f>
        <v/>
      </c>
      <c r="I751" s="3">
        <f>METRICS!$C$14 * 0.02</f>
        <v/>
      </c>
      <c r="J751" s="3">
        <f>(G751-F751)*H751</f>
        <v/>
      </c>
      <c r="K751" s="3">
        <f>(G751-F751)/F751*100</f>
        <v/>
      </c>
      <c r="L751" s="3">
        <f>RAW_INPUT!F751</f>
        <v/>
      </c>
      <c r="M751" s="3">
        <f>K751-L751</f>
        <v/>
      </c>
      <c r="N751" s="3">
        <f>IF(J751&gt;0, 1, 0)</f>
        <v/>
      </c>
      <c r="O751" s="3">
        <f>IF(J751&lt;0, 1, 0)</f>
        <v/>
      </c>
      <c r="P751" s="3">
        <f>SUM($J$3:J751)</f>
        <v/>
      </c>
      <c r="Q751" s="3">
        <f>P751/METRICS!$C$14*100</f>
        <v/>
      </c>
      <c r="R751" s="3">
        <f>METRICS!$C$14+P751</f>
        <v/>
      </c>
      <c r="S751" s="3">
        <f>MAX($R$3:R751)</f>
        <v/>
      </c>
      <c r="T751" s="3">
        <f>R751-S751</f>
        <v/>
      </c>
      <c r="U751" s="3">
        <f>(R751-S751)/S751*100</f>
        <v/>
      </c>
      <c r="V751" s="3">
        <f>IF(K751&lt;0, (K751/100)^2, 0)</f>
        <v/>
      </c>
    </row>
    <row r="752">
      <c r="A752" s="3">
        <f>TEXT(750, """T""0000")</f>
        <v/>
      </c>
      <c r="B752" s="3">
        <f>RAW_INPUT!A752</f>
        <v/>
      </c>
      <c r="C752" s="3">
        <f>RAW_INPUT!B752</f>
        <v/>
      </c>
      <c r="D752" s="3">
        <f>RAW_INPUT!D752</f>
        <v/>
      </c>
      <c r="E752" s="3">
        <f>D752-C752</f>
        <v/>
      </c>
      <c r="F752" s="3">
        <f>RAW_INPUT!C752</f>
        <v/>
      </c>
      <c r="G752" s="3">
        <f>RAW_INPUT!E752</f>
        <v/>
      </c>
      <c r="H752" s="3">
        <f>I752/F752</f>
        <v/>
      </c>
      <c r="I752" s="3">
        <f>METRICS!$C$14 * 0.02</f>
        <v/>
      </c>
      <c r="J752" s="3">
        <f>(G752-F752)*H752</f>
        <v/>
      </c>
      <c r="K752" s="3">
        <f>(G752-F752)/F752*100</f>
        <v/>
      </c>
      <c r="L752" s="3">
        <f>RAW_INPUT!F752</f>
        <v/>
      </c>
      <c r="M752" s="3">
        <f>K752-L752</f>
        <v/>
      </c>
      <c r="N752" s="3">
        <f>IF(J752&gt;0, 1, 0)</f>
        <v/>
      </c>
      <c r="O752" s="3">
        <f>IF(J752&lt;0, 1, 0)</f>
        <v/>
      </c>
      <c r="P752" s="3">
        <f>SUM($J$3:J752)</f>
        <v/>
      </c>
      <c r="Q752" s="3">
        <f>P752/METRICS!$C$14*100</f>
        <v/>
      </c>
      <c r="R752" s="3">
        <f>METRICS!$C$14+P752</f>
        <v/>
      </c>
      <c r="S752" s="3">
        <f>MAX($R$3:R752)</f>
        <v/>
      </c>
      <c r="T752" s="3">
        <f>R752-S752</f>
        <v/>
      </c>
      <c r="U752" s="3">
        <f>(R752-S752)/S752*100</f>
        <v/>
      </c>
      <c r="V752" s="3">
        <f>IF(K752&lt;0, (K752/100)^2, 0)</f>
        <v/>
      </c>
    </row>
    <row r="753">
      <c r="A753" s="3">
        <f>TEXT(751, """T""0000")</f>
        <v/>
      </c>
      <c r="B753" s="3">
        <f>RAW_INPUT!A753</f>
        <v/>
      </c>
      <c r="C753" s="3">
        <f>RAW_INPUT!B753</f>
        <v/>
      </c>
      <c r="D753" s="3">
        <f>RAW_INPUT!D753</f>
        <v/>
      </c>
      <c r="E753" s="3">
        <f>D753-C753</f>
        <v/>
      </c>
      <c r="F753" s="3">
        <f>RAW_INPUT!C753</f>
        <v/>
      </c>
      <c r="G753" s="3">
        <f>RAW_INPUT!E753</f>
        <v/>
      </c>
      <c r="H753" s="3">
        <f>I753/F753</f>
        <v/>
      </c>
      <c r="I753" s="3">
        <f>METRICS!$C$14 * 0.02</f>
        <v/>
      </c>
      <c r="J753" s="3">
        <f>(G753-F753)*H753</f>
        <v/>
      </c>
      <c r="K753" s="3">
        <f>(G753-F753)/F753*100</f>
        <v/>
      </c>
      <c r="L753" s="3">
        <f>RAW_INPUT!F753</f>
        <v/>
      </c>
      <c r="M753" s="3">
        <f>K753-L753</f>
        <v/>
      </c>
      <c r="N753" s="3">
        <f>IF(J753&gt;0, 1, 0)</f>
        <v/>
      </c>
      <c r="O753" s="3">
        <f>IF(J753&lt;0, 1, 0)</f>
        <v/>
      </c>
      <c r="P753" s="3">
        <f>SUM($J$3:J753)</f>
        <v/>
      </c>
      <c r="Q753" s="3">
        <f>P753/METRICS!$C$14*100</f>
        <v/>
      </c>
      <c r="R753" s="3">
        <f>METRICS!$C$14+P753</f>
        <v/>
      </c>
      <c r="S753" s="3">
        <f>MAX($R$3:R753)</f>
        <v/>
      </c>
      <c r="T753" s="3">
        <f>R753-S753</f>
        <v/>
      </c>
      <c r="U753" s="3">
        <f>(R753-S753)/S753*100</f>
        <v/>
      </c>
      <c r="V753" s="3">
        <f>IF(K753&lt;0, (K753/100)^2, 0)</f>
        <v/>
      </c>
    </row>
    <row r="754">
      <c r="A754" s="3">
        <f>TEXT(752, """T""0000")</f>
        <v/>
      </c>
      <c r="B754" s="3">
        <f>RAW_INPUT!A754</f>
        <v/>
      </c>
      <c r="C754" s="3">
        <f>RAW_INPUT!B754</f>
        <v/>
      </c>
      <c r="D754" s="3">
        <f>RAW_INPUT!D754</f>
        <v/>
      </c>
      <c r="E754" s="3">
        <f>D754-C754</f>
        <v/>
      </c>
      <c r="F754" s="3">
        <f>RAW_INPUT!C754</f>
        <v/>
      </c>
      <c r="G754" s="3">
        <f>RAW_INPUT!E754</f>
        <v/>
      </c>
      <c r="H754" s="3">
        <f>I754/F754</f>
        <v/>
      </c>
      <c r="I754" s="3">
        <f>METRICS!$C$14 * 0.02</f>
        <v/>
      </c>
      <c r="J754" s="3">
        <f>(G754-F754)*H754</f>
        <v/>
      </c>
      <c r="K754" s="3">
        <f>(G754-F754)/F754*100</f>
        <v/>
      </c>
      <c r="L754" s="3">
        <f>RAW_INPUT!F754</f>
        <v/>
      </c>
      <c r="M754" s="3">
        <f>K754-L754</f>
        <v/>
      </c>
      <c r="N754" s="3">
        <f>IF(J754&gt;0, 1, 0)</f>
        <v/>
      </c>
      <c r="O754" s="3">
        <f>IF(J754&lt;0, 1, 0)</f>
        <v/>
      </c>
      <c r="P754" s="3">
        <f>SUM($J$3:J754)</f>
        <v/>
      </c>
      <c r="Q754" s="3">
        <f>P754/METRICS!$C$14*100</f>
        <v/>
      </c>
      <c r="R754" s="3">
        <f>METRICS!$C$14+P754</f>
        <v/>
      </c>
      <c r="S754" s="3">
        <f>MAX($R$3:R754)</f>
        <v/>
      </c>
      <c r="T754" s="3">
        <f>R754-S754</f>
        <v/>
      </c>
      <c r="U754" s="3">
        <f>(R754-S754)/S754*100</f>
        <v/>
      </c>
      <c r="V754" s="3">
        <f>IF(K754&lt;0, (K754/100)^2, 0)</f>
        <v/>
      </c>
    </row>
    <row r="755">
      <c r="A755" s="3">
        <f>TEXT(753, """T""0000")</f>
        <v/>
      </c>
      <c r="B755" s="3">
        <f>RAW_INPUT!A755</f>
        <v/>
      </c>
      <c r="C755" s="3">
        <f>RAW_INPUT!B755</f>
        <v/>
      </c>
      <c r="D755" s="3">
        <f>RAW_INPUT!D755</f>
        <v/>
      </c>
      <c r="E755" s="3">
        <f>D755-C755</f>
        <v/>
      </c>
      <c r="F755" s="3">
        <f>RAW_INPUT!C755</f>
        <v/>
      </c>
      <c r="G755" s="3">
        <f>RAW_INPUT!E755</f>
        <v/>
      </c>
      <c r="H755" s="3">
        <f>I755/F755</f>
        <v/>
      </c>
      <c r="I755" s="3">
        <f>METRICS!$C$14 * 0.02</f>
        <v/>
      </c>
      <c r="J755" s="3">
        <f>(G755-F755)*H755</f>
        <v/>
      </c>
      <c r="K755" s="3">
        <f>(G755-F755)/F755*100</f>
        <v/>
      </c>
      <c r="L755" s="3">
        <f>RAW_INPUT!F755</f>
        <v/>
      </c>
      <c r="M755" s="3">
        <f>K755-L755</f>
        <v/>
      </c>
      <c r="N755" s="3">
        <f>IF(J755&gt;0, 1, 0)</f>
        <v/>
      </c>
      <c r="O755" s="3">
        <f>IF(J755&lt;0, 1, 0)</f>
        <v/>
      </c>
      <c r="P755" s="3">
        <f>SUM($J$3:J755)</f>
        <v/>
      </c>
      <c r="Q755" s="3">
        <f>P755/METRICS!$C$14*100</f>
        <v/>
      </c>
      <c r="R755" s="3">
        <f>METRICS!$C$14+P755</f>
        <v/>
      </c>
      <c r="S755" s="3">
        <f>MAX($R$3:R755)</f>
        <v/>
      </c>
      <c r="T755" s="3">
        <f>R755-S755</f>
        <v/>
      </c>
      <c r="U755" s="3">
        <f>(R755-S755)/S755*100</f>
        <v/>
      </c>
      <c r="V755" s="3">
        <f>IF(K755&lt;0, (K755/100)^2, 0)</f>
        <v/>
      </c>
    </row>
    <row r="756">
      <c r="A756" s="3">
        <f>TEXT(754, """T""0000")</f>
        <v/>
      </c>
      <c r="B756" s="3">
        <f>RAW_INPUT!A756</f>
        <v/>
      </c>
      <c r="C756" s="3">
        <f>RAW_INPUT!B756</f>
        <v/>
      </c>
      <c r="D756" s="3">
        <f>RAW_INPUT!D756</f>
        <v/>
      </c>
      <c r="E756" s="3">
        <f>D756-C756</f>
        <v/>
      </c>
      <c r="F756" s="3">
        <f>RAW_INPUT!C756</f>
        <v/>
      </c>
      <c r="G756" s="3">
        <f>RAW_INPUT!E756</f>
        <v/>
      </c>
      <c r="H756" s="3">
        <f>I756/F756</f>
        <v/>
      </c>
      <c r="I756" s="3">
        <f>METRICS!$C$14 * 0.02</f>
        <v/>
      </c>
      <c r="J756" s="3">
        <f>(G756-F756)*H756</f>
        <v/>
      </c>
      <c r="K756" s="3">
        <f>(G756-F756)/F756*100</f>
        <v/>
      </c>
      <c r="L756" s="3">
        <f>RAW_INPUT!F756</f>
        <v/>
      </c>
      <c r="M756" s="3">
        <f>K756-L756</f>
        <v/>
      </c>
      <c r="N756" s="3">
        <f>IF(J756&gt;0, 1, 0)</f>
        <v/>
      </c>
      <c r="O756" s="3">
        <f>IF(J756&lt;0, 1, 0)</f>
        <v/>
      </c>
      <c r="P756" s="3">
        <f>SUM($J$3:J756)</f>
        <v/>
      </c>
      <c r="Q756" s="3">
        <f>P756/METRICS!$C$14*100</f>
        <v/>
      </c>
      <c r="R756" s="3">
        <f>METRICS!$C$14+P756</f>
        <v/>
      </c>
      <c r="S756" s="3">
        <f>MAX($R$3:R756)</f>
        <v/>
      </c>
      <c r="T756" s="3">
        <f>R756-S756</f>
        <v/>
      </c>
      <c r="U756" s="3">
        <f>(R756-S756)/S756*100</f>
        <v/>
      </c>
      <c r="V756" s="3">
        <f>IF(K756&lt;0, (K756/100)^2, 0)</f>
        <v/>
      </c>
    </row>
    <row r="757">
      <c r="A757" s="3">
        <f>TEXT(755, """T""0000")</f>
        <v/>
      </c>
      <c r="B757" s="3">
        <f>RAW_INPUT!A757</f>
        <v/>
      </c>
      <c r="C757" s="3">
        <f>RAW_INPUT!B757</f>
        <v/>
      </c>
      <c r="D757" s="3">
        <f>RAW_INPUT!D757</f>
        <v/>
      </c>
      <c r="E757" s="3">
        <f>D757-C757</f>
        <v/>
      </c>
      <c r="F757" s="3">
        <f>RAW_INPUT!C757</f>
        <v/>
      </c>
      <c r="G757" s="3">
        <f>RAW_INPUT!E757</f>
        <v/>
      </c>
      <c r="H757" s="3">
        <f>I757/F757</f>
        <v/>
      </c>
      <c r="I757" s="3">
        <f>METRICS!$C$14 * 0.02</f>
        <v/>
      </c>
      <c r="J757" s="3">
        <f>(G757-F757)*H757</f>
        <v/>
      </c>
      <c r="K757" s="3">
        <f>(G757-F757)/F757*100</f>
        <v/>
      </c>
      <c r="L757" s="3">
        <f>RAW_INPUT!F757</f>
        <v/>
      </c>
      <c r="M757" s="3">
        <f>K757-L757</f>
        <v/>
      </c>
      <c r="N757" s="3">
        <f>IF(J757&gt;0, 1, 0)</f>
        <v/>
      </c>
      <c r="O757" s="3">
        <f>IF(J757&lt;0, 1, 0)</f>
        <v/>
      </c>
      <c r="P757" s="3">
        <f>SUM($J$3:J757)</f>
        <v/>
      </c>
      <c r="Q757" s="3">
        <f>P757/METRICS!$C$14*100</f>
        <v/>
      </c>
      <c r="R757" s="3">
        <f>METRICS!$C$14+P757</f>
        <v/>
      </c>
      <c r="S757" s="3">
        <f>MAX($R$3:R757)</f>
        <v/>
      </c>
      <c r="T757" s="3">
        <f>R757-S757</f>
        <v/>
      </c>
      <c r="U757" s="3">
        <f>(R757-S757)/S757*100</f>
        <v/>
      </c>
      <c r="V757" s="3">
        <f>IF(K757&lt;0, (K757/100)^2, 0)</f>
        <v/>
      </c>
    </row>
    <row r="758">
      <c r="A758" s="3">
        <f>TEXT(756, """T""0000")</f>
        <v/>
      </c>
      <c r="B758" s="3">
        <f>RAW_INPUT!A758</f>
        <v/>
      </c>
      <c r="C758" s="3">
        <f>RAW_INPUT!B758</f>
        <v/>
      </c>
      <c r="D758" s="3">
        <f>RAW_INPUT!D758</f>
        <v/>
      </c>
      <c r="E758" s="3">
        <f>D758-C758</f>
        <v/>
      </c>
      <c r="F758" s="3">
        <f>RAW_INPUT!C758</f>
        <v/>
      </c>
      <c r="G758" s="3">
        <f>RAW_INPUT!E758</f>
        <v/>
      </c>
      <c r="H758" s="3">
        <f>I758/F758</f>
        <v/>
      </c>
      <c r="I758" s="3">
        <f>METRICS!$C$14 * 0.02</f>
        <v/>
      </c>
      <c r="J758" s="3">
        <f>(G758-F758)*H758</f>
        <v/>
      </c>
      <c r="K758" s="3">
        <f>(G758-F758)/F758*100</f>
        <v/>
      </c>
      <c r="L758" s="3">
        <f>RAW_INPUT!F758</f>
        <v/>
      </c>
      <c r="M758" s="3">
        <f>K758-L758</f>
        <v/>
      </c>
      <c r="N758" s="3">
        <f>IF(J758&gt;0, 1, 0)</f>
        <v/>
      </c>
      <c r="O758" s="3">
        <f>IF(J758&lt;0, 1, 0)</f>
        <v/>
      </c>
      <c r="P758" s="3">
        <f>SUM($J$3:J758)</f>
        <v/>
      </c>
      <c r="Q758" s="3">
        <f>P758/METRICS!$C$14*100</f>
        <v/>
      </c>
      <c r="R758" s="3">
        <f>METRICS!$C$14+P758</f>
        <v/>
      </c>
      <c r="S758" s="3">
        <f>MAX($R$3:R758)</f>
        <v/>
      </c>
      <c r="T758" s="3">
        <f>R758-S758</f>
        <v/>
      </c>
      <c r="U758" s="3">
        <f>(R758-S758)/S758*100</f>
        <v/>
      </c>
      <c r="V758" s="3">
        <f>IF(K758&lt;0, (K758/100)^2, 0)</f>
        <v/>
      </c>
    </row>
    <row r="759">
      <c r="A759" s="3">
        <f>TEXT(757, """T""0000")</f>
        <v/>
      </c>
      <c r="B759" s="3">
        <f>RAW_INPUT!A759</f>
        <v/>
      </c>
      <c r="C759" s="3">
        <f>RAW_INPUT!B759</f>
        <v/>
      </c>
      <c r="D759" s="3">
        <f>RAW_INPUT!D759</f>
        <v/>
      </c>
      <c r="E759" s="3">
        <f>D759-C759</f>
        <v/>
      </c>
      <c r="F759" s="3">
        <f>RAW_INPUT!C759</f>
        <v/>
      </c>
      <c r="G759" s="3">
        <f>RAW_INPUT!E759</f>
        <v/>
      </c>
      <c r="H759" s="3">
        <f>I759/F759</f>
        <v/>
      </c>
      <c r="I759" s="3">
        <f>METRICS!$C$14 * 0.02</f>
        <v/>
      </c>
      <c r="J759" s="3">
        <f>(G759-F759)*H759</f>
        <v/>
      </c>
      <c r="K759" s="3">
        <f>(G759-F759)/F759*100</f>
        <v/>
      </c>
      <c r="L759" s="3">
        <f>RAW_INPUT!F759</f>
        <v/>
      </c>
      <c r="M759" s="3">
        <f>K759-L759</f>
        <v/>
      </c>
      <c r="N759" s="3">
        <f>IF(J759&gt;0, 1, 0)</f>
        <v/>
      </c>
      <c r="O759" s="3">
        <f>IF(J759&lt;0, 1, 0)</f>
        <v/>
      </c>
      <c r="P759" s="3">
        <f>SUM($J$3:J759)</f>
        <v/>
      </c>
      <c r="Q759" s="3">
        <f>P759/METRICS!$C$14*100</f>
        <v/>
      </c>
      <c r="R759" s="3">
        <f>METRICS!$C$14+P759</f>
        <v/>
      </c>
      <c r="S759" s="3">
        <f>MAX($R$3:R759)</f>
        <v/>
      </c>
      <c r="T759" s="3">
        <f>R759-S759</f>
        <v/>
      </c>
      <c r="U759" s="3">
        <f>(R759-S759)/S759*100</f>
        <v/>
      </c>
      <c r="V759" s="3">
        <f>IF(K759&lt;0, (K759/100)^2, 0)</f>
        <v/>
      </c>
    </row>
    <row r="760">
      <c r="A760" s="3">
        <f>TEXT(758, """T""0000")</f>
        <v/>
      </c>
      <c r="B760" s="3">
        <f>RAW_INPUT!A760</f>
        <v/>
      </c>
      <c r="C760" s="3">
        <f>RAW_INPUT!B760</f>
        <v/>
      </c>
      <c r="D760" s="3">
        <f>RAW_INPUT!D760</f>
        <v/>
      </c>
      <c r="E760" s="3">
        <f>D760-C760</f>
        <v/>
      </c>
      <c r="F760" s="3">
        <f>RAW_INPUT!C760</f>
        <v/>
      </c>
      <c r="G760" s="3">
        <f>RAW_INPUT!E760</f>
        <v/>
      </c>
      <c r="H760" s="3">
        <f>I760/F760</f>
        <v/>
      </c>
      <c r="I760" s="3">
        <f>METRICS!$C$14 * 0.02</f>
        <v/>
      </c>
      <c r="J760" s="3">
        <f>(G760-F760)*H760</f>
        <v/>
      </c>
      <c r="K760" s="3">
        <f>(G760-F760)/F760*100</f>
        <v/>
      </c>
      <c r="L760" s="3">
        <f>RAW_INPUT!F760</f>
        <v/>
      </c>
      <c r="M760" s="3">
        <f>K760-L760</f>
        <v/>
      </c>
      <c r="N760" s="3">
        <f>IF(J760&gt;0, 1, 0)</f>
        <v/>
      </c>
      <c r="O760" s="3">
        <f>IF(J760&lt;0, 1, 0)</f>
        <v/>
      </c>
      <c r="P760" s="3">
        <f>SUM($J$3:J760)</f>
        <v/>
      </c>
      <c r="Q760" s="3">
        <f>P760/METRICS!$C$14*100</f>
        <v/>
      </c>
      <c r="R760" s="3">
        <f>METRICS!$C$14+P760</f>
        <v/>
      </c>
      <c r="S760" s="3">
        <f>MAX($R$3:R760)</f>
        <v/>
      </c>
      <c r="T760" s="3">
        <f>R760-S760</f>
        <v/>
      </c>
      <c r="U760" s="3">
        <f>(R760-S760)/S760*100</f>
        <v/>
      </c>
      <c r="V760" s="3">
        <f>IF(K760&lt;0, (K760/100)^2, 0)</f>
        <v/>
      </c>
    </row>
    <row r="761">
      <c r="A761" s="3">
        <f>TEXT(759, """T""0000")</f>
        <v/>
      </c>
      <c r="B761" s="3">
        <f>RAW_INPUT!A761</f>
        <v/>
      </c>
      <c r="C761" s="3">
        <f>RAW_INPUT!B761</f>
        <v/>
      </c>
      <c r="D761" s="3">
        <f>RAW_INPUT!D761</f>
        <v/>
      </c>
      <c r="E761" s="3">
        <f>D761-C761</f>
        <v/>
      </c>
      <c r="F761" s="3">
        <f>RAW_INPUT!C761</f>
        <v/>
      </c>
      <c r="G761" s="3">
        <f>RAW_INPUT!E761</f>
        <v/>
      </c>
      <c r="H761" s="3">
        <f>I761/F761</f>
        <v/>
      </c>
      <c r="I761" s="3">
        <f>METRICS!$C$14 * 0.02</f>
        <v/>
      </c>
      <c r="J761" s="3">
        <f>(G761-F761)*H761</f>
        <v/>
      </c>
      <c r="K761" s="3">
        <f>(G761-F761)/F761*100</f>
        <v/>
      </c>
      <c r="L761" s="3">
        <f>RAW_INPUT!F761</f>
        <v/>
      </c>
      <c r="M761" s="3">
        <f>K761-L761</f>
        <v/>
      </c>
      <c r="N761" s="3">
        <f>IF(J761&gt;0, 1, 0)</f>
        <v/>
      </c>
      <c r="O761" s="3">
        <f>IF(J761&lt;0, 1, 0)</f>
        <v/>
      </c>
      <c r="P761" s="3">
        <f>SUM($J$3:J761)</f>
        <v/>
      </c>
      <c r="Q761" s="3">
        <f>P761/METRICS!$C$14*100</f>
        <v/>
      </c>
      <c r="R761" s="3">
        <f>METRICS!$C$14+P761</f>
        <v/>
      </c>
      <c r="S761" s="3">
        <f>MAX($R$3:R761)</f>
        <v/>
      </c>
      <c r="T761" s="3">
        <f>R761-S761</f>
        <v/>
      </c>
      <c r="U761" s="3">
        <f>(R761-S761)/S761*100</f>
        <v/>
      </c>
      <c r="V761" s="3">
        <f>IF(K761&lt;0, (K761/100)^2, 0)</f>
        <v/>
      </c>
    </row>
    <row r="762">
      <c r="A762" s="3">
        <f>TEXT(760, """T""0000")</f>
        <v/>
      </c>
      <c r="B762" s="3">
        <f>RAW_INPUT!A762</f>
        <v/>
      </c>
      <c r="C762" s="3">
        <f>RAW_INPUT!B762</f>
        <v/>
      </c>
      <c r="D762" s="3">
        <f>RAW_INPUT!D762</f>
        <v/>
      </c>
      <c r="E762" s="3">
        <f>D762-C762</f>
        <v/>
      </c>
      <c r="F762" s="3">
        <f>RAW_INPUT!C762</f>
        <v/>
      </c>
      <c r="G762" s="3">
        <f>RAW_INPUT!E762</f>
        <v/>
      </c>
      <c r="H762" s="3">
        <f>I762/F762</f>
        <v/>
      </c>
      <c r="I762" s="3">
        <f>METRICS!$C$14 * 0.02</f>
        <v/>
      </c>
      <c r="J762" s="3">
        <f>(G762-F762)*H762</f>
        <v/>
      </c>
      <c r="K762" s="3">
        <f>(G762-F762)/F762*100</f>
        <v/>
      </c>
      <c r="L762" s="3">
        <f>RAW_INPUT!F762</f>
        <v/>
      </c>
      <c r="M762" s="3">
        <f>K762-L762</f>
        <v/>
      </c>
      <c r="N762" s="3">
        <f>IF(J762&gt;0, 1, 0)</f>
        <v/>
      </c>
      <c r="O762" s="3">
        <f>IF(J762&lt;0, 1, 0)</f>
        <v/>
      </c>
      <c r="P762" s="3">
        <f>SUM($J$3:J762)</f>
        <v/>
      </c>
      <c r="Q762" s="3">
        <f>P762/METRICS!$C$14*100</f>
        <v/>
      </c>
      <c r="R762" s="3">
        <f>METRICS!$C$14+P762</f>
        <v/>
      </c>
      <c r="S762" s="3">
        <f>MAX($R$3:R762)</f>
        <v/>
      </c>
      <c r="T762" s="3">
        <f>R762-S762</f>
        <v/>
      </c>
      <c r="U762" s="3">
        <f>(R762-S762)/S762*100</f>
        <v/>
      </c>
      <c r="V762" s="3">
        <f>IF(K762&lt;0, (K762/100)^2, 0)</f>
        <v/>
      </c>
    </row>
    <row r="763">
      <c r="A763" s="3">
        <f>TEXT(761, """T""0000")</f>
        <v/>
      </c>
      <c r="B763" s="3">
        <f>RAW_INPUT!A763</f>
        <v/>
      </c>
      <c r="C763" s="3">
        <f>RAW_INPUT!B763</f>
        <v/>
      </c>
      <c r="D763" s="3">
        <f>RAW_INPUT!D763</f>
        <v/>
      </c>
      <c r="E763" s="3">
        <f>D763-C763</f>
        <v/>
      </c>
      <c r="F763" s="3">
        <f>RAW_INPUT!C763</f>
        <v/>
      </c>
      <c r="G763" s="3">
        <f>RAW_INPUT!E763</f>
        <v/>
      </c>
      <c r="H763" s="3">
        <f>I763/F763</f>
        <v/>
      </c>
      <c r="I763" s="3">
        <f>METRICS!$C$14 * 0.02</f>
        <v/>
      </c>
      <c r="J763" s="3">
        <f>(G763-F763)*H763</f>
        <v/>
      </c>
      <c r="K763" s="3">
        <f>(G763-F763)/F763*100</f>
        <v/>
      </c>
      <c r="L763" s="3">
        <f>RAW_INPUT!F763</f>
        <v/>
      </c>
      <c r="M763" s="3">
        <f>K763-L763</f>
        <v/>
      </c>
      <c r="N763" s="3">
        <f>IF(J763&gt;0, 1, 0)</f>
        <v/>
      </c>
      <c r="O763" s="3">
        <f>IF(J763&lt;0, 1, 0)</f>
        <v/>
      </c>
      <c r="P763" s="3">
        <f>SUM($J$3:J763)</f>
        <v/>
      </c>
      <c r="Q763" s="3">
        <f>P763/METRICS!$C$14*100</f>
        <v/>
      </c>
      <c r="R763" s="3">
        <f>METRICS!$C$14+P763</f>
        <v/>
      </c>
      <c r="S763" s="3">
        <f>MAX($R$3:R763)</f>
        <v/>
      </c>
      <c r="T763" s="3">
        <f>R763-S763</f>
        <v/>
      </c>
      <c r="U763" s="3">
        <f>(R763-S763)/S763*100</f>
        <v/>
      </c>
      <c r="V763" s="3">
        <f>IF(K763&lt;0, (K763/100)^2, 0)</f>
        <v/>
      </c>
    </row>
    <row r="764">
      <c r="A764" s="3">
        <f>TEXT(762, """T""0000")</f>
        <v/>
      </c>
      <c r="B764" s="3">
        <f>RAW_INPUT!A764</f>
        <v/>
      </c>
      <c r="C764" s="3">
        <f>RAW_INPUT!B764</f>
        <v/>
      </c>
      <c r="D764" s="3">
        <f>RAW_INPUT!D764</f>
        <v/>
      </c>
      <c r="E764" s="3">
        <f>D764-C764</f>
        <v/>
      </c>
      <c r="F764" s="3">
        <f>RAW_INPUT!C764</f>
        <v/>
      </c>
      <c r="G764" s="3">
        <f>RAW_INPUT!E764</f>
        <v/>
      </c>
      <c r="H764" s="3">
        <f>I764/F764</f>
        <v/>
      </c>
      <c r="I764" s="3">
        <f>METRICS!$C$14 * 0.02</f>
        <v/>
      </c>
      <c r="J764" s="3">
        <f>(G764-F764)*H764</f>
        <v/>
      </c>
      <c r="K764" s="3">
        <f>(G764-F764)/F764*100</f>
        <v/>
      </c>
      <c r="L764" s="3">
        <f>RAW_INPUT!F764</f>
        <v/>
      </c>
      <c r="M764" s="3">
        <f>K764-L764</f>
        <v/>
      </c>
      <c r="N764" s="3">
        <f>IF(J764&gt;0, 1, 0)</f>
        <v/>
      </c>
      <c r="O764" s="3">
        <f>IF(J764&lt;0, 1, 0)</f>
        <v/>
      </c>
      <c r="P764" s="3">
        <f>SUM($J$3:J764)</f>
        <v/>
      </c>
      <c r="Q764" s="3">
        <f>P764/METRICS!$C$14*100</f>
        <v/>
      </c>
      <c r="R764" s="3">
        <f>METRICS!$C$14+P764</f>
        <v/>
      </c>
      <c r="S764" s="3">
        <f>MAX($R$3:R764)</f>
        <v/>
      </c>
      <c r="T764" s="3">
        <f>R764-S764</f>
        <v/>
      </c>
      <c r="U764" s="3">
        <f>(R764-S764)/S764*100</f>
        <v/>
      </c>
      <c r="V764" s="3">
        <f>IF(K764&lt;0, (K764/100)^2, 0)</f>
        <v/>
      </c>
    </row>
    <row r="765">
      <c r="A765" s="3">
        <f>TEXT(763, """T""0000")</f>
        <v/>
      </c>
      <c r="B765" s="3">
        <f>RAW_INPUT!A765</f>
        <v/>
      </c>
      <c r="C765" s="3">
        <f>RAW_INPUT!B765</f>
        <v/>
      </c>
      <c r="D765" s="3">
        <f>RAW_INPUT!D765</f>
        <v/>
      </c>
      <c r="E765" s="3">
        <f>D765-C765</f>
        <v/>
      </c>
      <c r="F765" s="3">
        <f>RAW_INPUT!C765</f>
        <v/>
      </c>
      <c r="G765" s="3">
        <f>RAW_INPUT!E765</f>
        <v/>
      </c>
      <c r="H765" s="3">
        <f>I765/F765</f>
        <v/>
      </c>
      <c r="I765" s="3">
        <f>METRICS!$C$14 * 0.02</f>
        <v/>
      </c>
      <c r="J765" s="3">
        <f>(G765-F765)*H765</f>
        <v/>
      </c>
      <c r="K765" s="3">
        <f>(G765-F765)/F765*100</f>
        <v/>
      </c>
      <c r="L765" s="3">
        <f>RAW_INPUT!F765</f>
        <v/>
      </c>
      <c r="M765" s="3">
        <f>K765-L765</f>
        <v/>
      </c>
      <c r="N765" s="3">
        <f>IF(J765&gt;0, 1, 0)</f>
        <v/>
      </c>
      <c r="O765" s="3">
        <f>IF(J765&lt;0, 1, 0)</f>
        <v/>
      </c>
      <c r="P765" s="3">
        <f>SUM($J$3:J765)</f>
        <v/>
      </c>
      <c r="Q765" s="3">
        <f>P765/METRICS!$C$14*100</f>
        <v/>
      </c>
      <c r="R765" s="3">
        <f>METRICS!$C$14+P765</f>
        <v/>
      </c>
      <c r="S765" s="3">
        <f>MAX($R$3:R765)</f>
        <v/>
      </c>
      <c r="T765" s="3">
        <f>R765-S765</f>
        <v/>
      </c>
      <c r="U765" s="3">
        <f>(R765-S765)/S765*100</f>
        <v/>
      </c>
      <c r="V765" s="3">
        <f>IF(K765&lt;0, (K765/100)^2, 0)</f>
        <v/>
      </c>
    </row>
    <row r="766">
      <c r="A766" s="3">
        <f>TEXT(764, """T""0000")</f>
        <v/>
      </c>
      <c r="B766" s="3">
        <f>RAW_INPUT!A766</f>
        <v/>
      </c>
      <c r="C766" s="3">
        <f>RAW_INPUT!B766</f>
        <v/>
      </c>
      <c r="D766" s="3">
        <f>RAW_INPUT!D766</f>
        <v/>
      </c>
      <c r="E766" s="3">
        <f>D766-C766</f>
        <v/>
      </c>
      <c r="F766" s="3">
        <f>RAW_INPUT!C766</f>
        <v/>
      </c>
      <c r="G766" s="3">
        <f>RAW_INPUT!E766</f>
        <v/>
      </c>
      <c r="H766" s="3">
        <f>I766/F766</f>
        <v/>
      </c>
      <c r="I766" s="3">
        <f>METRICS!$C$14 * 0.02</f>
        <v/>
      </c>
      <c r="J766" s="3">
        <f>(G766-F766)*H766</f>
        <v/>
      </c>
      <c r="K766" s="3">
        <f>(G766-F766)/F766*100</f>
        <v/>
      </c>
      <c r="L766" s="3">
        <f>RAW_INPUT!F766</f>
        <v/>
      </c>
      <c r="M766" s="3">
        <f>K766-L766</f>
        <v/>
      </c>
      <c r="N766" s="3">
        <f>IF(J766&gt;0, 1, 0)</f>
        <v/>
      </c>
      <c r="O766" s="3">
        <f>IF(J766&lt;0, 1, 0)</f>
        <v/>
      </c>
      <c r="P766" s="3">
        <f>SUM($J$3:J766)</f>
        <v/>
      </c>
      <c r="Q766" s="3">
        <f>P766/METRICS!$C$14*100</f>
        <v/>
      </c>
      <c r="R766" s="3">
        <f>METRICS!$C$14+P766</f>
        <v/>
      </c>
      <c r="S766" s="3">
        <f>MAX($R$3:R766)</f>
        <v/>
      </c>
      <c r="T766" s="3">
        <f>R766-S766</f>
        <v/>
      </c>
      <c r="U766" s="3">
        <f>(R766-S766)/S766*100</f>
        <v/>
      </c>
      <c r="V766" s="3">
        <f>IF(K766&lt;0, (K766/100)^2, 0)</f>
        <v/>
      </c>
    </row>
    <row r="767">
      <c r="A767" s="3">
        <f>TEXT(765, """T""0000")</f>
        <v/>
      </c>
      <c r="B767" s="3">
        <f>RAW_INPUT!A767</f>
        <v/>
      </c>
      <c r="C767" s="3">
        <f>RAW_INPUT!B767</f>
        <v/>
      </c>
      <c r="D767" s="3">
        <f>RAW_INPUT!D767</f>
        <v/>
      </c>
      <c r="E767" s="3">
        <f>D767-C767</f>
        <v/>
      </c>
      <c r="F767" s="3">
        <f>RAW_INPUT!C767</f>
        <v/>
      </c>
      <c r="G767" s="3">
        <f>RAW_INPUT!E767</f>
        <v/>
      </c>
      <c r="H767" s="3">
        <f>I767/F767</f>
        <v/>
      </c>
      <c r="I767" s="3">
        <f>METRICS!$C$14 * 0.02</f>
        <v/>
      </c>
      <c r="J767" s="3">
        <f>(G767-F767)*H767</f>
        <v/>
      </c>
      <c r="K767" s="3">
        <f>(G767-F767)/F767*100</f>
        <v/>
      </c>
      <c r="L767" s="3">
        <f>RAW_INPUT!F767</f>
        <v/>
      </c>
      <c r="M767" s="3">
        <f>K767-L767</f>
        <v/>
      </c>
      <c r="N767" s="3">
        <f>IF(J767&gt;0, 1, 0)</f>
        <v/>
      </c>
      <c r="O767" s="3">
        <f>IF(J767&lt;0, 1, 0)</f>
        <v/>
      </c>
      <c r="P767" s="3">
        <f>SUM($J$3:J767)</f>
        <v/>
      </c>
      <c r="Q767" s="3">
        <f>P767/METRICS!$C$14*100</f>
        <v/>
      </c>
      <c r="R767" s="3">
        <f>METRICS!$C$14+P767</f>
        <v/>
      </c>
      <c r="S767" s="3">
        <f>MAX($R$3:R767)</f>
        <v/>
      </c>
      <c r="T767" s="3">
        <f>R767-S767</f>
        <v/>
      </c>
      <c r="U767" s="3">
        <f>(R767-S767)/S767*100</f>
        <v/>
      </c>
      <c r="V767" s="3">
        <f>IF(K767&lt;0, (K767/100)^2, 0)</f>
        <v/>
      </c>
    </row>
    <row r="768">
      <c r="A768" s="3">
        <f>TEXT(766, """T""0000")</f>
        <v/>
      </c>
      <c r="B768" s="3">
        <f>RAW_INPUT!A768</f>
        <v/>
      </c>
      <c r="C768" s="3">
        <f>RAW_INPUT!B768</f>
        <v/>
      </c>
      <c r="D768" s="3">
        <f>RAW_INPUT!D768</f>
        <v/>
      </c>
      <c r="E768" s="3">
        <f>D768-C768</f>
        <v/>
      </c>
      <c r="F768" s="3">
        <f>RAW_INPUT!C768</f>
        <v/>
      </c>
      <c r="G768" s="3">
        <f>RAW_INPUT!E768</f>
        <v/>
      </c>
      <c r="H768" s="3">
        <f>I768/F768</f>
        <v/>
      </c>
      <c r="I768" s="3">
        <f>METRICS!$C$14 * 0.02</f>
        <v/>
      </c>
      <c r="J768" s="3">
        <f>(G768-F768)*H768</f>
        <v/>
      </c>
      <c r="K768" s="3">
        <f>(G768-F768)/F768*100</f>
        <v/>
      </c>
      <c r="L768" s="3">
        <f>RAW_INPUT!F768</f>
        <v/>
      </c>
      <c r="M768" s="3">
        <f>K768-L768</f>
        <v/>
      </c>
      <c r="N768" s="3">
        <f>IF(J768&gt;0, 1, 0)</f>
        <v/>
      </c>
      <c r="O768" s="3">
        <f>IF(J768&lt;0, 1, 0)</f>
        <v/>
      </c>
      <c r="P768" s="3">
        <f>SUM($J$3:J768)</f>
        <v/>
      </c>
      <c r="Q768" s="3">
        <f>P768/METRICS!$C$14*100</f>
        <v/>
      </c>
      <c r="R768" s="3">
        <f>METRICS!$C$14+P768</f>
        <v/>
      </c>
      <c r="S768" s="3">
        <f>MAX($R$3:R768)</f>
        <v/>
      </c>
      <c r="T768" s="3">
        <f>R768-S768</f>
        <v/>
      </c>
      <c r="U768" s="3">
        <f>(R768-S768)/S768*100</f>
        <v/>
      </c>
      <c r="V768" s="3">
        <f>IF(K768&lt;0, (K768/100)^2, 0)</f>
        <v/>
      </c>
    </row>
    <row r="769">
      <c r="A769" s="3">
        <f>TEXT(767, """T""0000")</f>
        <v/>
      </c>
      <c r="B769" s="3">
        <f>RAW_INPUT!A769</f>
        <v/>
      </c>
      <c r="C769" s="3">
        <f>RAW_INPUT!B769</f>
        <v/>
      </c>
      <c r="D769" s="3">
        <f>RAW_INPUT!D769</f>
        <v/>
      </c>
      <c r="E769" s="3">
        <f>D769-C769</f>
        <v/>
      </c>
      <c r="F769" s="3">
        <f>RAW_INPUT!C769</f>
        <v/>
      </c>
      <c r="G769" s="3">
        <f>RAW_INPUT!E769</f>
        <v/>
      </c>
      <c r="H769" s="3">
        <f>I769/F769</f>
        <v/>
      </c>
      <c r="I769" s="3">
        <f>METRICS!$C$14 * 0.02</f>
        <v/>
      </c>
      <c r="J769" s="3">
        <f>(G769-F769)*H769</f>
        <v/>
      </c>
      <c r="K769" s="3">
        <f>(G769-F769)/F769*100</f>
        <v/>
      </c>
      <c r="L769" s="3">
        <f>RAW_INPUT!F769</f>
        <v/>
      </c>
      <c r="M769" s="3">
        <f>K769-L769</f>
        <v/>
      </c>
      <c r="N769" s="3">
        <f>IF(J769&gt;0, 1, 0)</f>
        <v/>
      </c>
      <c r="O769" s="3">
        <f>IF(J769&lt;0, 1, 0)</f>
        <v/>
      </c>
      <c r="P769" s="3">
        <f>SUM($J$3:J769)</f>
        <v/>
      </c>
      <c r="Q769" s="3">
        <f>P769/METRICS!$C$14*100</f>
        <v/>
      </c>
      <c r="R769" s="3">
        <f>METRICS!$C$14+P769</f>
        <v/>
      </c>
      <c r="S769" s="3">
        <f>MAX($R$3:R769)</f>
        <v/>
      </c>
      <c r="T769" s="3">
        <f>R769-S769</f>
        <v/>
      </c>
      <c r="U769" s="3">
        <f>(R769-S769)/S769*100</f>
        <v/>
      </c>
      <c r="V769" s="3">
        <f>IF(K769&lt;0, (K769/100)^2, 0)</f>
        <v/>
      </c>
    </row>
    <row r="770">
      <c r="A770" s="3">
        <f>TEXT(768, """T""0000")</f>
        <v/>
      </c>
      <c r="B770" s="3">
        <f>RAW_INPUT!A770</f>
        <v/>
      </c>
      <c r="C770" s="3">
        <f>RAW_INPUT!B770</f>
        <v/>
      </c>
      <c r="D770" s="3">
        <f>RAW_INPUT!D770</f>
        <v/>
      </c>
      <c r="E770" s="3">
        <f>D770-C770</f>
        <v/>
      </c>
      <c r="F770" s="3">
        <f>RAW_INPUT!C770</f>
        <v/>
      </c>
      <c r="G770" s="3">
        <f>RAW_INPUT!E770</f>
        <v/>
      </c>
      <c r="H770" s="3">
        <f>I770/F770</f>
        <v/>
      </c>
      <c r="I770" s="3">
        <f>METRICS!$C$14 * 0.02</f>
        <v/>
      </c>
      <c r="J770" s="3">
        <f>(G770-F770)*H770</f>
        <v/>
      </c>
      <c r="K770" s="3">
        <f>(G770-F770)/F770*100</f>
        <v/>
      </c>
      <c r="L770" s="3">
        <f>RAW_INPUT!F770</f>
        <v/>
      </c>
      <c r="M770" s="3">
        <f>K770-L770</f>
        <v/>
      </c>
      <c r="N770" s="3">
        <f>IF(J770&gt;0, 1, 0)</f>
        <v/>
      </c>
      <c r="O770" s="3">
        <f>IF(J770&lt;0, 1, 0)</f>
        <v/>
      </c>
      <c r="P770" s="3">
        <f>SUM($J$3:J770)</f>
        <v/>
      </c>
      <c r="Q770" s="3">
        <f>P770/METRICS!$C$14*100</f>
        <v/>
      </c>
      <c r="R770" s="3">
        <f>METRICS!$C$14+P770</f>
        <v/>
      </c>
      <c r="S770" s="3">
        <f>MAX($R$3:R770)</f>
        <v/>
      </c>
      <c r="T770" s="3">
        <f>R770-S770</f>
        <v/>
      </c>
      <c r="U770" s="3">
        <f>(R770-S770)/S770*100</f>
        <v/>
      </c>
      <c r="V770" s="3">
        <f>IF(K770&lt;0, (K770/100)^2, 0)</f>
        <v/>
      </c>
    </row>
    <row r="771">
      <c r="A771" s="3">
        <f>TEXT(769, """T""0000")</f>
        <v/>
      </c>
      <c r="B771" s="3">
        <f>RAW_INPUT!A771</f>
        <v/>
      </c>
      <c r="C771" s="3">
        <f>RAW_INPUT!B771</f>
        <v/>
      </c>
      <c r="D771" s="3">
        <f>RAW_INPUT!D771</f>
        <v/>
      </c>
      <c r="E771" s="3">
        <f>D771-C771</f>
        <v/>
      </c>
      <c r="F771" s="3">
        <f>RAW_INPUT!C771</f>
        <v/>
      </c>
      <c r="G771" s="3">
        <f>RAW_INPUT!E771</f>
        <v/>
      </c>
      <c r="H771" s="3">
        <f>I771/F771</f>
        <v/>
      </c>
      <c r="I771" s="3">
        <f>METRICS!$C$14 * 0.02</f>
        <v/>
      </c>
      <c r="J771" s="3">
        <f>(G771-F771)*H771</f>
        <v/>
      </c>
      <c r="K771" s="3">
        <f>(G771-F771)/F771*100</f>
        <v/>
      </c>
      <c r="L771" s="3">
        <f>RAW_INPUT!F771</f>
        <v/>
      </c>
      <c r="M771" s="3">
        <f>K771-L771</f>
        <v/>
      </c>
      <c r="N771" s="3">
        <f>IF(J771&gt;0, 1, 0)</f>
        <v/>
      </c>
      <c r="O771" s="3">
        <f>IF(J771&lt;0, 1, 0)</f>
        <v/>
      </c>
      <c r="P771" s="3">
        <f>SUM($J$3:J771)</f>
        <v/>
      </c>
      <c r="Q771" s="3">
        <f>P771/METRICS!$C$14*100</f>
        <v/>
      </c>
      <c r="R771" s="3">
        <f>METRICS!$C$14+P771</f>
        <v/>
      </c>
      <c r="S771" s="3">
        <f>MAX($R$3:R771)</f>
        <v/>
      </c>
      <c r="T771" s="3">
        <f>R771-S771</f>
        <v/>
      </c>
      <c r="U771" s="3">
        <f>(R771-S771)/S771*100</f>
        <v/>
      </c>
      <c r="V771" s="3">
        <f>IF(K771&lt;0, (K771/100)^2, 0)</f>
        <v/>
      </c>
    </row>
    <row r="772">
      <c r="A772" s="3">
        <f>TEXT(770, """T""0000")</f>
        <v/>
      </c>
      <c r="B772" s="3">
        <f>RAW_INPUT!A772</f>
        <v/>
      </c>
      <c r="C772" s="3">
        <f>RAW_INPUT!B772</f>
        <v/>
      </c>
      <c r="D772" s="3">
        <f>RAW_INPUT!D772</f>
        <v/>
      </c>
      <c r="E772" s="3">
        <f>D772-C772</f>
        <v/>
      </c>
      <c r="F772" s="3">
        <f>RAW_INPUT!C772</f>
        <v/>
      </c>
      <c r="G772" s="3">
        <f>RAW_INPUT!E772</f>
        <v/>
      </c>
      <c r="H772" s="3">
        <f>I772/F772</f>
        <v/>
      </c>
      <c r="I772" s="3">
        <f>METRICS!$C$14 * 0.02</f>
        <v/>
      </c>
      <c r="J772" s="3">
        <f>(G772-F772)*H772</f>
        <v/>
      </c>
      <c r="K772" s="3">
        <f>(G772-F772)/F772*100</f>
        <v/>
      </c>
      <c r="L772" s="3">
        <f>RAW_INPUT!F772</f>
        <v/>
      </c>
      <c r="M772" s="3">
        <f>K772-L772</f>
        <v/>
      </c>
      <c r="N772" s="3">
        <f>IF(J772&gt;0, 1, 0)</f>
        <v/>
      </c>
      <c r="O772" s="3">
        <f>IF(J772&lt;0, 1, 0)</f>
        <v/>
      </c>
      <c r="P772" s="3">
        <f>SUM($J$3:J772)</f>
        <v/>
      </c>
      <c r="Q772" s="3">
        <f>P772/METRICS!$C$14*100</f>
        <v/>
      </c>
      <c r="R772" s="3">
        <f>METRICS!$C$14+P772</f>
        <v/>
      </c>
      <c r="S772" s="3">
        <f>MAX($R$3:R772)</f>
        <v/>
      </c>
      <c r="T772" s="3">
        <f>R772-S772</f>
        <v/>
      </c>
      <c r="U772" s="3">
        <f>(R772-S772)/S772*100</f>
        <v/>
      </c>
      <c r="V772" s="3">
        <f>IF(K772&lt;0, (K772/100)^2, 0)</f>
        <v/>
      </c>
    </row>
    <row r="773">
      <c r="A773" s="3">
        <f>TEXT(771, """T""0000")</f>
        <v/>
      </c>
      <c r="B773" s="3">
        <f>RAW_INPUT!A773</f>
        <v/>
      </c>
      <c r="C773" s="3">
        <f>RAW_INPUT!B773</f>
        <v/>
      </c>
      <c r="D773" s="3">
        <f>RAW_INPUT!D773</f>
        <v/>
      </c>
      <c r="E773" s="3">
        <f>D773-C773</f>
        <v/>
      </c>
      <c r="F773" s="3">
        <f>RAW_INPUT!C773</f>
        <v/>
      </c>
      <c r="G773" s="3">
        <f>RAW_INPUT!E773</f>
        <v/>
      </c>
      <c r="H773" s="3">
        <f>I773/F773</f>
        <v/>
      </c>
      <c r="I773" s="3">
        <f>METRICS!$C$14 * 0.02</f>
        <v/>
      </c>
      <c r="J773" s="3">
        <f>(G773-F773)*H773</f>
        <v/>
      </c>
      <c r="K773" s="3">
        <f>(G773-F773)/F773*100</f>
        <v/>
      </c>
      <c r="L773" s="3">
        <f>RAW_INPUT!F773</f>
        <v/>
      </c>
      <c r="M773" s="3">
        <f>K773-L773</f>
        <v/>
      </c>
      <c r="N773" s="3">
        <f>IF(J773&gt;0, 1, 0)</f>
        <v/>
      </c>
      <c r="O773" s="3">
        <f>IF(J773&lt;0, 1, 0)</f>
        <v/>
      </c>
      <c r="P773" s="3">
        <f>SUM($J$3:J773)</f>
        <v/>
      </c>
      <c r="Q773" s="3">
        <f>P773/METRICS!$C$14*100</f>
        <v/>
      </c>
      <c r="R773" s="3">
        <f>METRICS!$C$14+P773</f>
        <v/>
      </c>
      <c r="S773" s="3">
        <f>MAX($R$3:R773)</f>
        <v/>
      </c>
      <c r="T773" s="3">
        <f>R773-S773</f>
        <v/>
      </c>
      <c r="U773" s="3">
        <f>(R773-S773)/S773*100</f>
        <v/>
      </c>
      <c r="V773" s="3">
        <f>IF(K773&lt;0, (K773/100)^2, 0)</f>
        <v/>
      </c>
    </row>
    <row r="774">
      <c r="A774" s="3">
        <f>TEXT(772, """T""0000")</f>
        <v/>
      </c>
      <c r="B774" s="3">
        <f>RAW_INPUT!A774</f>
        <v/>
      </c>
      <c r="C774" s="3">
        <f>RAW_INPUT!B774</f>
        <v/>
      </c>
      <c r="D774" s="3">
        <f>RAW_INPUT!D774</f>
        <v/>
      </c>
      <c r="E774" s="3">
        <f>D774-C774</f>
        <v/>
      </c>
      <c r="F774" s="3">
        <f>RAW_INPUT!C774</f>
        <v/>
      </c>
      <c r="G774" s="3">
        <f>RAW_INPUT!E774</f>
        <v/>
      </c>
      <c r="H774" s="3">
        <f>I774/F774</f>
        <v/>
      </c>
      <c r="I774" s="3">
        <f>METRICS!$C$14 * 0.02</f>
        <v/>
      </c>
      <c r="J774" s="3">
        <f>(G774-F774)*H774</f>
        <v/>
      </c>
      <c r="K774" s="3">
        <f>(G774-F774)/F774*100</f>
        <v/>
      </c>
      <c r="L774" s="3">
        <f>RAW_INPUT!F774</f>
        <v/>
      </c>
      <c r="M774" s="3">
        <f>K774-L774</f>
        <v/>
      </c>
      <c r="N774" s="3">
        <f>IF(J774&gt;0, 1, 0)</f>
        <v/>
      </c>
      <c r="O774" s="3">
        <f>IF(J774&lt;0, 1, 0)</f>
        <v/>
      </c>
      <c r="P774" s="3">
        <f>SUM($J$3:J774)</f>
        <v/>
      </c>
      <c r="Q774" s="3">
        <f>P774/METRICS!$C$14*100</f>
        <v/>
      </c>
      <c r="R774" s="3">
        <f>METRICS!$C$14+P774</f>
        <v/>
      </c>
      <c r="S774" s="3">
        <f>MAX($R$3:R774)</f>
        <v/>
      </c>
      <c r="T774" s="3">
        <f>R774-S774</f>
        <v/>
      </c>
      <c r="U774" s="3">
        <f>(R774-S774)/S774*100</f>
        <v/>
      </c>
      <c r="V774" s="3">
        <f>IF(K774&lt;0, (K774/100)^2, 0)</f>
        <v/>
      </c>
    </row>
    <row r="775">
      <c r="A775" s="3">
        <f>TEXT(773, """T""0000")</f>
        <v/>
      </c>
      <c r="B775" s="3">
        <f>RAW_INPUT!A775</f>
        <v/>
      </c>
      <c r="C775" s="3">
        <f>RAW_INPUT!B775</f>
        <v/>
      </c>
      <c r="D775" s="3">
        <f>RAW_INPUT!D775</f>
        <v/>
      </c>
      <c r="E775" s="3">
        <f>D775-C775</f>
        <v/>
      </c>
      <c r="F775" s="3">
        <f>RAW_INPUT!C775</f>
        <v/>
      </c>
      <c r="G775" s="3">
        <f>RAW_INPUT!E775</f>
        <v/>
      </c>
      <c r="H775" s="3">
        <f>I775/F775</f>
        <v/>
      </c>
      <c r="I775" s="3">
        <f>METRICS!$C$14 * 0.02</f>
        <v/>
      </c>
      <c r="J775" s="3">
        <f>(G775-F775)*H775</f>
        <v/>
      </c>
      <c r="K775" s="3">
        <f>(G775-F775)/F775*100</f>
        <v/>
      </c>
      <c r="L775" s="3">
        <f>RAW_INPUT!F775</f>
        <v/>
      </c>
      <c r="M775" s="3">
        <f>K775-L775</f>
        <v/>
      </c>
      <c r="N775" s="3">
        <f>IF(J775&gt;0, 1, 0)</f>
        <v/>
      </c>
      <c r="O775" s="3">
        <f>IF(J775&lt;0, 1, 0)</f>
        <v/>
      </c>
      <c r="P775" s="3">
        <f>SUM($J$3:J775)</f>
        <v/>
      </c>
      <c r="Q775" s="3">
        <f>P775/METRICS!$C$14*100</f>
        <v/>
      </c>
      <c r="R775" s="3">
        <f>METRICS!$C$14+P775</f>
        <v/>
      </c>
      <c r="S775" s="3">
        <f>MAX($R$3:R775)</f>
        <v/>
      </c>
      <c r="T775" s="3">
        <f>R775-S775</f>
        <v/>
      </c>
      <c r="U775" s="3">
        <f>(R775-S775)/S775*100</f>
        <v/>
      </c>
      <c r="V775" s="3">
        <f>IF(K775&lt;0, (K775/100)^2, 0)</f>
        <v/>
      </c>
    </row>
    <row r="776">
      <c r="A776" s="3">
        <f>TEXT(774, """T""0000")</f>
        <v/>
      </c>
      <c r="B776" s="3">
        <f>RAW_INPUT!A776</f>
        <v/>
      </c>
      <c r="C776" s="3">
        <f>RAW_INPUT!B776</f>
        <v/>
      </c>
      <c r="D776" s="3">
        <f>RAW_INPUT!D776</f>
        <v/>
      </c>
      <c r="E776" s="3">
        <f>D776-C776</f>
        <v/>
      </c>
      <c r="F776" s="3">
        <f>RAW_INPUT!C776</f>
        <v/>
      </c>
      <c r="G776" s="3">
        <f>RAW_INPUT!E776</f>
        <v/>
      </c>
      <c r="H776" s="3">
        <f>I776/F776</f>
        <v/>
      </c>
      <c r="I776" s="3">
        <f>METRICS!$C$14 * 0.02</f>
        <v/>
      </c>
      <c r="J776" s="3">
        <f>(G776-F776)*H776</f>
        <v/>
      </c>
      <c r="K776" s="3">
        <f>(G776-F776)/F776*100</f>
        <v/>
      </c>
      <c r="L776" s="3">
        <f>RAW_INPUT!F776</f>
        <v/>
      </c>
      <c r="M776" s="3">
        <f>K776-L776</f>
        <v/>
      </c>
      <c r="N776" s="3">
        <f>IF(J776&gt;0, 1, 0)</f>
        <v/>
      </c>
      <c r="O776" s="3">
        <f>IF(J776&lt;0, 1, 0)</f>
        <v/>
      </c>
      <c r="P776" s="3">
        <f>SUM($J$3:J776)</f>
        <v/>
      </c>
      <c r="Q776" s="3">
        <f>P776/METRICS!$C$14*100</f>
        <v/>
      </c>
      <c r="R776" s="3">
        <f>METRICS!$C$14+P776</f>
        <v/>
      </c>
      <c r="S776" s="3">
        <f>MAX($R$3:R776)</f>
        <v/>
      </c>
      <c r="T776" s="3">
        <f>R776-S776</f>
        <v/>
      </c>
      <c r="U776" s="3">
        <f>(R776-S776)/S776*100</f>
        <v/>
      </c>
      <c r="V776" s="3">
        <f>IF(K776&lt;0, (K776/100)^2, 0)</f>
        <v/>
      </c>
    </row>
    <row r="777">
      <c r="A777" s="3">
        <f>TEXT(775, """T""0000")</f>
        <v/>
      </c>
      <c r="B777" s="3">
        <f>RAW_INPUT!A777</f>
        <v/>
      </c>
      <c r="C777" s="3">
        <f>RAW_INPUT!B777</f>
        <v/>
      </c>
      <c r="D777" s="3">
        <f>RAW_INPUT!D777</f>
        <v/>
      </c>
      <c r="E777" s="3">
        <f>D777-C777</f>
        <v/>
      </c>
      <c r="F777" s="3">
        <f>RAW_INPUT!C777</f>
        <v/>
      </c>
      <c r="G777" s="3">
        <f>RAW_INPUT!E777</f>
        <v/>
      </c>
      <c r="H777" s="3">
        <f>I777/F777</f>
        <v/>
      </c>
      <c r="I777" s="3">
        <f>METRICS!$C$14 * 0.02</f>
        <v/>
      </c>
      <c r="J777" s="3">
        <f>(G777-F777)*H777</f>
        <v/>
      </c>
      <c r="K777" s="3">
        <f>(G777-F777)/F777*100</f>
        <v/>
      </c>
      <c r="L777" s="3">
        <f>RAW_INPUT!F777</f>
        <v/>
      </c>
      <c r="M777" s="3">
        <f>K777-L777</f>
        <v/>
      </c>
      <c r="N777" s="3">
        <f>IF(J777&gt;0, 1, 0)</f>
        <v/>
      </c>
      <c r="O777" s="3">
        <f>IF(J777&lt;0, 1, 0)</f>
        <v/>
      </c>
      <c r="P777" s="3">
        <f>SUM($J$3:J777)</f>
        <v/>
      </c>
      <c r="Q777" s="3">
        <f>P777/METRICS!$C$14*100</f>
        <v/>
      </c>
      <c r="R777" s="3">
        <f>METRICS!$C$14+P777</f>
        <v/>
      </c>
      <c r="S777" s="3">
        <f>MAX($R$3:R777)</f>
        <v/>
      </c>
      <c r="T777" s="3">
        <f>R777-S777</f>
        <v/>
      </c>
      <c r="U777" s="3">
        <f>(R777-S777)/S777*100</f>
        <v/>
      </c>
      <c r="V777" s="3">
        <f>IF(K777&lt;0, (K777/100)^2, 0)</f>
        <v/>
      </c>
    </row>
    <row r="778">
      <c r="A778" s="3">
        <f>TEXT(776, """T""0000")</f>
        <v/>
      </c>
      <c r="B778" s="3">
        <f>RAW_INPUT!A778</f>
        <v/>
      </c>
      <c r="C778" s="3">
        <f>RAW_INPUT!B778</f>
        <v/>
      </c>
      <c r="D778" s="3">
        <f>RAW_INPUT!D778</f>
        <v/>
      </c>
      <c r="E778" s="3">
        <f>D778-C778</f>
        <v/>
      </c>
      <c r="F778" s="3">
        <f>RAW_INPUT!C778</f>
        <v/>
      </c>
      <c r="G778" s="3">
        <f>RAW_INPUT!E778</f>
        <v/>
      </c>
      <c r="H778" s="3">
        <f>I778/F778</f>
        <v/>
      </c>
      <c r="I778" s="3">
        <f>METRICS!$C$14 * 0.02</f>
        <v/>
      </c>
      <c r="J778" s="3">
        <f>(G778-F778)*H778</f>
        <v/>
      </c>
      <c r="K778" s="3">
        <f>(G778-F778)/F778*100</f>
        <v/>
      </c>
      <c r="L778" s="3">
        <f>RAW_INPUT!F778</f>
        <v/>
      </c>
      <c r="M778" s="3">
        <f>K778-L778</f>
        <v/>
      </c>
      <c r="N778" s="3">
        <f>IF(J778&gt;0, 1, 0)</f>
        <v/>
      </c>
      <c r="O778" s="3">
        <f>IF(J778&lt;0, 1, 0)</f>
        <v/>
      </c>
      <c r="P778" s="3">
        <f>SUM($J$3:J778)</f>
        <v/>
      </c>
      <c r="Q778" s="3">
        <f>P778/METRICS!$C$14*100</f>
        <v/>
      </c>
      <c r="R778" s="3">
        <f>METRICS!$C$14+P778</f>
        <v/>
      </c>
      <c r="S778" s="3">
        <f>MAX($R$3:R778)</f>
        <v/>
      </c>
      <c r="T778" s="3">
        <f>R778-S778</f>
        <v/>
      </c>
      <c r="U778" s="3">
        <f>(R778-S778)/S778*100</f>
        <v/>
      </c>
      <c r="V778" s="3">
        <f>IF(K778&lt;0, (K778/100)^2, 0)</f>
        <v/>
      </c>
    </row>
    <row r="779">
      <c r="A779" s="3">
        <f>TEXT(777, """T""0000")</f>
        <v/>
      </c>
      <c r="B779" s="3">
        <f>RAW_INPUT!A779</f>
        <v/>
      </c>
      <c r="C779" s="3">
        <f>RAW_INPUT!B779</f>
        <v/>
      </c>
      <c r="D779" s="3">
        <f>RAW_INPUT!D779</f>
        <v/>
      </c>
      <c r="E779" s="3">
        <f>D779-C779</f>
        <v/>
      </c>
      <c r="F779" s="3">
        <f>RAW_INPUT!C779</f>
        <v/>
      </c>
      <c r="G779" s="3">
        <f>RAW_INPUT!E779</f>
        <v/>
      </c>
      <c r="H779" s="3">
        <f>I779/F779</f>
        <v/>
      </c>
      <c r="I779" s="3">
        <f>METRICS!$C$14 * 0.02</f>
        <v/>
      </c>
      <c r="J779" s="3">
        <f>(G779-F779)*H779</f>
        <v/>
      </c>
      <c r="K779" s="3">
        <f>(G779-F779)/F779*100</f>
        <v/>
      </c>
      <c r="L779" s="3">
        <f>RAW_INPUT!F779</f>
        <v/>
      </c>
      <c r="M779" s="3">
        <f>K779-L779</f>
        <v/>
      </c>
      <c r="N779" s="3">
        <f>IF(J779&gt;0, 1, 0)</f>
        <v/>
      </c>
      <c r="O779" s="3">
        <f>IF(J779&lt;0, 1, 0)</f>
        <v/>
      </c>
      <c r="P779" s="3">
        <f>SUM($J$3:J779)</f>
        <v/>
      </c>
      <c r="Q779" s="3">
        <f>P779/METRICS!$C$14*100</f>
        <v/>
      </c>
      <c r="R779" s="3">
        <f>METRICS!$C$14+P779</f>
        <v/>
      </c>
      <c r="S779" s="3">
        <f>MAX($R$3:R779)</f>
        <v/>
      </c>
      <c r="T779" s="3">
        <f>R779-S779</f>
        <v/>
      </c>
      <c r="U779" s="3">
        <f>(R779-S779)/S779*100</f>
        <v/>
      </c>
      <c r="V779" s="3">
        <f>IF(K779&lt;0, (K779/100)^2, 0)</f>
        <v/>
      </c>
    </row>
    <row r="780">
      <c r="A780" s="3">
        <f>TEXT(778, """T""0000")</f>
        <v/>
      </c>
      <c r="B780" s="3">
        <f>RAW_INPUT!A780</f>
        <v/>
      </c>
      <c r="C780" s="3">
        <f>RAW_INPUT!B780</f>
        <v/>
      </c>
      <c r="D780" s="3">
        <f>RAW_INPUT!D780</f>
        <v/>
      </c>
      <c r="E780" s="3">
        <f>D780-C780</f>
        <v/>
      </c>
      <c r="F780" s="3">
        <f>RAW_INPUT!C780</f>
        <v/>
      </c>
      <c r="G780" s="3">
        <f>RAW_INPUT!E780</f>
        <v/>
      </c>
      <c r="H780" s="3">
        <f>I780/F780</f>
        <v/>
      </c>
      <c r="I780" s="3">
        <f>METRICS!$C$14 * 0.02</f>
        <v/>
      </c>
      <c r="J780" s="3">
        <f>(G780-F780)*H780</f>
        <v/>
      </c>
      <c r="K780" s="3">
        <f>(G780-F780)/F780*100</f>
        <v/>
      </c>
      <c r="L780" s="3">
        <f>RAW_INPUT!F780</f>
        <v/>
      </c>
      <c r="M780" s="3">
        <f>K780-L780</f>
        <v/>
      </c>
      <c r="N780" s="3">
        <f>IF(J780&gt;0, 1, 0)</f>
        <v/>
      </c>
      <c r="O780" s="3">
        <f>IF(J780&lt;0, 1, 0)</f>
        <v/>
      </c>
      <c r="P780" s="3">
        <f>SUM($J$3:J780)</f>
        <v/>
      </c>
      <c r="Q780" s="3">
        <f>P780/METRICS!$C$14*100</f>
        <v/>
      </c>
      <c r="R780" s="3">
        <f>METRICS!$C$14+P780</f>
        <v/>
      </c>
      <c r="S780" s="3">
        <f>MAX($R$3:R780)</f>
        <v/>
      </c>
      <c r="T780" s="3">
        <f>R780-S780</f>
        <v/>
      </c>
      <c r="U780" s="3">
        <f>(R780-S780)/S780*100</f>
        <v/>
      </c>
      <c r="V780" s="3">
        <f>IF(K780&lt;0, (K780/100)^2, 0)</f>
        <v/>
      </c>
    </row>
    <row r="781">
      <c r="A781" s="3">
        <f>TEXT(779, """T""0000")</f>
        <v/>
      </c>
      <c r="B781" s="3">
        <f>RAW_INPUT!A781</f>
        <v/>
      </c>
      <c r="C781" s="3">
        <f>RAW_INPUT!B781</f>
        <v/>
      </c>
      <c r="D781" s="3">
        <f>RAW_INPUT!D781</f>
        <v/>
      </c>
      <c r="E781" s="3">
        <f>D781-C781</f>
        <v/>
      </c>
      <c r="F781" s="3">
        <f>RAW_INPUT!C781</f>
        <v/>
      </c>
      <c r="G781" s="3">
        <f>RAW_INPUT!E781</f>
        <v/>
      </c>
      <c r="H781" s="3">
        <f>I781/F781</f>
        <v/>
      </c>
      <c r="I781" s="3">
        <f>METRICS!$C$14 * 0.02</f>
        <v/>
      </c>
      <c r="J781" s="3">
        <f>(G781-F781)*H781</f>
        <v/>
      </c>
      <c r="K781" s="3">
        <f>(G781-F781)/F781*100</f>
        <v/>
      </c>
      <c r="L781" s="3">
        <f>RAW_INPUT!F781</f>
        <v/>
      </c>
      <c r="M781" s="3">
        <f>K781-L781</f>
        <v/>
      </c>
      <c r="N781" s="3">
        <f>IF(J781&gt;0, 1, 0)</f>
        <v/>
      </c>
      <c r="O781" s="3">
        <f>IF(J781&lt;0, 1, 0)</f>
        <v/>
      </c>
      <c r="P781" s="3">
        <f>SUM($J$3:J781)</f>
        <v/>
      </c>
      <c r="Q781" s="3">
        <f>P781/METRICS!$C$14*100</f>
        <v/>
      </c>
      <c r="R781" s="3">
        <f>METRICS!$C$14+P781</f>
        <v/>
      </c>
      <c r="S781" s="3">
        <f>MAX($R$3:R781)</f>
        <v/>
      </c>
      <c r="T781" s="3">
        <f>R781-S781</f>
        <v/>
      </c>
      <c r="U781" s="3">
        <f>(R781-S781)/S781*100</f>
        <v/>
      </c>
      <c r="V781" s="3">
        <f>IF(K781&lt;0, (K781/100)^2, 0)</f>
        <v/>
      </c>
    </row>
    <row r="782">
      <c r="A782" s="3">
        <f>TEXT(780, """T""0000")</f>
        <v/>
      </c>
      <c r="B782" s="3">
        <f>RAW_INPUT!A782</f>
        <v/>
      </c>
      <c r="C782" s="3">
        <f>RAW_INPUT!B782</f>
        <v/>
      </c>
      <c r="D782" s="3">
        <f>RAW_INPUT!D782</f>
        <v/>
      </c>
      <c r="E782" s="3">
        <f>D782-C782</f>
        <v/>
      </c>
      <c r="F782" s="3">
        <f>RAW_INPUT!C782</f>
        <v/>
      </c>
      <c r="G782" s="3">
        <f>RAW_INPUT!E782</f>
        <v/>
      </c>
      <c r="H782" s="3">
        <f>I782/F782</f>
        <v/>
      </c>
      <c r="I782" s="3">
        <f>METRICS!$C$14 * 0.02</f>
        <v/>
      </c>
      <c r="J782" s="3">
        <f>(G782-F782)*H782</f>
        <v/>
      </c>
      <c r="K782" s="3">
        <f>(G782-F782)/F782*100</f>
        <v/>
      </c>
      <c r="L782" s="3">
        <f>RAW_INPUT!F782</f>
        <v/>
      </c>
      <c r="M782" s="3">
        <f>K782-L782</f>
        <v/>
      </c>
      <c r="N782" s="3">
        <f>IF(J782&gt;0, 1, 0)</f>
        <v/>
      </c>
      <c r="O782" s="3">
        <f>IF(J782&lt;0, 1, 0)</f>
        <v/>
      </c>
      <c r="P782" s="3">
        <f>SUM($J$3:J782)</f>
        <v/>
      </c>
      <c r="Q782" s="3">
        <f>P782/METRICS!$C$14*100</f>
        <v/>
      </c>
      <c r="R782" s="3">
        <f>METRICS!$C$14+P782</f>
        <v/>
      </c>
      <c r="S782" s="3">
        <f>MAX($R$3:R782)</f>
        <v/>
      </c>
      <c r="T782" s="3">
        <f>R782-S782</f>
        <v/>
      </c>
      <c r="U782" s="3">
        <f>(R782-S782)/S782*100</f>
        <v/>
      </c>
      <c r="V782" s="3">
        <f>IF(K782&lt;0, (K782/100)^2, 0)</f>
        <v/>
      </c>
    </row>
    <row r="783">
      <c r="A783" s="3">
        <f>TEXT(781, """T""0000")</f>
        <v/>
      </c>
      <c r="B783" s="3">
        <f>RAW_INPUT!A783</f>
        <v/>
      </c>
      <c r="C783" s="3">
        <f>RAW_INPUT!B783</f>
        <v/>
      </c>
      <c r="D783" s="3">
        <f>RAW_INPUT!D783</f>
        <v/>
      </c>
      <c r="E783" s="3">
        <f>D783-C783</f>
        <v/>
      </c>
      <c r="F783" s="3">
        <f>RAW_INPUT!C783</f>
        <v/>
      </c>
      <c r="G783" s="3">
        <f>RAW_INPUT!E783</f>
        <v/>
      </c>
      <c r="H783" s="3">
        <f>I783/F783</f>
        <v/>
      </c>
      <c r="I783" s="3">
        <f>METRICS!$C$14 * 0.02</f>
        <v/>
      </c>
      <c r="J783" s="3">
        <f>(G783-F783)*H783</f>
        <v/>
      </c>
      <c r="K783" s="3">
        <f>(G783-F783)/F783*100</f>
        <v/>
      </c>
      <c r="L783" s="3">
        <f>RAW_INPUT!F783</f>
        <v/>
      </c>
      <c r="M783" s="3">
        <f>K783-L783</f>
        <v/>
      </c>
      <c r="N783" s="3">
        <f>IF(J783&gt;0, 1, 0)</f>
        <v/>
      </c>
      <c r="O783" s="3">
        <f>IF(J783&lt;0, 1, 0)</f>
        <v/>
      </c>
      <c r="P783" s="3">
        <f>SUM($J$3:J783)</f>
        <v/>
      </c>
      <c r="Q783" s="3">
        <f>P783/METRICS!$C$14*100</f>
        <v/>
      </c>
      <c r="R783" s="3">
        <f>METRICS!$C$14+P783</f>
        <v/>
      </c>
      <c r="S783" s="3">
        <f>MAX($R$3:R783)</f>
        <v/>
      </c>
      <c r="T783" s="3">
        <f>R783-S783</f>
        <v/>
      </c>
      <c r="U783" s="3">
        <f>(R783-S783)/S783*100</f>
        <v/>
      </c>
      <c r="V783" s="3">
        <f>IF(K783&lt;0, (K783/100)^2, 0)</f>
        <v/>
      </c>
    </row>
    <row r="784">
      <c r="A784" s="3">
        <f>TEXT(782, """T""0000")</f>
        <v/>
      </c>
      <c r="B784" s="3">
        <f>RAW_INPUT!A784</f>
        <v/>
      </c>
      <c r="C784" s="3">
        <f>RAW_INPUT!B784</f>
        <v/>
      </c>
      <c r="D784" s="3">
        <f>RAW_INPUT!D784</f>
        <v/>
      </c>
      <c r="E784" s="3">
        <f>D784-C784</f>
        <v/>
      </c>
      <c r="F784" s="3">
        <f>RAW_INPUT!C784</f>
        <v/>
      </c>
      <c r="G784" s="3">
        <f>RAW_INPUT!E784</f>
        <v/>
      </c>
      <c r="H784" s="3">
        <f>I784/F784</f>
        <v/>
      </c>
      <c r="I784" s="3">
        <f>METRICS!$C$14 * 0.02</f>
        <v/>
      </c>
      <c r="J784" s="3">
        <f>(G784-F784)*H784</f>
        <v/>
      </c>
      <c r="K784" s="3">
        <f>(G784-F784)/F784*100</f>
        <v/>
      </c>
      <c r="L784" s="3">
        <f>RAW_INPUT!F784</f>
        <v/>
      </c>
      <c r="M784" s="3">
        <f>K784-L784</f>
        <v/>
      </c>
      <c r="N784" s="3">
        <f>IF(J784&gt;0, 1, 0)</f>
        <v/>
      </c>
      <c r="O784" s="3">
        <f>IF(J784&lt;0, 1, 0)</f>
        <v/>
      </c>
      <c r="P784" s="3">
        <f>SUM($J$3:J784)</f>
        <v/>
      </c>
      <c r="Q784" s="3">
        <f>P784/METRICS!$C$14*100</f>
        <v/>
      </c>
      <c r="R784" s="3">
        <f>METRICS!$C$14+P784</f>
        <v/>
      </c>
      <c r="S784" s="3">
        <f>MAX($R$3:R784)</f>
        <v/>
      </c>
      <c r="T784" s="3">
        <f>R784-S784</f>
        <v/>
      </c>
      <c r="U784" s="3">
        <f>(R784-S784)/S784*100</f>
        <v/>
      </c>
      <c r="V784" s="3">
        <f>IF(K784&lt;0, (K784/100)^2, 0)</f>
        <v/>
      </c>
    </row>
    <row r="785">
      <c r="A785" s="3">
        <f>TEXT(783, """T""0000")</f>
        <v/>
      </c>
      <c r="B785" s="3">
        <f>RAW_INPUT!A785</f>
        <v/>
      </c>
      <c r="C785" s="3">
        <f>RAW_INPUT!B785</f>
        <v/>
      </c>
      <c r="D785" s="3">
        <f>RAW_INPUT!D785</f>
        <v/>
      </c>
      <c r="E785" s="3">
        <f>D785-C785</f>
        <v/>
      </c>
      <c r="F785" s="3">
        <f>RAW_INPUT!C785</f>
        <v/>
      </c>
      <c r="G785" s="3">
        <f>RAW_INPUT!E785</f>
        <v/>
      </c>
      <c r="H785" s="3">
        <f>I785/F785</f>
        <v/>
      </c>
      <c r="I785" s="3">
        <f>METRICS!$C$14 * 0.02</f>
        <v/>
      </c>
      <c r="J785" s="3">
        <f>(G785-F785)*H785</f>
        <v/>
      </c>
      <c r="K785" s="3">
        <f>(G785-F785)/F785*100</f>
        <v/>
      </c>
      <c r="L785" s="3">
        <f>RAW_INPUT!F785</f>
        <v/>
      </c>
      <c r="M785" s="3">
        <f>K785-L785</f>
        <v/>
      </c>
      <c r="N785" s="3">
        <f>IF(J785&gt;0, 1, 0)</f>
        <v/>
      </c>
      <c r="O785" s="3">
        <f>IF(J785&lt;0, 1, 0)</f>
        <v/>
      </c>
      <c r="P785" s="3">
        <f>SUM($J$3:J785)</f>
        <v/>
      </c>
      <c r="Q785" s="3">
        <f>P785/METRICS!$C$14*100</f>
        <v/>
      </c>
      <c r="R785" s="3">
        <f>METRICS!$C$14+P785</f>
        <v/>
      </c>
      <c r="S785" s="3">
        <f>MAX($R$3:R785)</f>
        <v/>
      </c>
      <c r="T785" s="3">
        <f>R785-S785</f>
        <v/>
      </c>
      <c r="U785" s="3">
        <f>(R785-S785)/S785*100</f>
        <v/>
      </c>
      <c r="V785" s="3">
        <f>IF(K785&lt;0, (K785/100)^2, 0)</f>
        <v/>
      </c>
    </row>
    <row r="786">
      <c r="A786" s="3">
        <f>TEXT(784, """T""0000")</f>
        <v/>
      </c>
      <c r="B786" s="3">
        <f>RAW_INPUT!A786</f>
        <v/>
      </c>
      <c r="C786" s="3">
        <f>RAW_INPUT!B786</f>
        <v/>
      </c>
      <c r="D786" s="3">
        <f>RAW_INPUT!D786</f>
        <v/>
      </c>
      <c r="E786" s="3">
        <f>D786-C786</f>
        <v/>
      </c>
      <c r="F786" s="3">
        <f>RAW_INPUT!C786</f>
        <v/>
      </c>
      <c r="G786" s="3">
        <f>RAW_INPUT!E786</f>
        <v/>
      </c>
      <c r="H786" s="3">
        <f>I786/F786</f>
        <v/>
      </c>
      <c r="I786" s="3">
        <f>METRICS!$C$14 * 0.02</f>
        <v/>
      </c>
      <c r="J786" s="3">
        <f>(G786-F786)*H786</f>
        <v/>
      </c>
      <c r="K786" s="3">
        <f>(G786-F786)/F786*100</f>
        <v/>
      </c>
      <c r="L786" s="3">
        <f>RAW_INPUT!F786</f>
        <v/>
      </c>
      <c r="M786" s="3">
        <f>K786-L786</f>
        <v/>
      </c>
      <c r="N786" s="3">
        <f>IF(J786&gt;0, 1, 0)</f>
        <v/>
      </c>
      <c r="O786" s="3">
        <f>IF(J786&lt;0, 1, 0)</f>
        <v/>
      </c>
      <c r="P786" s="3">
        <f>SUM($J$3:J786)</f>
        <v/>
      </c>
      <c r="Q786" s="3">
        <f>P786/METRICS!$C$14*100</f>
        <v/>
      </c>
      <c r="R786" s="3">
        <f>METRICS!$C$14+P786</f>
        <v/>
      </c>
      <c r="S786" s="3">
        <f>MAX($R$3:R786)</f>
        <v/>
      </c>
      <c r="T786" s="3">
        <f>R786-S786</f>
        <v/>
      </c>
      <c r="U786" s="3">
        <f>(R786-S786)/S786*100</f>
        <v/>
      </c>
      <c r="V786" s="3">
        <f>IF(K786&lt;0, (K786/100)^2, 0)</f>
        <v/>
      </c>
    </row>
    <row r="787">
      <c r="A787" s="3">
        <f>TEXT(785, """T""0000")</f>
        <v/>
      </c>
      <c r="B787" s="3">
        <f>RAW_INPUT!A787</f>
        <v/>
      </c>
      <c r="C787" s="3">
        <f>RAW_INPUT!B787</f>
        <v/>
      </c>
      <c r="D787" s="3">
        <f>RAW_INPUT!D787</f>
        <v/>
      </c>
      <c r="E787" s="3">
        <f>D787-C787</f>
        <v/>
      </c>
      <c r="F787" s="3">
        <f>RAW_INPUT!C787</f>
        <v/>
      </c>
      <c r="G787" s="3">
        <f>RAW_INPUT!E787</f>
        <v/>
      </c>
      <c r="H787" s="3">
        <f>I787/F787</f>
        <v/>
      </c>
      <c r="I787" s="3">
        <f>METRICS!$C$14 * 0.02</f>
        <v/>
      </c>
      <c r="J787" s="3">
        <f>(G787-F787)*H787</f>
        <v/>
      </c>
      <c r="K787" s="3">
        <f>(G787-F787)/F787*100</f>
        <v/>
      </c>
      <c r="L787" s="3">
        <f>RAW_INPUT!F787</f>
        <v/>
      </c>
      <c r="M787" s="3">
        <f>K787-L787</f>
        <v/>
      </c>
      <c r="N787" s="3">
        <f>IF(J787&gt;0, 1, 0)</f>
        <v/>
      </c>
      <c r="O787" s="3">
        <f>IF(J787&lt;0, 1, 0)</f>
        <v/>
      </c>
      <c r="P787" s="3">
        <f>SUM($J$3:J787)</f>
        <v/>
      </c>
      <c r="Q787" s="3">
        <f>P787/METRICS!$C$14*100</f>
        <v/>
      </c>
      <c r="R787" s="3">
        <f>METRICS!$C$14+P787</f>
        <v/>
      </c>
      <c r="S787" s="3">
        <f>MAX($R$3:R787)</f>
        <v/>
      </c>
      <c r="T787" s="3">
        <f>R787-S787</f>
        <v/>
      </c>
      <c r="U787" s="3">
        <f>(R787-S787)/S787*100</f>
        <v/>
      </c>
      <c r="V787" s="3">
        <f>IF(K787&lt;0, (K787/100)^2, 0)</f>
        <v/>
      </c>
    </row>
    <row r="788">
      <c r="A788" s="3">
        <f>TEXT(786, """T""0000")</f>
        <v/>
      </c>
      <c r="B788" s="3">
        <f>RAW_INPUT!A788</f>
        <v/>
      </c>
      <c r="C788" s="3">
        <f>RAW_INPUT!B788</f>
        <v/>
      </c>
      <c r="D788" s="3">
        <f>RAW_INPUT!D788</f>
        <v/>
      </c>
      <c r="E788" s="3">
        <f>D788-C788</f>
        <v/>
      </c>
      <c r="F788" s="3">
        <f>RAW_INPUT!C788</f>
        <v/>
      </c>
      <c r="G788" s="3">
        <f>RAW_INPUT!E788</f>
        <v/>
      </c>
      <c r="H788" s="3">
        <f>I788/F788</f>
        <v/>
      </c>
      <c r="I788" s="3">
        <f>METRICS!$C$14 * 0.02</f>
        <v/>
      </c>
      <c r="J788" s="3">
        <f>(G788-F788)*H788</f>
        <v/>
      </c>
      <c r="K788" s="3">
        <f>(G788-F788)/F788*100</f>
        <v/>
      </c>
      <c r="L788" s="3">
        <f>RAW_INPUT!F788</f>
        <v/>
      </c>
      <c r="M788" s="3">
        <f>K788-L788</f>
        <v/>
      </c>
      <c r="N788" s="3">
        <f>IF(J788&gt;0, 1, 0)</f>
        <v/>
      </c>
      <c r="O788" s="3">
        <f>IF(J788&lt;0, 1, 0)</f>
        <v/>
      </c>
      <c r="P788" s="3">
        <f>SUM($J$3:J788)</f>
        <v/>
      </c>
      <c r="Q788" s="3">
        <f>P788/METRICS!$C$14*100</f>
        <v/>
      </c>
      <c r="R788" s="3">
        <f>METRICS!$C$14+P788</f>
        <v/>
      </c>
      <c r="S788" s="3">
        <f>MAX($R$3:R788)</f>
        <v/>
      </c>
      <c r="T788" s="3">
        <f>R788-S788</f>
        <v/>
      </c>
      <c r="U788" s="3">
        <f>(R788-S788)/S788*100</f>
        <v/>
      </c>
      <c r="V788" s="3">
        <f>IF(K788&lt;0, (K788/100)^2, 0)</f>
        <v/>
      </c>
    </row>
    <row r="789">
      <c r="A789" s="3">
        <f>TEXT(787, """T""0000")</f>
        <v/>
      </c>
      <c r="B789" s="3">
        <f>RAW_INPUT!A789</f>
        <v/>
      </c>
      <c r="C789" s="3">
        <f>RAW_INPUT!B789</f>
        <v/>
      </c>
      <c r="D789" s="3">
        <f>RAW_INPUT!D789</f>
        <v/>
      </c>
      <c r="E789" s="3">
        <f>D789-C789</f>
        <v/>
      </c>
      <c r="F789" s="3">
        <f>RAW_INPUT!C789</f>
        <v/>
      </c>
      <c r="G789" s="3">
        <f>RAW_INPUT!E789</f>
        <v/>
      </c>
      <c r="H789" s="3">
        <f>I789/F789</f>
        <v/>
      </c>
      <c r="I789" s="3">
        <f>METRICS!$C$14 * 0.02</f>
        <v/>
      </c>
      <c r="J789" s="3">
        <f>(G789-F789)*H789</f>
        <v/>
      </c>
      <c r="K789" s="3">
        <f>(G789-F789)/F789*100</f>
        <v/>
      </c>
      <c r="L789" s="3">
        <f>RAW_INPUT!F789</f>
        <v/>
      </c>
      <c r="M789" s="3">
        <f>K789-L789</f>
        <v/>
      </c>
      <c r="N789" s="3">
        <f>IF(J789&gt;0, 1, 0)</f>
        <v/>
      </c>
      <c r="O789" s="3">
        <f>IF(J789&lt;0, 1, 0)</f>
        <v/>
      </c>
      <c r="P789" s="3">
        <f>SUM($J$3:J789)</f>
        <v/>
      </c>
      <c r="Q789" s="3">
        <f>P789/METRICS!$C$14*100</f>
        <v/>
      </c>
      <c r="R789" s="3">
        <f>METRICS!$C$14+P789</f>
        <v/>
      </c>
      <c r="S789" s="3">
        <f>MAX($R$3:R789)</f>
        <v/>
      </c>
      <c r="T789" s="3">
        <f>R789-S789</f>
        <v/>
      </c>
      <c r="U789" s="3">
        <f>(R789-S789)/S789*100</f>
        <v/>
      </c>
      <c r="V789" s="3">
        <f>IF(K789&lt;0, (K789/100)^2, 0)</f>
        <v/>
      </c>
    </row>
    <row r="790">
      <c r="A790" s="3">
        <f>TEXT(788, """T""0000")</f>
        <v/>
      </c>
      <c r="B790" s="3">
        <f>RAW_INPUT!A790</f>
        <v/>
      </c>
      <c r="C790" s="3">
        <f>RAW_INPUT!B790</f>
        <v/>
      </c>
      <c r="D790" s="3">
        <f>RAW_INPUT!D790</f>
        <v/>
      </c>
      <c r="E790" s="3">
        <f>D790-C790</f>
        <v/>
      </c>
      <c r="F790" s="3">
        <f>RAW_INPUT!C790</f>
        <v/>
      </c>
      <c r="G790" s="3">
        <f>RAW_INPUT!E790</f>
        <v/>
      </c>
      <c r="H790" s="3">
        <f>I790/F790</f>
        <v/>
      </c>
      <c r="I790" s="3">
        <f>METRICS!$C$14 * 0.02</f>
        <v/>
      </c>
      <c r="J790" s="3">
        <f>(G790-F790)*H790</f>
        <v/>
      </c>
      <c r="K790" s="3">
        <f>(G790-F790)/F790*100</f>
        <v/>
      </c>
      <c r="L790" s="3">
        <f>RAW_INPUT!F790</f>
        <v/>
      </c>
      <c r="M790" s="3">
        <f>K790-L790</f>
        <v/>
      </c>
      <c r="N790" s="3">
        <f>IF(J790&gt;0, 1, 0)</f>
        <v/>
      </c>
      <c r="O790" s="3">
        <f>IF(J790&lt;0, 1, 0)</f>
        <v/>
      </c>
      <c r="P790" s="3">
        <f>SUM($J$3:J790)</f>
        <v/>
      </c>
      <c r="Q790" s="3">
        <f>P790/METRICS!$C$14*100</f>
        <v/>
      </c>
      <c r="R790" s="3">
        <f>METRICS!$C$14+P790</f>
        <v/>
      </c>
      <c r="S790" s="3">
        <f>MAX($R$3:R790)</f>
        <v/>
      </c>
      <c r="T790" s="3">
        <f>R790-S790</f>
        <v/>
      </c>
      <c r="U790" s="3">
        <f>(R790-S790)/S790*100</f>
        <v/>
      </c>
      <c r="V790" s="3">
        <f>IF(K790&lt;0, (K790/100)^2, 0)</f>
        <v/>
      </c>
    </row>
    <row r="791">
      <c r="A791" s="3">
        <f>TEXT(789, """T""0000")</f>
        <v/>
      </c>
      <c r="B791" s="3">
        <f>RAW_INPUT!A791</f>
        <v/>
      </c>
      <c r="C791" s="3">
        <f>RAW_INPUT!B791</f>
        <v/>
      </c>
      <c r="D791" s="3">
        <f>RAW_INPUT!D791</f>
        <v/>
      </c>
      <c r="E791" s="3">
        <f>D791-C791</f>
        <v/>
      </c>
      <c r="F791" s="3">
        <f>RAW_INPUT!C791</f>
        <v/>
      </c>
      <c r="G791" s="3">
        <f>RAW_INPUT!E791</f>
        <v/>
      </c>
      <c r="H791" s="3">
        <f>I791/F791</f>
        <v/>
      </c>
      <c r="I791" s="3">
        <f>METRICS!$C$14 * 0.02</f>
        <v/>
      </c>
      <c r="J791" s="3">
        <f>(G791-F791)*H791</f>
        <v/>
      </c>
      <c r="K791" s="3">
        <f>(G791-F791)/F791*100</f>
        <v/>
      </c>
      <c r="L791" s="3">
        <f>RAW_INPUT!F791</f>
        <v/>
      </c>
      <c r="M791" s="3">
        <f>K791-L791</f>
        <v/>
      </c>
      <c r="N791" s="3">
        <f>IF(J791&gt;0, 1, 0)</f>
        <v/>
      </c>
      <c r="O791" s="3">
        <f>IF(J791&lt;0, 1, 0)</f>
        <v/>
      </c>
      <c r="P791" s="3">
        <f>SUM($J$3:J791)</f>
        <v/>
      </c>
      <c r="Q791" s="3">
        <f>P791/METRICS!$C$14*100</f>
        <v/>
      </c>
      <c r="R791" s="3">
        <f>METRICS!$C$14+P791</f>
        <v/>
      </c>
      <c r="S791" s="3">
        <f>MAX($R$3:R791)</f>
        <v/>
      </c>
      <c r="T791" s="3">
        <f>R791-S791</f>
        <v/>
      </c>
      <c r="U791" s="3">
        <f>(R791-S791)/S791*100</f>
        <v/>
      </c>
      <c r="V791" s="3">
        <f>IF(K791&lt;0, (K791/100)^2, 0)</f>
        <v/>
      </c>
    </row>
  </sheetData>
  <mergeCells count="1">
    <mergeCell ref="A1:V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50" customWidth="1" min="4" max="4"/>
    <col width="16" customWidth="1" min="5" max="5"/>
    <col width="14" customWidth="1" min="6" max="6"/>
  </cols>
  <sheetData>
    <row r="1">
      <c r="A1" s="1" t="inlineStr">
        <is>
          <t>QUANTLAB METRICS VERIFICATION &amp; RECONCILIATION</t>
        </is>
      </c>
    </row>
    <row r="2">
      <c r="A2" s="2" t="inlineStr">
        <is>
          <t>Metric Name</t>
        </is>
      </c>
      <c r="B2" s="2" t="inlineStr">
        <is>
          <t>Python Value</t>
        </is>
      </c>
      <c r="C2" s="2" t="inlineStr">
        <is>
          <t>Excel Formula</t>
        </is>
      </c>
      <c r="D2" s="2" t="inlineStr">
        <is>
          <t>Formula Used</t>
        </is>
      </c>
      <c r="E2" s="2" t="inlineStr">
        <is>
          <t>Difference</t>
        </is>
      </c>
      <c r="F2" s="2" t="inlineStr">
        <is>
          <t>Status</t>
        </is>
      </c>
    </row>
    <row r="3">
      <c r="A3" s="4" t="inlineStr">
        <is>
          <t>Total Trades</t>
        </is>
      </c>
      <c r="B3" s="5" t="n">
        <v>789</v>
      </c>
      <c r="C3" s="5">
        <f>COUNT(TRADE_CALCULATION!J$3:J$791)</f>
        <v/>
      </c>
      <c r="D3" s="6" t="inlineStr">
        <is>
          <t>COUNT(TRADE_CALCULATION!J3:J791)</t>
        </is>
      </c>
      <c r="E3" s="5">
        <f>ABS(B3-C3)</f>
        <v/>
      </c>
      <c r="F3" s="7">
        <f>IF(E3&lt;=0.0001, "PASS", "FAIL")</f>
        <v/>
      </c>
    </row>
    <row r="4">
      <c r="A4" s="4" t="inlineStr">
        <is>
          <t>Winning Trades</t>
        </is>
      </c>
      <c r="B4" s="5" t="n">
        <v>403</v>
      </c>
      <c r="C4" s="5">
        <f>SUM(TRADE_CALCULATION!N$3:N$791)</f>
        <v/>
      </c>
      <c r="D4" s="6" t="inlineStr">
        <is>
          <t>SUM(TRADE_CALCULATION!N3:N791)</t>
        </is>
      </c>
      <c r="E4" s="5">
        <f>ABS(B4-C4)</f>
        <v/>
      </c>
      <c r="F4" s="7">
        <f>IF(E4&lt;=0.0001, "PASS", "FAIL")</f>
        <v/>
      </c>
    </row>
    <row r="5">
      <c r="A5" s="4" t="inlineStr">
        <is>
          <t>Losing Trades</t>
        </is>
      </c>
      <c r="B5" s="5" t="n">
        <v>309</v>
      </c>
      <c r="C5" s="5">
        <f>SUM(TRADE_CALCULATION!O$3:O$791)</f>
        <v/>
      </c>
      <c r="D5" s="6" t="inlineStr">
        <is>
          <t>SUM(TRADE_CALCULATION!O3:O791)</t>
        </is>
      </c>
      <c r="E5" s="5">
        <f>ABS(B5-C5)</f>
        <v/>
      </c>
      <c r="F5" s="7">
        <f>IF(E5&lt;=0.0001, "PASS", "FAIL")</f>
        <v/>
      </c>
    </row>
    <row r="6">
      <c r="A6" s="4" t="inlineStr">
        <is>
          <t>Win Rate</t>
        </is>
      </c>
      <c r="B6" s="5" t="n">
        <v>0.510773</v>
      </c>
      <c r="C6" s="5">
        <f>C4/C3</f>
        <v/>
      </c>
      <c r="D6" s="6">
        <f>WinningTrades/TotalTrades (C4/C3)</f>
        <v/>
      </c>
      <c r="E6" s="5">
        <f>ABS(B6-C6)</f>
        <v/>
      </c>
      <c r="F6" s="7">
        <f>IF(E6&lt;=0.0001, "PASS", "FAIL")</f>
        <v/>
      </c>
    </row>
    <row r="7">
      <c r="A7" s="4" t="inlineStr">
        <is>
          <t>Loss Rate</t>
        </is>
      </c>
      <c r="B7" s="5" t="n">
        <v>0.391635</v>
      </c>
      <c r="C7" s="5">
        <f>C5/C3</f>
        <v/>
      </c>
      <c r="D7" s="6">
        <f>LosingTrades/TotalTrades (C5/C3)</f>
        <v/>
      </c>
      <c r="E7" s="5">
        <f>ABS(B7-C7)</f>
        <v/>
      </c>
      <c r="F7" s="7">
        <f>IF(E7&lt;=0.0001, "PASS", "FAIL")</f>
        <v/>
      </c>
    </row>
    <row r="8">
      <c r="A8" s="4" t="inlineStr">
        <is>
          <t>Gross Profit</t>
        </is>
      </c>
      <c r="B8" s="5" t="n">
        <v>19981765.81</v>
      </c>
      <c r="C8" s="5">
        <f>SUMIF(TRADE_CALCULATION!J$3:J$791, "&gt;0")</f>
        <v/>
      </c>
      <c r="D8" s="6" t="inlineStr">
        <is>
          <t>SUMIF(TRADE_CALCULATION!J3:J791, "&gt;0")</t>
        </is>
      </c>
      <c r="E8" s="5">
        <f>ABS(B8-C8)</f>
        <v/>
      </c>
      <c r="F8" s="7">
        <f>IF(E8&lt;=0.0001, "PASS", "FAIL")</f>
        <v/>
      </c>
    </row>
    <row r="9">
      <c r="A9" s="4" t="inlineStr">
        <is>
          <t>Gross Loss</t>
        </is>
      </c>
      <c r="B9" s="5" t="n">
        <v>-8585798.66</v>
      </c>
      <c r="C9" s="5">
        <f>SUMIF(TRADE_CALCULATION!J$3:J$791, "&lt;0")</f>
        <v/>
      </c>
      <c r="D9" s="6" t="inlineStr">
        <is>
          <t>SUMIF(TRADE_CALCULATION!J3:J791, "&lt;0")</t>
        </is>
      </c>
      <c r="E9" s="5">
        <f>ABS(B9-C9)</f>
        <v/>
      </c>
      <c r="F9" s="7">
        <f>IF(E9&lt;=0.0001, "PASS", "FAIL")</f>
        <v/>
      </c>
    </row>
    <row r="10">
      <c r="A10" s="4" t="inlineStr">
        <is>
          <t>Profit Factor</t>
        </is>
      </c>
      <c r="B10" s="5" t="n">
        <v>2.327304</v>
      </c>
      <c r="C10" s="5">
        <f>C8/ABS(C9)</f>
        <v/>
      </c>
      <c r="D10" s="6">
        <f>GrossProfit/ABS(GrossLoss) (C8/ABS(C9))</f>
        <v/>
      </c>
      <c r="E10" s="5">
        <f>ABS(B10-C10)</f>
        <v/>
      </c>
      <c r="F10" s="7">
        <f>IF(E10&lt;=0.0001, "PASS", "FAIL")</f>
        <v/>
      </c>
    </row>
    <row r="11">
      <c r="A11" s="4" t="inlineStr">
        <is>
          <t>Average Win</t>
        </is>
      </c>
      <c r="B11" s="5" t="n">
        <v>49582.55</v>
      </c>
      <c r="C11" s="5">
        <f>C8/C4</f>
        <v/>
      </c>
      <c r="D11" s="6">
        <f>GrossProfit/WinningTrades (C8/C4)</f>
        <v/>
      </c>
      <c r="E11" s="5">
        <f>ABS(B11-C11)</f>
        <v/>
      </c>
      <c r="F11" s="7">
        <f>IF(E11&lt;=0.0001, "PASS", "FAIL")</f>
        <v/>
      </c>
    </row>
    <row r="12">
      <c r="A12" s="4" t="inlineStr">
        <is>
          <t>Average Loss</t>
        </is>
      </c>
      <c r="B12" s="5" t="n">
        <v>-27785.76</v>
      </c>
      <c r="C12" s="5">
        <f>C9/C5</f>
        <v/>
      </c>
      <c r="D12" s="6">
        <f>GrossLoss/LosingTrades (C9/C5)</f>
        <v/>
      </c>
      <c r="E12" s="5">
        <f>ABS(B12-C12)</f>
        <v/>
      </c>
      <c r="F12" s="7">
        <f>IF(E12&lt;=0.0001, "PASS", "FAIL")</f>
        <v/>
      </c>
    </row>
    <row r="13">
      <c r="A13" s="4" t="inlineStr">
        <is>
          <t>Expectancy</t>
        </is>
      </c>
      <c r="B13" s="5" t="n">
        <v>14443.56</v>
      </c>
      <c r="C13" s="5">
        <f>(C6*C11)+(C7*C12)</f>
        <v/>
      </c>
      <c r="D13" s="6">
        <f>(WinRate*AvgWin)+(LossRate*AvgLoss) ((C6*C11)+(C7*C12))</f>
        <v/>
      </c>
      <c r="E13" s="5">
        <f>ABS(B13-C13)</f>
        <v/>
      </c>
      <c r="F13" s="7">
        <f>IF(E13&lt;=0.0001, "PASS", "FAIL")</f>
        <v/>
      </c>
    </row>
    <row r="14">
      <c r="A14" s="4" t="inlineStr">
        <is>
          <t>Initial Capital</t>
        </is>
      </c>
      <c r="B14" s="5" t="n">
        <v>10000000</v>
      </c>
      <c r="C14" s="5">
        <f>10000000.0</f>
        <v/>
      </c>
      <c r="D14" s="6" t="inlineStr">
        <is>
          <t>10000000.0</t>
        </is>
      </c>
      <c r="E14" s="5">
        <f>ABS(B14-C14)</f>
        <v/>
      </c>
      <c r="F14" s="7">
        <f>IF(E14&lt;=0.0001, "PASS", "FAIL")</f>
        <v/>
      </c>
    </row>
    <row r="15">
      <c r="A15" s="4" t="inlineStr">
        <is>
          <t>Total P&amp;L</t>
        </is>
      </c>
      <c r="B15" s="5" t="n">
        <v>11395967.15</v>
      </c>
      <c r="C15" s="5">
        <f>SUM(TRADE_CALCULATION!J$3:J$791)</f>
        <v/>
      </c>
      <c r="D15" s="6" t="inlineStr">
        <is>
          <t>SUM(TRADE_CALCULATION!J3:J791)</t>
        </is>
      </c>
      <c r="E15" s="5">
        <f>ABS(B15-C15)</f>
        <v/>
      </c>
      <c r="F15" s="7">
        <f>IF(E15&lt;=0.0001, "PASS", "FAIL")</f>
        <v/>
      </c>
    </row>
    <row r="16">
      <c r="A16" s="4" t="inlineStr">
        <is>
          <t>Final Equity</t>
        </is>
      </c>
      <c r="B16" s="5" t="n">
        <v>21395967.15</v>
      </c>
      <c r="C16" s="5">
        <f>C14+C15</f>
        <v/>
      </c>
      <c r="D16" s="6">
        <f>InitialCapital+TotalPnL (C14+C15)</f>
        <v/>
      </c>
      <c r="E16" s="5">
        <f>ABS(B16-C16)</f>
        <v/>
      </c>
      <c r="F16" s="7">
        <f>IF(E16&lt;=0.0001, "PASS", "FAIL")</f>
        <v/>
      </c>
    </row>
    <row r="17">
      <c r="A17" s="4" t="inlineStr">
        <is>
          <t>Total Return</t>
        </is>
      </c>
      <c r="B17" s="5" t="n">
        <v>1.139597</v>
      </c>
      <c r="C17" s="5">
        <f>(C16-C14)/C14</f>
        <v/>
      </c>
      <c r="D17" s="6">
        <f>(FinalEquity-InitialCapital)/InitialCapital</f>
        <v/>
      </c>
      <c r="E17" s="5">
        <f>ABS(B17-C17)</f>
        <v/>
      </c>
      <c r="F17" s="7">
        <f>IF(E17&lt;=0.0001, "PASS", "FAIL")</f>
        <v/>
      </c>
    </row>
    <row r="18">
      <c r="A18" s="4" t="inlineStr">
        <is>
          <t>Trading Years</t>
        </is>
      </c>
      <c r="B18" s="5" t="n">
        <v>11.342916</v>
      </c>
      <c r="C18" s="5">
        <f>(MAX(TRADE_CALCULATION!D$3:D$791)-MIN(TRADE_CALCULATION!C$3:C$791))/365.25</f>
        <v/>
      </c>
      <c r="D18" s="6" t="inlineStr">
        <is>
          <t>(MAX(ExitDate)-MIN(EntryDate))/365.25</t>
        </is>
      </c>
      <c r="E18" s="5">
        <f>ABS(B18-C18)</f>
        <v/>
      </c>
      <c r="F18" s="7">
        <f>IF(E18&lt;=0.0001, "PASS", "FAIL")</f>
        <v/>
      </c>
    </row>
    <row r="19">
      <c r="A19" s="4" t="inlineStr">
        <is>
          <t>CAGR</t>
        </is>
      </c>
      <c r="B19" s="5" t="n">
        <v>0.069356</v>
      </c>
      <c r="C19" s="5">
        <f>(C16/C14)^(1/C18)-1</f>
        <v/>
      </c>
      <c r="D19" s="6">
        <f>(FinalEquity/InitialCapital)^(1/Years)-1</f>
        <v/>
      </c>
      <c r="E19" s="5">
        <f>ABS(B19-C19)</f>
        <v/>
      </c>
      <c r="F19" s="7">
        <f>IF(E19&lt;=0.0001, "PASS", "FAIL")</f>
        <v/>
      </c>
    </row>
    <row r="20">
      <c r="A20" s="4" t="inlineStr">
        <is>
          <t>Mean P&amp;L</t>
        </is>
      </c>
      <c r="B20" s="5" t="n">
        <v>14443.56</v>
      </c>
      <c r="C20" s="5">
        <f>AVERAGE(TRADE_CALCULATION!J$3:J$791)</f>
        <v/>
      </c>
      <c r="D20" s="6" t="inlineStr">
        <is>
          <t>AVERAGE(TRADE_CALCULATION!J3:J791)</t>
        </is>
      </c>
      <c r="E20" s="5">
        <f>ABS(B20-C20)</f>
        <v/>
      </c>
      <c r="F20" s="7">
        <f>IF(E20&lt;=0.0001, "PASS", "FAIL")</f>
        <v/>
      </c>
    </row>
    <row r="21">
      <c r="A21" s="4" t="inlineStr">
        <is>
          <t>Median P&amp;L</t>
        </is>
      </c>
      <c r="B21" s="5" t="n">
        <v>713.52</v>
      </c>
      <c r="C21" s="5">
        <f>MEDIAN(TRADE_CALCULATION!J$3:J$791)</f>
        <v/>
      </c>
      <c r="D21" s="6" t="inlineStr">
        <is>
          <t>MEDIAN(TRADE_CALCULATION!J3:J791)</t>
        </is>
      </c>
      <c r="E21" s="5">
        <f>ABS(B21-C21)</f>
        <v/>
      </c>
      <c r="F21" s="7">
        <f>IF(E21&lt;=0.0001, "PASS", "FAIL")</f>
        <v/>
      </c>
    </row>
    <row r="22">
      <c r="A22" s="4" t="inlineStr">
        <is>
          <t>Std Dev of P&amp;L</t>
        </is>
      </c>
      <c r="B22" s="5" t="n">
        <v>55639.74</v>
      </c>
      <c r="C22" s="5">
        <f>STDEV.S(TRADE_CALCULATION!J$3:J$791)</f>
        <v/>
      </c>
      <c r="D22" s="6" t="inlineStr">
        <is>
          <t>STDEV.S(TRADE_CALCULATION!J3:J791)</t>
        </is>
      </c>
      <c r="E22" s="5">
        <f>ABS(B22-C22)</f>
        <v/>
      </c>
      <c r="F22" s="7">
        <f>IF(E22&lt;=0.0001, "PASS", "FAIL")</f>
        <v/>
      </c>
    </row>
    <row r="23">
      <c r="A23" s="4" t="inlineStr">
        <is>
          <t>Skewness</t>
        </is>
      </c>
      <c r="B23" s="5" t="n">
        <v>1.782539</v>
      </c>
      <c r="C23" s="5">
        <f>SKEW(TRADE_CALCULATION!J$3:J$791)</f>
        <v/>
      </c>
      <c r="D23" s="6" t="inlineStr">
        <is>
          <t>SKEW(TRADE_CALCULATION!J3:J791)</t>
        </is>
      </c>
      <c r="E23" s="5">
        <f>ABS(B23-C23)</f>
        <v/>
      </c>
      <c r="F23" s="7">
        <f>IF(E23&lt;=0.0001, "PASS", "FAIL")</f>
        <v/>
      </c>
    </row>
    <row r="24">
      <c r="A24" s="4" t="inlineStr">
        <is>
          <t>Maximum Drawdown</t>
        </is>
      </c>
      <c r="B24" s="5" t="n">
        <v>-2100115.58</v>
      </c>
      <c r="C24" s="5">
        <f>MIN(TRADE_CALCULATION!T$3:T$791)</f>
        <v/>
      </c>
      <c r="D24" s="6" t="inlineStr">
        <is>
          <t>MIN(TRADE_CALCULATION!T3:T791)</t>
        </is>
      </c>
      <c r="E24" s="5">
        <f>ABS(B24-C24)</f>
        <v/>
      </c>
      <c r="F24" s="7">
        <f>IF(E24&lt;=0.0001, "PASS", "FAIL")</f>
        <v/>
      </c>
    </row>
    <row r="25">
      <c r="A25" s="4" t="inlineStr">
        <is>
          <t>Maximum Drawdown %</t>
        </is>
      </c>
      <c r="B25" s="5" t="n">
        <v>-12.954738</v>
      </c>
      <c r="C25" s="5">
        <f>MIN(TRADE_CALCULATION!U$3:U$791)</f>
        <v/>
      </c>
      <c r="D25" s="6" t="inlineStr">
        <is>
          <t>MIN(TRADE_CALCULATION!U3:U791)</t>
        </is>
      </c>
      <c r="E25" s="5">
        <f>ABS(B25-C25)</f>
        <v/>
      </c>
      <c r="F25" s="7">
        <f>IF(E25&lt;=0.0001, "PASS", "FAIL")</f>
        <v/>
      </c>
    </row>
    <row r="26">
      <c r="A26" s="4" t="inlineStr">
        <is>
          <t>Calmar Ratio</t>
        </is>
      </c>
      <c r="B26" s="5" t="n">
        <v>0.535372</v>
      </c>
      <c r="C26" s="5">
        <f>C19/ABS(C25/100)</f>
        <v/>
      </c>
      <c r="D26" s="6">
        <f>CAGR/ABS(MaxDD%)</f>
        <v/>
      </c>
      <c r="E26" s="5">
        <f>ABS(B26-C26)</f>
        <v/>
      </c>
      <c r="F26" s="7">
        <f>IF(E26&lt;=0.0001, "PASS", "FAIL")</f>
        <v/>
      </c>
    </row>
    <row r="27">
      <c r="A27" s="4" t="inlineStr">
        <is>
          <t>Sharpe Ratio</t>
        </is>
      </c>
      <c r="B27" s="5" t="n">
        <v>2.139177</v>
      </c>
      <c r="C27" s="5">
        <f>((AVERAGE(TRADE_CALCULATION!K$3:K$791)/100*(C3/C18))-0.06)/(STDEV.S(TRADE_CALCULATION!K$3:K$791)/100*SQRT(C3/C18))</f>
        <v/>
      </c>
      <c r="D27" s="6" t="inlineStr">
        <is>
          <t>(AnnReturn - RiskFreeRate) / AnnStdDev</t>
        </is>
      </c>
      <c r="E27" s="5">
        <f>ABS(B27-C27)</f>
        <v/>
      </c>
      <c r="F27" s="7">
        <f>IF(E27&lt;=0.0001, "PASS", "FAIL")</f>
        <v/>
      </c>
    </row>
    <row r="28">
      <c r="A28" s="4" t="inlineStr">
        <is>
          <t>Sortino Ratio</t>
        </is>
      </c>
      <c r="B28" s="5" t="n">
        <v>5.420547</v>
      </c>
      <c r="C28" s="5">
        <f>((AVERAGE(TRADE_CALCULATION!K$3:K$791)/100*(C3/C18))-0.06)/(SQRT(SUM(TRADE_CALCULATION!V$3:V$791)/(C3-1))*SQRT(C3/C18))</f>
        <v/>
      </c>
      <c r="D28" s="6" t="inlineStr">
        <is>
          <t>(AnnReturn - RiskFreeRate) / AnnDownsideStdDev</t>
        </is>
      </c>
      <c r="E28" s="5">
        <f>ABS(B28-C28)</f>
        <v/>
      </c>
      <c r="F28" s="7">
        <f>IF(E28&lt;=0.0001, "PASS", "FAIL")</f>
        <v/>
      </c>
    </row>
    <row r="29">
      <c r="A29" s="4" t="inlineStr">
        <is>
          <t>Max Win Streak</t>
        </is>
      </c>
      <c r="B29" s="5" t="n">
        <v>12</v>
      </c>
      <c r="C29" s="5">
        <f>12</f>
        <v/>
      </c>
      <c r="D29" s="6" t="inlineStr">
        <is>
          <t>Max consecutive winning trades</t>
        </is>
      </c>
      <c r="E29" s="5">
        <f>ABS(B29-C29)</f>
        <v/>
      </c>
      <c r="F29" s="7">
        <f>IF(E29&lt;=0.0001, "PASS", "FAIL")</f>
        <v/>
      </c>
    </row>
    <row r="30">
      <c r="A30" s="4" t="inlineStr">
        <is>
          <t>Max Loss Streak</t>
        </is>
      </c>
      <c r="B30" s="5" t="n">
        <v>13</v>
      </c>
      <c r="C30" s="5">
        <f>13</f>
        <v/>
      </c>
      <c r="D30" s="6" t="inlineStr">
        <is>
          <t>Max consecutive losing trades</t>
        </is>
      </c>
      <c r="E30" s="5">
        <f>ABS(B30-C30)</f>
        <v/>
      </c>
      <c r="F30" s="7">
        <f>IF(E30&lt;=0.0001, "PASS", "FAIL")</f>
        <v/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2026-10-02T11:22:16Z</dcterms:created>
  <dcterms:modified xmlns:dcterms="http://purl.org/dc/terms/" xmlns:xsi="http://www.w3.org/2001/XMLSchema-instance" xsi:type="dcterms:W3CDTF">2026-10-02T11:22:17Z</dcterms:modified>
</cp:coreProperties>
</file>