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d0b6fa94f1cabc/Desktop/infinitypool/validation/"/>
    </mc:Choice>
  </mc:AlternateContent>
  <xr:revisionPtr revIDLastSave="4" documentId="11_0554703CB495EDA53F9A0692A8032F632DD46446" xr6:coauthVersionLast="47" xr6:coauthVersionMax="47" xr10:uidLastSave="{864255D6-33C9-4CED-B71A-7D95A3D09EC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1" i="1" l="1"/>
  <c r="I791" i="1" s="1"/>
  <c r="I790" i="1"/>
  <c r="J790" i="1" s="1"/>
  <c r="H790" i="1"/>
  <c r="I789" i="1"/>
  <c r="J789" i="1" s="1"/>
  <c r="H789" i="1"/>
  <c r="K788" i="1"/>
  <c r="I788" i="1"/>
  <c r="J788" i="1" s="1"/>
  <c r="H788" i="1"/>
  <c r="H787" i="1"/>
  <c r="I787" i="1" s="1"/>
  <c r="I786" i="1"/>
  <c r="J786" i="1" s="1"/>
  <c r="H786" i="1"/>
  <c r="H785" i="1"/>
  <c r="I785" i="1" s="1"/>
  <c r="I784" i="1"/>
  <c r="J784" i="1" s="1"/>
  <c r="H784" i="1"/>
  <c r="H783" i="1"/>
  <c r="I783" i="1" s="1"/>
  <c r="I782" i="1"/>
  <c r="J782" i="1" s="1"/>
  <c r="H782" i="1"/>
  <c r="H781" i="1"/>
  <c r="I781" i="1" s="1"/>
  <c r="I780" i="1"/>
  <c r="J780" i="1" s="1"/>
  <c r="H780" i="1"/>
  <c r="H779" i="1"/>
  <c r="I779" i="1" s="1"/>
  <c r="I778" i="1"/>
  <c r="J778" i="1" s="1"/>
  <c r="H778" i="1"/>
  <c r="H777" i="1"/>
  <c r="I777" i="1" s="1"/>
  <c r="I776" i="1"/>
  <c r="J776" i="1" s="1"/>
  <c r="H776" i="1"/>
  <c r="H775" i="1"/>
  <c r="I775" i="1" s="1"/>
  <c r="I774" i="1"/>
  <c r="J774" i="1" s="1"/>
  <c r="H774" i="1"/>
  <c r="H773" i="1"/>
  <c r="I773" i="1" s="1"/>
  <c r="K772" i="1"/>
  <c r="I772" i="1"/>
  <c r="J772" i="1" s="1"/>
  <c r="H772" i="1"/>
  <c r="H771" i="1"/>
  <c r="I771" i="1" s="1"/>
  <c r="I770" i="1"/>
  <c r="J770" i="1" s="1"/>
  <c r="H770" i="1"/>
  <c r="H769" i="1"/>
  <c r="I769" i="1" s="1"/>
  <c r="I768" i="1"/>
  <c r="J768" i="1" s="1"/>
  <c r="H768" i="1"/>
  <c r="H767" i="1"/>
  <c r="I767" i="1" s="1"/>
  <c r="I766" i="1"/>
  <c r="J766" i="1" s="1"/>
  <c r="H766" i="1"/>
  <c r="H765" i="1"/>
  <c r="I765" i="1" s="1"/>
  <c r="I764" i="1"/>
  <c r="J764" i="1" s="1"/>
  <c r="H764" i="1"/>
  <c r="H763" i="1"/>
  <c r="I763" i="1" s="1"/>
  <c r="I762" i="1"/>
  <c r="J762" i="1" s="1"/>
  <c r="H762" i="1"/>
  <c r="H761" i="1"/>
  <c r="I761" i="1" s="1"/>
  <c r="K760" i="1"/>
  <c r="I760" i="1"/>
  <c r="J760" i="1" s="1"/>
  <c r="H760" i="1"/>
  <c r="H759" i="1"/>
  <c r="I759" i="1" s="1"/>
  <c r="I758" i="1"/>
  <c r="J758" i="1" s="1"/>
  <c r="H758" i="1"/>
  <c r="H757" i="1"/>
  <c r="I757" i="1" s="1"/>
  <c r="K756" i="1"/>
  <c r="I756" i="1"/>
  <c r="J756" i="1" s="1"/>
  <c r="H756" i="1"/>
  <c r="H755" i="1"/>
  <c r="I755" i="1" s="1"/>
  <c r="I754" i="1"/>
  <c r="J754" i="1" s="1"/>
  <c r="H754" i="1"/>
  <c r="H753" i="1"/>
  <c r="I753" i="1" s="1"/>
  <c r="I752" i="1"/>
  <c r="J752" i="1" s="1"/>
  <c r="H752" i="1"/>
  <c r="H751" i="1"/>
  <c r="I751" i="1" s="1"/>
  <c r="I750" i="1"/>
  <c r="J750" i="1" s="1"/>
  <c r="H750" i="1"/>
  <c r="H749" i="1"/>
  <c r="I749" i="1" s="1"/>
  <c r="I748" i="1"/>
  <c r="J748" i="1" s="1"/>
  <c r="H748" i="1"/>
  <c r="H747" i="1"/>
  <c r="I747" i="1" s="1"/>
  <c r="I746" i="1"/>
  <c r="J746" i="1" s="1"/>
  <c r="H746" i="1"/>
  <c r="H745" i="1"/>
  <c r="I745" i="1" s="1"/>
  <c r="I744" i="1"/>
  <c r="J744" i="1" s="1"/>
  <c r="H744" i="1"/>
  <c r="H743" i="1"/>
  <c r="I743" i="1" s="1"/>
  <c r="I742" i="1"/>
  <c r="J742" i="1" s="1"/>
  <c r="H742" i="1"/>
  <c r="H741" i="1"/>
  <c r="I741" i="1" s="1"/>
  <c r="K740" i="1"/>
  <c r="I740" i="1"/>
  <c r="J740" i="1" s="1"/>
  <c r="H740" i="1"/>
  <c r="H739" i="1"/>
  <c r="I739" i="1" s="1"/>
  <c r="I738" i="1"/>
  <c r="J738" i="1" s="1"/>
  <c r="H738" i="1"/>
  <c r="H737" i="1"/>
  <c r="I737" i="1" s="1"/>
  <c r="I736" i="1"/>
  <c r="J736" i="1" s="1"/>
  <c r="H736" i="1"/>
  <c r="H735" i="1"/>
  <c r="I735" i="1" s="1"/>
  <c r="I734" i="1"/>
  <c r="J734" i="1" s="1"/>
  <c r="H734" i="1"/>
  <c r="H733" i="1"/>
  <c r="I733" i="1" s="1"/>
  <c r="I732" i="1"/>
  <c r="J732" i="1" s="1"/>
  <c r="H732" i="1"/>
  <c r="H731" i="1"/>
  <c r="I731" i="1" s="1"/>
  <c r="I730" i="1"/>
  <c r="J730" i="1" s="1"/>
  <c r="H730" i="1"/>
  <c r="H729" i="1"/>
  <c r="I729" i="1" s="1"/>
  <c r="K728" i="1"/>
  <c r="I728" i="1"/>
  <c r="J728" i="1" s="1"/>
  <c r="H728" i="1"/>
  <c r="H727" i="1"/>
  <c r="I727" i="1" s="1"/>
  <c r="I726" i="1"/>
  <c r="J726" i="1" s="1"/>
  <c r="H726" i="1"/>
  <c r="H725" i="1"/>
  <c r="I725" i="1" s="1"/>
  <c r="K724" i="1"/>
  <c r="I724" i="1"/>
  <c r="J724" i="1" s="1"/>
  <c r="H724" i="1"/>
  <c r="H723" i="1"/>
  <c r="I723" i="1" s="1"/>
  <c r="I722" i="1"/>
  <c r="J722" i="1" s="1"/>
  <c r="H722" i="1"/>
  <c r="H721" i="1"/>
  <c r="I721" i="1" s="1"/>
  <c r="I720" i="1"/>
  <c r="J720" i="1" s="1"/>
  <c r="H720" i="1"/>
  <c r="H719" i="1"/>
  <c r="I719" i="1" s="1"/>
  <c r="I718" i="1"/>
  <c r="J718" i="1" s="1"/>
  <c r="H718" i="1"/>
  <c r="H717" i="1"/>
  <c r="I717" i="1" s="1"/>
  <c r="I716" i="1"/>
  <c r="J716" i="1" s="1"/>
  <c r="H716" i="1"/>
  <c r="H715" i="1"/>
  <c r="I715" i="1" s="1"/>
  <c r="I714" i="1"/>
  <c r="J714" i="1" s="1"/>
  <c r="H714" i="1"/>
  <c r="H713" i="1"/>
  <c r="I713" i="1" s="1"/>
  <c r="K712" i="1"/>
  <c r="I712" i="1"/>
  <c r="J712" i="1" s="1"/>
  <c r="H712" i="1"/>
  <c r="H711" i="1"/>
  <c r="I711" i="1" s="1"/>
  <c r="I710" i="1"/>
  <c r="J710" i="1" s="1"/>
  <c r="H710" i="1"/>
  <c r="H709" i="1"/>
  <c r="I709" i="1" s="1"/>
  <c r="K708" i="1"/>
  <c r="I708" i="1"/>
  <c r="J708" i="1" s="1"/>
  <c r="H708" i="1"/>
  <c r="H707" i="1"/>
  <c r="I707" i="1" s="1"/>
  <c r="I706" i="1"/>
  <c r="J706" i="1" s="1"/>
  <c r="H706" i="1"/>
  <c r="H705" i="1"/>
  <c r="I705" i="1" s="1"/>
  <c r="I704" i="1"/>
  <c r="J704" i="1" s="1"/>
  <c r="H704" i="1"/>
  <c r="H703" i="1"/>
  <c r="I703" i="1" s="1"/>
  <c r="I702" i="1"/>
  <c r="J702" i="1" s="1"/>
  <c r="H702" i="1"/>
  <c r="H701" i="1"/>
  <c r="I701" i="1" s="1"/>
  <c r="I700" i="1"/>
  <c r="J700" i="1" s="1"/>
  <c r="H700" i="1"/>
  <c r="H699" i="1"/>
  <c r="I699" i="1" s="1"/>
  <c r="I698" i="1"/>
  <c r="J698" i="1" s="1"/>
  <c r="H698" i="1"/>
  <c r="H697" i="1"/>
  <c r="I697" i="1" s="1"/>
  <c r="I696" i="1"/>
  <c r="J696" i="1" s="1"/>
  <c r="H696" i="1"/>
  <c r="H695" i="1"/>
  <c r="I695" i="1" s="1"/>
  <c r="I694" i="1"/>
  <c r="J694" i="1" s="1"/>
  <c r="H694" i="1"/>
  <c r="H693" i="1"/>
  <c r="I693" i="1" s="1"/>
  <c r="K692" i="1"/>
  <c r="I692" i="1"/>
  <c r="J692" i="1" s="1"/>
  <c r="H692" i="1"/>
  <c r="H691" i="1"/>
  <c r="I691" i="1" s="1"/>
  <c r="I690" i="1"/>
  <c r="J690" i="1" s="1"/>
  <c r="H690" i="1"/>
  <c r="H689" i="1"/>
  <c r="I689" i="1" s="1"/>
  <c r="I688" i="1"/>
  <c r="J688" i="1" s="1"/>
  <c r="H688" i="1"/>
  <c r="H687" i="1"/>
  <c r="I687" i="1" s="1"/>
  <c r="I686" i="1"/>
  <c r="J686" i="1" s="1"/>
  <c r="H686" i="1"/>
  <c r="H685" i="1"/>
  <c r="I685" i="1" s="1"/>
  <c r="I684" i="1"/>
  <c r="J684" i="1" s="1"/>
  <c r="H684" i="1"/>
  <c r="H683" i="1"/>
  <c r="I683" i="1" s="1"/>
  <c r="I682" i="1"/>
  <c r="J682" i="1" s="1"/>
  <c r="H682" i="1"/>
  <c r="I681" i="1"/>
  <c r="H681" i="1"/>
  <c r="K680" i="1"/>
  <c r="H680" i="1"/>
  <c r="I680" i="1" s="1"/>
  <c r="J680" i="1" s="1"/>
  <c r="I679" i="1"/>
  <c r="H679" i="1"/>
  <c r="H678" i="1"/>
  <c r="I678" i="1" s="1"/>
  <c r="I677" i="1"/>
  <c r="H677" i="1"/>
  <c r="K676" i="1"/>
  <c r="H676" i="1"/>
  <c r="I676" i="1" s="1"/>
  <c r="J676" i="1" s="1"/>
  <c r="H675" i="1"/>
  <c r="I675" i="1" s="1"/>
  <c r="K674" i="1"/>
  <c r="H674" i="1"/>
  <c r="I674" i="1" s="1"/>
  <c r="J674" i="1" s="1"/>
  <c r="H673" i="1"/>
  <c r="I673" i="1" s="1"/>
  <c r="J673" i="1" s="1"/>
  <c r="H672" i="1"/>
  <c r="I672" i="1" s="1"/>
  <c r="K672" i="1" s="1"/>
  <c r="H671" i="1"/>
  <c r="I671" i="1" s="1"/>
  <c r="H670" i="1"/>
  <c r="I670" i="1" s="1"/>
  <c r="K670" i="1" s="1"/>
  <c r="H669" i="1"/>
  <c r="I669" i="1" s="1"/>
  <c r="K668" i="1"/>
  <c r="J668" i="1"/>
  <c r="H668" i="1"/>
  <c r="I668" i="1" s="1"/>
  <c r="H667" i="1"/>
  <c r="I667" i="1" s="1"/>
  <c r="K666" i="1"/>
  <c r="H666" i="1"/>
  <c r="I666" i="1" s="1"/>
  <c r="J666" i="1" s="1"/>
  <c r="H665" i="1"/>
  <c r="I665" i="1" s="1"/>
  <c r="K664" i="1"/>
  <c r="H664" i="1"/>
  <c r="I664" i="1" s="1"/>
  <c r="J664" i="1" s="1"/>
  <c r="H663" i="1"/>
  <c r="I663" i="1" s="1"/>
  <c r="H662" i="1"/>
  <c r="I662" i="1" s="1"/>
  <c r="K662" i="1" s="1"/>
  <c r="K661" i="1"/>
  <c r="I661" i="1"/>
  <c r="J661" i="1" s="1"/>
  <c r="H661" i="1"/>
  <c r="H660" i="1"/>
  <c r="I660" i="1" s="1"/>
  <c r="K660" i="1" s="1"/>
  <c r="H659" i="1"/>
  <c r="I659" i="1" s="1"/>
  <c r="K659" i="1" s="1"/>
  <c r="K658" i="1"/>
  <c r="J658" i="1"/>
  <c r="H658" i="1"/>
  <c r="I658" i="1" s="1"/>
  <c r="H657" i="1"/>
  <c r="I657" i="1" s="1"/>
  <c r="K657" i="1" s="1"/>
  <c r="K656" i="1"/>
  <c r="I656" i="1"/>
  <c r="J656" i="1" s="1"/>
  <c r="H656" i="1"/>
  <c r="K655" i="1"/>
  <c r="J655" i="1"/>
  <c r="H655" i="1"/>
  <c r="I655" i="1" s="1"/>
  <c r="H654" i="1"/>
  <c r="I654" i="1" s="1"/>
  <c r="H653" i="1"/>
  <c r="I653" i="1" s="1"/>
  <c r="K652" i="1"/>
  <c r="H652" i="1"/>
  <c r="I652" i="1" s="1"/>
  <c r="J652" i="1" s="1"/>
  <c r="H651" i="1"/>
  <c r="I651" i="1" s="1"/>
  <c r="H650" i="1"/>
  <c r="I650" i="1" s="1"/>
  <c r="K650" i="1" s="1"/>
  <c r="H649" i="1"/>
  <c r="I649" i="1" s="1"/>
  <c r="K648" i="1"/>
  <c r="I648" i="1"/>
  <c r="J648" i="1" s="1"/>
  <c r="H648" i="1"/>
  <c r="K647" i="1"/>
  <c r="J647" i="1"/>
  <c r="H647" i="1"/>
  <c r="I647" i="1" s="1"/>
  <c r="K646" i="1"/>
  <c r="H646" i="1"/>
  <c r="I646" i="1" s="1"/>
  <c r="J646" i="1" s="1"/>
  <c r="H645" i="1"/>
  <c r="I645" i="1" s="1"/>
  <c r="H644" i="1"/>
  <c r="I644" i="1" s="1"/>
  <c r="J644" i="1" s="1"/>
  <c r="H643" i="1"/>
  <c r="I643" i="1" s="1"/>
  <c r="H642" i="1"/>
  <c r="I642" i="1" s="1"/>
  <c r="K642" i="1" s="1"/>
  <c r="K641" i="1"/>
  <c r="J641" i="1"/>
  <c r="H641" i="1"/>
  <c r="I641" i="1" s="1"/>
  <c r="K640" i="1"/>
  <c r="I640" i="1"/>
  <c r="J640" i="1" s="1"/>
  <c r="H640" i="1"/>
  <c r="H639" i="1"/>
  <c r="I639" i="1" s="1"/>
  <c r="K638" i="1"/>
  <c r="H638" i="1"/>
  <c r="I638" i="1" s="1"/>
  <c r="J638" i="1" s="1"/>
  <c r="H637" i="1"/>
  <c r="I637" i="1" s="1"/>
  <c r="K636" i="1"/>
  <c r="I636" i="1"/>
  <c r="J636" i="1" s="1"/>
  <c r="H636" i="1"/>
  <c r="H635" i="1"/>
  <c r="I635" i="1" s="1"/>
  <c r="J635" i="1" s="1"/>
  <c r="K634" i="1"/>
  <c r="H634" i="1"/>
  <c r="I634" i="1" s="1"/>
  <c r="J634" i="1" s="1"/>
  <c r="J633" i="1"/>
  <c r="I633" i="1"/>
  <c r="K633" i="1" s="1"/>
  <c r="H633" i="1"/>
  <c r="K632" i="1"/>
  <c r="I632" i="1"/>
  <c r="J632" i="1" s="1"/>
  <c r="H632" i="1"/>
  <c r="H631" i="1"/>
  <c r="I631" i="1" s="1"/>
  <c r="K630" i="1"/>
  <c r="H630" i="1"/>
  <c r="I630" i="1" s="1"/>
  <c r="J630" i="1" s="1"/>
  <c r="I629" i="1"/>
  <c r="K629" i="1" s="1"/>
  <c r="H629" i="1"/>
  <c r="K628" i="1"/>
  <c r="I628" i="1"/>
  <c r="J628" i="1" s="1"/>
  <c r="H628" i="1"/>
  <c r="K627" i="1"/>
  <c r="H627" i="1"/>
  <c r="I627" i="1" s="1"/>
  <c r="J627" i="1" s="1"/>
  <c r="H626" i="1"/>
  <c r="I626" i="1" s="1"/>
  <c r="J626" i="1" s="1"/>
  <c r="I625" i="1"/>
  <c r="H625" i="1"/>
  <c r="K624" i="1"/>
  <c r="I624" i="1"/>
  <c r="J624" i="1" s="1"/>
  <c r="H624" i="1"/>
  <c r="H623" i="1"/>
  <c r="I623" i="1" s="1"/>
  <c r="K622" i="1"/>
  <c r="H622" i="1"/>
  <c r="I622" i="1" s="1"/>
  <c r="J622" i="1" s="1"/>
  <c r="J621" i="1"/>
  <c r="I621" i="1"/>
  <c r="K621" i="1" s="1"/>
  <c r="H621" i="1"/>
  <c r="K620" i="1"/>
  <c r="I620" i="1"/>
  <c r="J620" i="1" s="1"/>
  <c r="H620" i="1"/>
  <c r="H619" i="1"/>
  <c r="I619" i="1" s="1"/>
  <c r="H618" i="1"/>
  <c r="I618" i="1" s="1"/>
  <c r="J618" i="1" s="1"/>
  <c r="I617" i="1"/>
  <c r="H617" i="1"/>
  <c r="K616" i="1"/>
  <c r="I616" i="1"/>
  <c r="J616" i="1" s="1"/>
  <c r="H616" i="1"/>
  <c r="K615" i="1"/>
  <c r="H615" i="1"/>
  <c r="I615" i="1" s="1"/>
  <c r="J615" i="1" s="1"/>
  <c r="H614" i="1"/>
  <c r="I614" i="1" s="1"/>
  <c r="J613" i="1"/>
  <c r="I613" i="1"/>
  <c r="K613" i="1" s="1"/>
  <c r="H613" i="1"/>
  <c r="K612" i="1"/>
  <c r="I612" i="1"/>
  <c r="J612" i="1" s="1"/>
  <c r="H612" i="1"/>
  <c r="K611" i="1"/>
  <c r="H611" i="1"/>
  <c r="I611" i="1" s="1"/>
  <c r="J611" i="1" s="1"/>
  <c r="K610" i="1"/>
  <c r="H610" i="1"/>
  <c r="I610" i="1" s="1"/>
  <c r="J610" i="1" s="1"/>
  <c r="H609" i="1"/>
  <c r="I609" i="1" s="1"/>
  <c r="K608" i="1"/>
  <c r="I608" i="1"/>
  <c r="J608" i="1" s="1"/>
  <c r="H608" i="1"/>
  <c r="H607" i="1"/>
  <c r="I607" i="1" s="1"/>
  <c r="J607" i="1" s="1"/>
  <c r="H606" i="1"/>
  <c r="I606" i="1" s="1"/>
  <c r="H605" i="1"/>
  <c r="I605" i="1" s="1"/>
  <c r="K604" i="1"/>
  <c r="I604" i="1"/>
  <c r="J604" i="1" s="1"/>
  <c r="H604" i="1"/>
  <c r="H603" i="1"/>
  <c r="I603" i="1" s="1"/>
  <c r="I602" i="1"/>
  <c r="J602" i="1" s="1"/>
  <c r="H602" i="1"/>
  <c r="J601" i="1"/>
  <c r="H601" i="1"/>
  <c r="I601" i="1" s="1"/>
  <c r="K601" i="1" s="1"/>
  <c r="K600" i="1"/>
  <c r="I600" i="1"/>
  <c r="J600" i="1" s="1"/>
  <c r="H600" i="1"/>
  <c r="K599" i="1"/>
  <c r="H599" i="1"/>
  <c r="I599" i="1" s="1"/>
  <c r="J599" i="1" s="1"/>
  <c r="I598" i="1"/>
  <c r="J598" i="1" s="1"/>
  <c r="H598" i="1"/>
  <c r="I597" i="1"/>
  <c r="K597" i="1" s="1"/>
  <c r="H597" i="1"/>
  <c r="K596" i="1"/>
  <c r="I596" i="1"/>
  <c r="J596" i="1" s="1"/>
  <c r="H596" i="1"/>
  <c r="H595" i="1"/>
  <c r="I595" i="1" s="1"/>
  <c r="J595" i="1" s="1"/>
  <c r="K594" i="1"/>
  <c r="H594" i="1"/>
  <c r="I594" i="1" s="1"/>
  <c r="J594" i="1" s="1"/>
  <c r="I593" i="1"/>
  <c r="H593" i="1"/>
  <c r="K592" i="1"/>
  <c r="I592" i="1"/>
  <c r="J592" i="1" s="1"/>
  <c r="H592" i="1"/>
  <c r="K591" i="1"/>
  <c r="H591" i="1"/>
  <c r="I591" i="1" s="1"/>
  <c r="J591" i="1" s="1"/>
  <c r="I590" i="1"/>
  <c r="J590" i="1" s="1"/>
  <c r="H590" i="1"/>
  <c r="H589" i="1"/>
  <c r="I589" i="1" s="1"/>
  <c r="K588" i="1"/>
  <c r="I588" i="1"/>
  <c r="J588" i="1" s="1"/>
  <c r="H588" i="1"/>
  <c r="K587" i="1"/>
  <c r="H587" i="1"/>
  <c r="I587" i="1" s="1"/>
  <c r="J587" i="1" s="1"/>
  <c r="H586" i="1"/>
  <c r="I586" i="1" s="1"/>
  <c r="I585" i="1"/>
  <c r="K585" i="1" s="1"/>
  <c r="H585" i="1"/>
  <c r="K584" i="1"/>
  <c r="I584" i="1"/>
  <c r="J584" i="1" s="1"/>
  <c r="H584" i="1"/>
  <c r="H583" i="1"/>
  <c r="I583" i="1" s="1"/>
  <c r="J583" i="1" s="1"/>
  <c r="H582" i="1"/>
  <c r="I582" i="1" s="1"/>
  <c r="J581" i="1"/>
  <c r="I581" i="1"/>
  <c r="K581" i="1" s="1"/>
  <c r="H581" i="1"/>
  <c r="K580" i="1"/>
  <c r="H580" i="1"/>
  <c r="I580" i="1" s="1"/>
  <c r="J580" i="1" s="1"/>
  <c r="H579" i="1"/>
  <c r="I579" i="1" s="1"/>
  <c r="H578" i="1"/>
  <c r="I578" i="1" s="1"/>
  <c r="I577" i="1"/>
  <c r="H577" i="1"/>
  <c r="K576" i="1"/>
  <c r="H576" i="1"/>
  <c r="I576" i="1" s="1"/>
  <c r="J576" i="1" s="1"/>
  <c r="H575" i="1"/>
  <c r="I575" i="1" s="1"/>
  <c r="J575" i="1" s="1"/>
  <c r="I574" i="1"/>
  <c r="H574" i="1"/>
  <c r="J573" i="1"/>
  <c r="I573" i="1"/>
  <c r="K573" i="1" s="1"/>
  <c r="H573" i="1"/>
  <c r="H572" i="1"/>
  <c r="I572" i="1" s="1"/>
  <c r="K571" i="1"/>
  <c r="H571" i="1"/>
  <c r="I571" i="1" s="1"/>
  <c r="J571" i="1" s="1"/>
  <c r="H570" i="1"/>
  <c r="I570" i="1" s="1"/>
  <c r="I569" i="1"/>
  <c r="H569" i="1"/>
  <c r="K568" i="1"/>
  <c r="H568" i="1"/>
  <c r="I568" i="1" s="1"/>
  <c r="J568" i="1" s="1"/>
  <c r="K567" i="1"/>
  <c r="H567" i="1"/>
  <c r="I567" i="1" s="1"/>
  <c r="J567" i="1" s="1"/>
  <c r="H566" i="1"/>
  <c r="I566" i="1" s="1"/>
  <c r="J566" i="1" s="1"/>
  <c r="I565" i="1"/>
  <c r="K565" i="1" s="1"/>
  <c r="H565" i="1"/>
  <c r="H564" i="1"/>
  <c r="I564" i="1" s="1"/>
  <c r="K563" i="1"/>
  <c r="H563" i="1"/>
  <c r="I563" i="1" s="1"/>
  <c r="J563" i="1" s="1"/>
  <c r="I562" i="1"/>
  <c r="H562" i="1"/>
  <c r="J561" i="1"/>
  <c r="I561" i="1"/>
  <c r="K561" i="1" s="1"/>
  <c r="H561" i="1"/>
  <c r="H560" i="1"/>
  <c r="I560" i="1" s="1"/>
  <c r="H559" i="1"/>
  <c r="I559" i="1" s="1"/>
  <c r="H558" i="1"/>
  <c r="I558" i="1" s="1"/>
  <c r="J558" i="1" s="1"/>
  <c r="K557" i="1"/>
  <c r="H557" i="1"/>
  <c r="I557" i="1" s="1"/>
  <c r="J557" i="1" s="1"/>
  <c r="H556" i="1"/>
  <c r="I556" i="1" s="1"/>
  <c r="H555" i="1"/>
  <c r="I555" i="1" s="1"/>
  <c r="K554" i="1"/>
  <c r="H554" i="1"/>
  <c r="I554" i="1" s="1"/>
  <c r="J554" i="1" s="1"/>
  <c r="H553" i="1"/>
  <c r="I553" i="1" s="1"/>
  <c r="I552" i="1"/>
  <c r="H552" i="1"/>
  <c r="H551" i="1"/>
  <c r="I551" i="1" s="1"/>
  <c r="H550" i="1"/>
  <c r="I550" i="1" s="1"/>
  <c r="J550" i="1" s="1"/>
  <c r="J549" i="1"/>
  <c r="H549" i="1"/>
  <c r="I549" i="1" s="1"/>
  <c r="K549" i="1" s="1"/>
  <c r="H548" i="1"/>
  <c r="I548" i="1" s="1"/>
  <c r="H547" i="1"/>
  <c r="I547" i="1" s="1"/>
  <c r="H546" i="1"/>
  <c r="I546" i="1" s="1"/>
  <c r="J546" i="1" s="1"/>
  <c r="H545" i="1"/>
  <c r="I545" i="1" s="1"/>
  <c r="I544" i="1"/>
  <c r="H544" i="1"/>
  <c r="H543" i="1"/>
  <c r="I543" i="1" s="1"/>
  <c r="K542" i="1"/>
  <c r="H542" i="1"/>
  <c r="I542" i="1" s="1"/>
  <c r="J542" i="1" s="1"/>
  <c r="I541" i="1"/>
  <c r="K541" i="1" s="1"/>
  <c r="H541" i="1"/>
  <c r="H540" i="1"/>
  <c r="I540" i="1" s="1"/>
  <c r="H539" i="1"/>
  <c r="I539" i="1" s="1"/>
  <c r="K538" i="1"/>
  <c r="J538" i="1"/>
  <c r="I538" i="1"/>
  <c r="H538" i="1"/>
  <c r="I537" i="1"/>
  <c r="K537" i="1" s="1"/>
  <c r="H537" i="1"/>
  <c r="I536" i="1"/>
  <c r="J536" i="1" s="1"/>
  <c r="H536" i="1"/>
  <c r="H535" i="1"/>
  <c r="I535" i="1" s="1"/>
  <c r="K534" i="1"/>
  <c r="J534" i="1"/>
  <c r="I534" i="1"/>
  <c r="H534" i="1"/>
  <c r="I533" i="1"/>
  <c r="K533" i="1" s="1"/>
  <c r="H533" i="1"/>
  <c r="I532" i="1"/>
  <c r="H532" i="1"/>
  <c r="H531" i="1"/>
  <c r="I531" i="1" s="1"/>
  <c r="K530" i="1"/>
  <c r="J530" i="1"/>
  <c r="I530" i="1"/>
  <c r="H530" i="1"/>
  <c r="H529" i="1"/>
  <c r="I529" i="1" s="1"/>
  <c r="I528" i="1"/>
  <c r="H528" i="1"/>
  <c r="H527" i="1"/>
  <c r="I527" i="1" s="1"/>
  <c r="K526" i="1"/>
  <c r="I526" i="1"/>
  <c r="J526" i="1" s="1"/>
  <c r="H526" i="1"/>
  <c r="H525" i="1"/>
  <c r="I525" i="1" s="1"/>
  <c r="J525" i="1" s="1"/>
  <c r="H524" i="1"/>
  <c r="I524" i="1" s="1"/>
  <c r="H523" i="1"/>
  <c r="I523" i="1" s="1"/>
  <c r="K522" i="1"/>
  <c r="I522" i="1"/>
  <c r="J522" i="1" s="1"/>
  <c r="H522" i="1"/>
  <c r="H521" i="1"/>
  <c r="I521" i="1" s="1"/>
  <c r="J521" i="1" s="1"/>
  <c r="K520" i="1"/>
  <c r="H520" i="1"/>
  <c r="I520" i="1" s="1"/>
  <c r="J520" i="1" s="1"/>
  <c r="H519" i="1"/>
  <c r="I519" i="1" s="1"/>
  <c r="K518" i="1"/>
  <c r="I518" i="1"/>
  <c r="J518" i="1" s="1"/>
  <c r="H518" i="1"/>
  <c r="H517" i="1"/>
  <c r="I517" i="1" s="1"/>
  <c r="I516" i="1"/>
  <c r="H516" i="1"/>
  <c r="H515" i="1"/>
  <c r="I515" i="1" s="1"/>
  <c r="K514" i="1"/>
  <c r="I514" i="1"/>
  <c r="J514" i="1" s="1"/>
  <c r="H514" i="1"/>
  <c r="H513" i="1"/>
  <c r="I513" i="1" s="1"/>
  <c r="J513" i="1" s="1"/>
  <c r="H512" i="1"/>
  <c r="I512" i="1" s="1"/>
  <c r="H511" i="1"/>
  <c r="I511" i="1" s="1"/>
  <c r="K510" i="1"/>
  <c r="I510" i="1"/>
  <c r="J510" i="1" s="1"/>
  <c r="H510" i="1"/>
  <c r="H509" i="1"/>
  <c r="I509" i="1" s="1"/>
  <c r="J509" i="1" s="1"/>
  <c r="K508" i="1"/>
  <c r="H508" i="1"/>
  <c r="I508" i="1" s="1"/>
  <c r="J508" i="1" s="1"/>
  <c r="H507" i="1"/>
  <c r="I507" i="1" s="1"/>
  <c r="K506" i="1"/>
  <c r="I506" i="1"/>
  <c r="J506" i="1" s="1"/>
  <c r="H506" i="1"/>
  <c r="H505" i="1"/>
  <c r="I505" i="1" s="1"/>
  <c r="H504" i="1"/>
  <c r="I504" i="1" s="1"/>
  <c r="H503" i="1"/>
  <c r="I503" i="1" s="1"/>
  <c r="K502" i="1"/>
  <c r="I502" i="1"/>
  <c r="J502" i="1" s="1"/>
  <c r="H502" i="1"/>
  <c r="H501" i="1"/>
  <c r="I501" i="1" s="1"/>
  <c r="J500" i="1"/>
  <c r="I500" i="1"/>
  <c r="K500" i="1" s="1"/>
  <c r="H500" i="1"/>
  <c r="H499" i="1"/>
  <c r="I499" i="1" s="1"/>
  <c r="K498" i="1"/>
  <c r="I498" i="1"/>
  <c r="J498" i="1" s="1"/>
  <c r="H498" i="1"/>
  <c r="H497" i="1"/>
  <c r="I497" i="1" s="1"/>
  <c r="H496" i="1"/>
  <c r="I496" i="1" s="1"/>
  <c r="K496" i="1" s="1"/>
  <c r="H495" i="1"/>
  <c r="I495" i="1" s="1"/>
  <c r="K494" i="1"/>
  <c r="I494" i="1"/>
  <c r="J494" i="1" s="1"/>
  <c r="H494" i="1"/>
  <c r="I493" i="1"/>
  <c r="K493" i="1" s="1"/>
  <c r="H493" i="1"/>
  <c r="H492" i="1"/>
  <c r="I492" i="1" s="1"/>
  <c r="H491" i="1"/>
  <c r="I491" i="1" s="1"/>
  <c r="K490" i="1"/>
  <c r="I490" i="1"/>
  <c r="J490" i="1" s="1"/>
  <c r="H490" i="1"/>
  <c r="K489" i="1"/>
  <c r="H489" i="1"/>
  <c r="I489" i="1" s="1"/>
  <c r="J489" i="1" s="1"/>
  <c r="H488" i="1"/>
  <c r="I488" i="1" s="1"/>
  <c r="H487" i="1"/>
  <c r="I487" i="1" s="1"/>
  <c r="K486" i="1"/>
  <c r="I486" i="1"/>
  <c r="J486" i="1" s="1"/>
  <c r="H486" i="1"/>
  <c r="K485" i="1"/>
  <c r="J485" i="1"/>
  <c r="H485" i="1"/>
  <c r="I485" i="1" s="1"/>
  <c r="H484" i="1"/>
  <c r="I484" i="1" s="1"/>
  <c r="H483" i="1"/>
  <c r="I483" i="1" s="1"/>
  <c r="K482" i="1"/>
  <c r="I482" i="1"/>
  <c r="J482" i="1" s="1"/>
  <c r="H482" i="1"/>
  <c r="J481" i="1"/>
  <c r="I481" i="1"/>
  <c r="K481" i="1" s="1"/>
  <c r="H481" i="1"/>
  <c r="H480" i="1"/>
  <c r="I480" i="1" s="1"/>
  <c r="H479" i="1"/>
  <c r="I479" i="1" s="1"/>
  <c r="I478" i="1"/>
  <c r="J478" i="1" s="1"/>
  <c r="H478" i="1"/>
  <c r="J477" i="1"/>
  <c r="I477" i="1"/>
  <c r="K477" i="1" s="1"/>
  <c r="H477" i="1"/>
  <c r="H476" i="1"/>
  <c r="I476" i="1" s="1"/>
  <c r="K475" i="1"/>
  <c r="H475" i="1"/>
  <c r="I475" i="1" s="1"/>
  <c r="J475" i="1" s="1"/>
  <c r="K474" i="1"/>
  <c r="I474" i="1"/>
  <c r="J474" i="1" s="1"/>
  <c r="H474" i="1"/>
  <c r="H473" i="1"/>
  <c r="I473" i="1" s="1"/>
  <c r="I472" i="1"/>
  <c r="K472" i="1" s="1"/>
  <c r="H472" i="1"/>
  <c r="J471" i="1"/>
  <c r="I471" i="1"/>
  <c r="K471" i="1" s="1"/>
  <c r="H471" i="1"/>
  <c r="I470" i="1"/>
  <c r="K470" i="1" s="1"/>
  <c r="H470" i="1"/>
  <c r="H469" i="1"/>
  <c r="I469" i="1" s="1"/>
  <c r="I468" i="1"/>
  <c r="K468" i="1" s="1"/>
  <c r="H468" i="1"/>
  <c r="I467" i="1"/>
  <c r="K467" i="1" s="1"/>
  <c r="H467" i="1"/>
  <c r="I466" i="1"/>
  <c r="H466" i="1"/>
  <c r="H465" i="1"/>
  <c r="I465" i="1" s="1"/>
  <c r="I464" i="1"/>
  <c r="K464" i="1" s="1"/>
  <c r="H464" i="1"/>
  <c r="J463" i="1"/>
  <c r="I463" i="1"/>
  <c r="K463" i="1" s="1"/>
  <c r="H463" i="1"/>
  <c r="K462" i="1"/>
  <c r="I462" i="1"/>
  <c r="J462" i="1" s="1"/>
  <c r="H462" i="1"/>
  <c r="H461" i="1"/>
  <c r="I461" i="1" s="1"/>
  <c r="I460" i="1"/>
  <c r="K460" i="1" s="1"/>
  <c r="H460" i="1"/>
  <c r="J459" i="1"/>
  <c r="I459" i="1"/>
  <c r="K459" i="1" s="1"/>
  <c r="H459" i="1"/>
  <c r="K458" i="1"/>
  <c r="I458" i="1"/>
  <c r="J458" i="1" s="1"/>
  <c r="H458" i="1"/>
  <c r="H457" i="1"/>
  <c r="I457" i="1" s="1"/>
  <c r="I456" i="1"/>
  <c r="K456" i="1" s="1"/>
  <c r="H456" i="1"/>
  <c r="J455" i="1"/>
  <c r="I455" i="1"/>
  <c r="K455" i="1" s="1"/>
  <c r="H455" i="1"/>
  <c r="J454" i="1"/>
  <c r="I454" i="1"/>
  <c r="K454" i="1" s="1"/>
  <c r="H454" i="1"/>
  <c r="H453" i="1"/>
  <c r="I453" i="1" s="1"/>
  <c r="J452" i="1"/>
  <c r="I452" i="1"/>
  <c r="K452" i="1" s="1"/>
  <c r="H452" i="1"/>
  <c r="I451" i="1"/>
  <c r="K451" i="1" s="1"/>
  <c r="H451" i="1"/>
  <c r="J450" i="1"/>
  <c r="I450" i="1"/>
  <c r="K450" i="1" s="1"/>
  <c r="H450" i="1"/>
  <c r="H449" i="1"/>
  <c r="I449" i="1" s="1"/>
  <c r="J448" i="1"/>
  <c r="I448" i="1"/>
  <c r="K448" i="1" s="1"/>
  <c r="H448" i="1"/>
  <c r="J447" i="1"/>
  <c r="I447" i="1"/>
  <c r="K447" i="1" s="1"/>
  <c r="H447" i="1"/>
  <c r="I446" i="1"/>
  <c r="K446" i="1" s="1"/>
  <c r="H446" i="1"/>
  <c r="H445" i="1"/>
  <c r="I445" i="1" s="1"/>
  <c r="J444" i="1"/>
  <c r="I444" i="1"/>
  <c r="K444" i="1" s="1"/>
  <c r="H444" i="1"/>
  <c r="I443" i="1"/>
  <c r="K443" i="1" s="1"/>
  <c r="H443" i="1"/>
  <c r="J442" i="1"/>
  <c r="I442" i="1"/>
  <c r="K442" i="1" s="1"/>
  <c r="H442" i="1"/>
  <c r="H441" i="1"/>
  <c r="I441" i="1" s="1"/>
  <c r="J440" i="1"/>
  <c r="I440" i="1"/>
  <c r="K440" i="1" s="1"/>
  <c r="H440" i="1"/>
  <c r="J439" i="1"/>
  <c r="I439" i="1"/>
  <c r="K439" i="1" s="1"/>
  <c r="H439" i="1"/>
  <c r="J438" i="1"/>
  <c r="I438" i="1"/>
  <c r="K438" i="1" s="1"/>
  <c r="H438" i="1"/>
  <c r="H437" i="1"/>
  <c r="I437" i="1" s="1"/>
  <c r="J436" i="1"/>
  <c r="I436" i="1"/>
  <c r="K436" i="1" s="1"/>
  <c r="H436" i="1"/>
  <c r="J435" i="1"/>
  <c r="I435" i="1"/>
  <c r="K435" i="1" s="1"/>
  <c r="H435" i="1"/>
  <c r="I434" i="1"/>
  <c r="K434" i="1" s="1"/>
  <c r="H434" i="1"/>
  <c r="H433" i="1"/>
  <c r="I433" i="1" s="1"/>
  <c r="J432" i="1"/>
  <c r="I432" i="1"/>
  <c r="K432" i="1" s="1"/>
  <c r="H432" i="1"/>
  <c r="I431" i="1"/>
  <c r="K431" i="1" s="1"/>
  <c r="H431" i="1"/>
  <c r="J430" i="1"/>
  <c r="I430" i="1"/>
  <c r="K430" i="1" s="1"/>
  <c r="H430" i="1"/>
  <c r="H429" i="1"/>
  <c r="I429" i="1" s="1"/>
  <c r="J428" i="1"/>
  <c r="I428" i="1"/>
  <c r="K428" i="1" s="1"/>
  <c r="H428" i="1"/>
  <c r="I427" i="1"/>
  <c r="K427" i="1" s="1"/>
  <c r="H427" i="1"/>
  <c r="I426" i="1"/>
  <c r="K426" i="1" s="1"/>
  <c r="H426" i="1"/>
  <c r="H425" i="1"/>
  <c r="I425" i="1" s="1"/>
  <c r="J424" i="1"/>
  <c r="I424" i="1"/>
  <c r="K424" i="1" s="1"/>
  <c r="H424" i="1"/>
  <c r="J423" i="1"/>
  <c r="I423" i="1"/>
  <c r="K423" i="1" s="1"/>
  <c r="H423" i="1"/>
  <c r="I422" i="1"/>
  <c r="K422" i="1" s="1"/>
  <c r="H422" i="1"/>
  <c r="H421" i="1"/>
  <c r="I421" i="1" s="1"/>
  <c r="J420" i="1"/>
  <c r="I420" i="1"/>
  <c r="K420" i="1" s="1"/>
  <c r="H420" i="1"/>
  <c r="I419" i="1"/>
  <c r="H419" i="1"/>
  <c r="J418" i="1"/>
  <c r="I418" i="1"/>
  <c r="K418" i="1" s="1"/>
  <c r="H418" i="1"/>
  <c r="H417" i="1"/>
  <c r="I417" i="1" s="1"/>
  <c r="K416" i="1"/>
  <c r="J416" i="1"/>
  <c r="I416" i="1"/>
  <c r="H416" i="1"/>
  <c r="I415" i="1"/>
  <c r="K415" i="1" s="1"/>
  <c r="H415" i="1"/>
  <c r="K414" i="1"/>
  <c r="J414" i="1"/>
  <c r="I414" i="1"/>
  <c r="H414" i="1"/>
  <c r="H413" i="1"/>
  <c r="I413" i="1" s="1"/>
  <c r="K412" i="1"/>
  <c r="J412" i="1"/>
  <c r="I412" i="1"/>
  <c r="H412" i="1"/>
  <c r="I411" i="1"/>
  <c r="H411" i="1"/>
  <c r="K410" i="1"/>
  <c r="J410" i="1"/>
  <c r="I410" i="1"/>
  <c r="H410" i="1"/>
  <c r="H409" i="1"/>
  <c r="I409" i="1" s="1"/>
  <c r="K408" i="1"/>
  <c r="J408" i="1"/>
  <c r="I408" i="1"/>
  <c r="H408" i="1"/>
  <c r="I407" i="1"/>
  <c r="K407" i="1" s="1"/>
  <c r="H407" i="1"/>
  <c r="J406" i="1"/>
  <c r="I406" i="1"/>
  <c r="K406" i="1" s="1"/>
  <c r="H406" i="1"/>
  <c r="H405" i="1"/>
  <c r="I405" i="1" s="1"/>
  <c r="K404" i="1"/>
  <c r="J404" i="1"/>
  <c r="I404" i="1"/>
  <c r="H404" i="1"/>
  <c r="J403" i="1"/>
  <c r="I403" i="1"/>
  <c r="K403" i="1" s="1"/>
  <c r="H403" i="1"/>
  <c r="J402" i="1"/>
  <c r="I402" i="1"/>
  <c r="K402" i="1" s="1"/>
  <c r="H402" i="1"/>
  <c r="H401" i="1"/>
  <c r="I401" i="1" s="1"/>
  <c r="K400" i="1"/>
  <c r="J400" i="1"/>
  <c r="I400" i="1"/>
  <c r="H400" i="1"/>
  <c r="I399" i="1"/>
  <c r="H399" i="1"/>
  <c r="K398" i="1"/>
  <c r="J398" i="1"/>
  <c r="I398" i="1"/>
  <c r="H398" i="1"/>
  <c r="H397" i="1"/>
  <c r="I397" i="1" s="1"/>
  <c r="K396" i="1"/>
  <c r="J396" i="1"/>
  <c r="I396" i="1"/>
  <c r="H396" i="1"/>
  <c r="I395" i="1"/>
  <c r="H395" i="1"/>
  <c r="K394" i="1"/>
  <c r="J394" i="1"/>
  <c r="I394" i="1"/>
  <c r="H394" i="1"/>
  <c r="H393" i="1"/>
  <c r="I393" i="1" s="1"/>
  <c r="K392" i="1"/>
  <c r="J392" i="1"/>
  <c r="I392" i="1"/>
  <c r="H392" i="1"/>
  <c r="I391" i="1"/>
  <c r="K391" i="1" s="1"/>
  <c r="H391" i="1"/>
  <c r="I390" i="1"/>
  <c r="K390" i="1" s="1"/>
  <c r="H390" i="1"/>
  <c r="H389" i="1"/>
  <c r="I389" i="1" s="1"/>
  <c r="K388" i="1"/>
  <c r="J388" i="1"/>
  <c r="I388" i="1"/>
  <c r="H388" i="1"/>
  <c r="I387" i="1"/>
  <c r="K387" i="1" s="1"/>
  <c r="H387" i="1"/>
  <c r="J386" i="1"/>
  <c r="I386" i="1"/>
  <c r="K386" i="1" s="1"/>
  <c r="H386" i="1"/>
  <c r="H385" i="1"/>
  <c r="I385" i="1" s="1"/>
  <c r="K384" i="1"/>
  <c r="J384" i="1"/>
  <c r="I384" i="1"/>
  <c r="H384" i="1"/>
  <c r="I383" i="1"/>
  <c r="H383" i="1"/>
  <c r="K382" i="1"/>
  <c r="J382" i="1"/>
  <c r="I382" i="1"/>
  <c r="H382" i="1"/>
  <c r="H381" i="1"/>
  <c r="I381" i="1" s="1"/>
  <c r="K380" i="1"/>
  <c r="J380" i="1"/>
  <c r="I380" i="1"/>
  <c r="H380" i="1"/>
  <c r="J379" i="1"/>
  <c r="H379" i="1"/>
  <c r="I379" i="1" s="1"/>
  <c r="K379" i="1" s="1"/>
  <c r="I378" i="1"/>
  <c r="J378" i="1" s="1"/>
  <c r="H378" i="1"/>
  <c r="H377" i="1"/>
  <c r="I377" i="1" s="1"/>
  <c r="K376" i="1"/>
  <c r="J376" i="1"/>
  <c r="I376" i="1"/>
  <c r="H376" i="1"/>
  <c r="H375" i="1"/>
  <c r="I375" i="1" s="1"/>
  <c r="J374" i="1"/>
  <c r="I374" i="1"/>
  <c r="K374" i="1" s="1"/>
  <c r="H374" i="1"/>
  <c r="H373" i="1"/>
  <c r="I373" i="1" s="1"/>
  <c r="K372" i="1"/>
  <c r="J372" i="1"/>
  <c r="I372" i="1"/>
  <c r="H372" i="1"/>
  <c r="I371" i="1"/>
  <c r="K371" i="1" s="1"/>
  <c r="H371" i="1"/>
  <c r="J370" i="1"/>
  <c r="I370" i="1"/>
  <c r="K370" i="1" s="1"/>
  <c r="H370" i="1"/>
  <c r="H369" i="1"/>
  <c r="I369" i="1" s="1"/>
  <c r="H368" i="1"/>
  <c r="I368" i="1" s="1"/>
  <c r="H367" i="1"/>
  <c r="I367" i="1" s="1"/>
  <c r="I366" i="1"/>
  <c r="K366" i="1" s="1"/>
  <c r="H366" i="1"/>
  <c r="H365" i="1"/>
  <c r="I365" i="1" s="1"/>
  <c r="H364" i="1"/>
  <c r="I364" i="1" s="1"/>
  <c r="J364" i="1" s="1"/>
  <c r="H363" i="1"/>
  <c r="I363" i="1" s="1"/>
  <c r="I362" i="1"/>
  <c r="J362" i="1" s="1"/>
  <c r="H362" i="1"/>
  <c r="H361" i="1"/>
  <c r="I361" i="1" s="1"/>
  <c r="K360" i="1"/>
  <c r="H360" i="1"/>
  <c r="I360" i="1" s="1"/>
  <c r="J360" i="1" s="1"/>
  <c r="I359" i="1"/>
  <c r="K359" i="1" s="1"/>
  <c r="H359" i="1"/>
  <c r="I358" i="1"/>
  <c r="H358" i="1"/>
  <c r="H357" i="1"/>
  <c r="I357" i="1" s="1"/>
  <c r="H356" i="1"/>
  <c r="I356" i="1" s="1"/>
  <c r="H355" i="1"/>
  <c r="I355" i="1" s="1"/>
  <c r="I354" i="1"/>
  <c r="K354" i="1" s="1"/>
  <c r="H354" i="1"/>
  <c r="H353" i="1"/>
  <c r="I353" i="1" s="1"/>
  <c r="H352" i="1"/>
  <c r="I352" i="1" s="1"/>
  <c r="J352" i="1" s="1"/>
  <c r="H351" i="1"/>
  <c r="I351" i="1" s="1"/>
  <c r="I350" i="1"/>
  <c r="J350" i="1" s="1"/>
  <c r="H350" i="1"/>
  <c r="H349" i="1"/>
  <c r="I349" i="1" s="1"/>
  <c r="K348" i="1"/>
  <c r="H348" i="1"/>
  <c r="I348" i="1" s="1"/>
  <c r="J348" i="1" s="1"/>
  <c r="I347" i="1"/>
  <c r="K347" i="1" s="1"/>
  <c r="H347" i="1"/>
  <c r="I346" i="1"/>
  <c r="H346" i="1"/>
  <c r="H345" i="1"/>
  <c r="I345" i="1" s="1"/>
  <c r="H344" i="1"/>
  <c r="I344" i="1" s="1"/>
  <c r="H343" i="1"/>
  <c r="I343" i="1" s="1"/>
  <c r="I342" i="1"/>
  <c r="K342" i="1" s="1"/>
  <c r="H342" i="1"/>
  <c r="H341" i="1"/>
  <c r="I341" i="1" s="1"/>
  <c r="H340" i="1"/>
  <c r="I340" i="1" s="1"/>
  <c r="J340" i="1" s="1"/>
  <c r="H339" i="1"/>
  <c r="I339" i="1" s="1"/>
  <c r="K338" i="1"/>
  <c r="I338" i="1"/>
  <c r="J338" i="1" s="1"/>
  <c r="H338" i="1"/>
  <c r="H337" i="1"/>
  <c r="I337" i="1" s="1"/>
  <c r="K336" i="1"/>
  <c r="H336" i="1"/>
  <c r="I336" i="1" s="1"/>
  <c r="J336" i="1" s="1"/>
  <c r="I335" i="1"/>
  <c r="K335" i="1" s="1"/>
  <c r="H335" i="1"/>
  <c r="J334" i="1"/>
  <c r="I334" i="1"/>
  <c r="K334" i="1" s="1"/>
  <c r="H334" i="1"/>
  <c r="H333" i="1"/>
  <c r="I333" i="1" s="1"/>
  <c r="H332" i="1"/>
  <c r="I332" i="1" s="1"/>
  <c r="H331" i="1"/>
  <c r="I331" i="1" s="1"/>
  <c r="I330" i="1"/>
  <c r="K330" i="1" s="1"/>
  <c r="H330" i="1"/>
  <c r="H329" i="1"/>
  <c r="I329" i="1" s="1"/>
  <c r="H328" i="1"/>
  <c r="I328" i="1" s="1"/>
  <c r="J328" i="1" s="1"/>
  <c r="H327" i="1"/>
  <c r="I327" i="1" s="1"/>
  <c r="I326" i="1"/>
  <c r="J326" i="1" s="1"/>
  <c r="H326" i="1"/>
  <c r="H325" i="1"/>
  <c r="I325" i="1" s="1"/>
  <c r="K324" i="1"/>
  <c r="H324" i="1"/>
  <c r="I324" i="1" s="1"/>
  <c r="J324" i="1" s="1"/>
  <c r="I323" i="1"/>
  <c r="K323" i="1" s="1"/>
  <c r="H323" i="1"/>
  <c r="I322" i="1"/>
  <c r="K322" i="1" s="1"/>
  <c r="H322" i="1"/>
  <c r="H321" i="1"/>
  <c r="I321" i="1" s="1"/>
  <c r="H320" i="1"/>
  <c r="I320" i="1" s="1"/>
  <c r="I319" i="1"/>
  <c r="H319" i="1"/>
  <c r="I318" i="1"/>
  <c r="K318" i="1" s="1"/>
  <c r="H318" i="1"/>
  <c r="H317" i="1"/>
  <c r="I317" i="1" s="1"/>
  <c r="H316" i="1"/>
  <c r="I316" i="1" s="1"/>
  <c r="J316" i="1" s="1"/>
  <c r="H315" i="1"/>
  <c r="I315" i="1" s="1"/>
  <c r="I314" i="1"/>
  <c r="H314" i="1"/>
  <c r="H313" i="1"/>
  <c r="I313" i="1" s="1"/>
  <c r="K312" i="1"/>
  <c r="H312" i="1"/>
  <c r="I312" i="1" s="1"/>
  <c r="J312" i="1" s="1"/>
  <c r="I311" i="1"/>
  <c r="K311" i="1" s="1"/>
  <c r="H311" i="1"/>
  <c r="J310" i="1"/>
  <c r="I310" i="1"/>
  <c r="K310" i="1" s="1"/>
  <c r="H310" i="1"/>
  <c r="H309" i="1"/>
  <c r="I309" i="1" s="1"/>
  <c r="H308" i="1"/>
  <c r="I308" i="1" s="1"/>
  <c r="I307" i="1"/>
  <c r="H307" i="1"/>
  <c r="K306" i="1"/>
  <c r="J306" i="1"/>
  <c r="I306" i="1"/>
  <c r="H306" i="1"/>
  <c r="I305" i="1"/>
  <c r="H305" i="1"/>
  <c r="K304" i="1"/>
  <c r="J304" i="1"/>
  <c r="I304" i="1"/>
  <c r="H304" i="1"/>
  <c r="H303" i="1"/>
  <c r="I303" i="1" s="1"/>
  <c r="I302" i="1"/>
  <c r="K302" i="1" s="1"/>
  <c r="H302" i="1"/>
  <c r="I301" i="1"/>
  <c r="K301" i="1" s="1"/>
  <c r="H301" i="1"/>
  <c r="K300" i="1"/>
  <c r="I300" i="1"/>
  <c r="J300" i="1" s="1"/>
  <c r="H300" i="1"/>
  <c r="H299" i="1"/>
  <c r="I299" i="1" s="1"/>
  <c r="I298" i="1"/>
  <c r="K298" i="1" s="1"/>
  <c r="H298" i="1"/>
  <c r="I297" i="1"/>
  <c r="K297" i="1" s="1"/>
  <c r="H297" i="1"/>
  <c r="I296" i="1"/>
  <c r="K296" i="1" s="1"/>
  <c r="H296" i="1"/>
  <c r="H295" i="1"/>
  <c r="I295" i="1" s="1"/>
  <c r="I294" i="1"/>
  <c r="K294" i="1" s="1"/>
  <c r="H294" i="1"/>
  <c r="I293" i="1"/>
  <c r="K293" i="1" s="1"/>
  <c r="H293" i="1"/>
  <c r="I292" i="1"/>
  <c r="H292" i="1"/>
  <c r="H291" i="1"/>
  <c r="I291" i="1" s="1"/>
  <c r="I290" i="1"/>
  <c r="K290" i="1" s="1"/>
  <c r="H290" i="1"/>
  <c r="I289" i="1"/>
  <c r="K289" i="1" s="1"/>
  <c r="H289" i="1"/>
  <c r="K288" i="1"/>
  <c r="J288" i="1"/>
  <c r="I288" i="1"/>
  <c r="H288" i="1"/>
  <c r="H287" i="1"/>
  <c r="I287" i="1" s="1"/>
  <c r="I286" i="1"/>
  <c r="K286" i="1" s="1"/>
  <c r="H286" i="1"/>
  <c r="J285" i="1"/>
  <c r="I285" i="1"/>
  <c r="K285" i="1" s="1"/>
  <c r="H285" i="1"/>
  <c r="J284" i="1"/>
  <c r="I284" i="1"/>
  <c r="K284" i="1" s="1"/>
  <c r="H284" i="1"/>
  <c r="H283" i="1"/>
  <c r="I283" i="1" s="1"/>
  <c r="I282" i="1"/>
  <c r="K282" i="1" s="1"/>
  <c r="H282" i="1"/>
  <c r="J281" i="1"/>
  <c r="I281" i="1"/>
  <c r="K281" i="1" s="1"/>
  <c r="H281" i="1"/>
  <c r="K280" i="1"/>
  <c r="J280" i="1"/>
  <c r="I280" i="1"/>
  <c r="H280" i="1"/>
  <c r="H279" i="1"/>
  <c r="I279" i="1" s="1"/>
  <c r="I278" i="1"/>
  <c r="K278" i="1" s="1"/>
  <c r="H278" i="1"/>
  <c r="I277" i="1"/>
  <c r="K277" i="1" s="1"/>
  <c r="H277" i="1"/>
  <c r="J276" i="1"/>
  <c r="I276" i="1"/>
  <c r="K276" i="1" s="1"/>
  <c r="H276" i="1"/>
  <c r="H275" i="1"/>
  <c r="I275" i="1" s="1"/>
  <c r="I274" i="1"/>
  <c r="K274" i="1" s="1"/>
  <c r="H274" i="1"/>
  <c r="I273" i="1"/>
  <c r="K273" i="1" s="1"/>
  <c r="H273" i="1"/>
  <c r="I272" i="1"/>
  <c r="J272" i="1" s="1"/>
  <c r="H272" i="1"/>
  <c r="H271" i="1"/>
  <c r="I271" i="1" s="1"/>
  <c r="I270" i="1"/>
  <c r="K270" i="1" s="1"/>
  <c r="H270" i="1"/>
  <c r="I269" i="1"/>
  <c r="K269" i="1" s="1"/>
  <c r="H269" i="1"/>
  <c r="I268" i="1"/>
  <c r="H268" i="1"/>
  <c r="H267" i="1"/>
  <c r="I267" i="1" s="1"/>
  <c r="I266" i="1"/>
  <c r="K266" i="1" s="1"/>
  <c r="H266" i="1"/>
  <c r="I265" i="1"/>
  <c r="K265" i="1" s="1"/>
  <c r="H265" i="1"/>
  <c r="K264" i="1"/>
  <c r="J264" i="1"/>
  <c r="I264" i="1"/>
  <c r="H264" i="1"/>
  <c r="I263" i="1"/>
  <c r="H263" i="1"/>
  <c r="I262" i="1"/>
  <c r="K262" i="1" s="1"/>
  <c r="H262" i="1"/>
  <c r="J261" i="1"/>
  <c r="I261" i="1"/>
  <c r="K261" i="1" s="1"/>
  <c r="H261" i="1"/>
  <c r="I260" i="1"/>
  <c r="K260" i="1" s="1"/>
  <c r="H260" i="1"/>
  <c r="I259" i="1"/>
  <c r="H259" i="1"/>
  <c r="I258" i="1"/>
  <c r="K258" i="1" s="1"/>
  <c r="H258" i="1"/>
  <c r="I257" i="1"/>
  <c r="K257" i="1" s="1"/>
  <c r="H257" i="1"/>
  <c r="K256" i="1"/>
  <c r="J256" i="1"/>
  <c r="I256" i="1"/>
  <c r="H256" i="1"/>
  <c r="H255" i="1"/>
  <c r="I255" i="1" s="1"/>
  <c r="I254" i="1"/>
  <c r="K254" i="1" s="1"/>
  <c r="H254" i="1"/>
  <c r="I253" i="1"/>
  <c r="K253" i="1" s="1"/>
  <c r="H253" i="1"/>
  <c r="K252" i="1"/>
  <c r="J252" i="1"/>
  <c r="I252" i="1"/>
  <c r="H252" i="1"/>
  <c r="H251" i="1"/>
  <c r="I251" i="1" s="1"/>
  <c r="I250" i="1"/>
  <c r="K250" i="1" s="1"/>
  <c r="H250" i="1"/>
  <c r="I249" i="1"/>
  <c r="K249" i="1" s="1"/>
  <c r="H249" i="1"/>
  <c r="K248" i="1"/>
  <c r="I248" i="1"/>
  <c r="J248" i="1" s="1"/>
  <c r="H248" i="1"/>
  <c r="H247" i="1"/>
  <c r="I247" i="1" s="1"/>
  <c r="I246" i="1"/>
  <c r="K246" i="1" s="1"/>
  <c r="H246" i="1"/>
  <c r="I245" i="1"/>
  <c r="K245" i="1" s="1"/>
  <c r="H245" i="1"/>
  <c r="I244" i="1"/>
  <c r="H244" i="1"/>
  <c r="I243" i="1"/>
  <c r="H243" i="1"/>
  <c r="I242" i="1"/>
  <c r="K242" i="1" s="1"/>
  <c r="H242" i="1"/>
  <c r="J241" i="1"/>
  <c r="I241" i="1"/>
  <c r="K241" i="1" s="1"/>
  <c r="H241" i="1"/>
  <c r="K240" i="1"/>
  <c r="J240" i="1"/>
  <c r="I240" i="1"/>
  <c r="H240" i="1"/>
  <c r="I239" i="1"/>
  <c r="H239" i="1"/>
  <c r="I238" i="1"/>
  <c r="K238" i="1" s="1"/>
  <c r="H238" i="1"/>
  <c r="I237" i="1"/>
  <c r="H237" i="1"/>
  <c r="I236" i="1"/>
  <c r="K236" i="1" s="1"/>
  <c r="H236" i="1"/>
  <c r="H235" i="1"/>
  <c r="I235" i="1" s="1"/>
  <c r="I234" i="1"/>
  <c r="K234" i="1" s="1"/>
  <c r="H234" i="1"/>
  <c r="I233" i="1"/>
  <c r="K233" i="1" s="1"/>
  <c r="H233" i="1"/>
  <c r="K232" i="1"/>
  <c r="J232" i="1"/>
  <c r="I232" i="1"/>
  <c r="H232" i="1"/>
  <c r="H231" i="1"/>
  <c r="I231" i="1" s="1"/>
  <c r="I230" i="1"/>
  <c r="K230" i="1" s="1"/>
  <c r="H230" i="1"/>
  <c r="I229" i="1"/>
  <c r="K229" i="1" s="1"/>
  <c r="H229" i="1"/>
  <c r="I228" i="1"/>
  <c r="K228" i="1" s="1"/>
  <c r="H228" i="1"/>
  <c r="H227" i="1"/>
  <c r="I227" i="1" s="1"/>
  <c r="I226" i="1"/>
  <c r="K226" i="1" s="1"/>
  <c r="H226" i="1"/>
  <c r="I225" i="1"/>
  <c r="K225" i="1" s="1"/>
  <c r="H225" i="1"/>
  <c r="I224" i="1"/>
  <c r="H224" i="1"/>
  <c r="H223" i="1"/>
  <c r="I223" i="1" s="1"/>
  <c r="H222" i="1"/>
  <c r="I222" i="1" s="1"/>
  <c r="J221" i="1"/>
  <c r="I221" i="1"/>
  <c r="K221" i="1" s="1"/>
  <c r="H221" i="1"/>
  <c r="I220" i="1"/>
  <c r="K220" i="1" s="1"/>
  <c r="H220" i="1"/>
  <c r="I219" i="1"/>
  <c r="H219" i="1"/>
  <c r="H218" i="1"/>
  <c r="I218" i="1" s="1"/>
  <c r="I217" i="1"/>
  <c r="H217" i="1"/>
  <c r="I216" i="1"/>
  <c r="K216" i="1" s="1"/>
  <c r="H216" i="1"/>
  <c r="I215" i="1"/>
  <c r="H215" i="1"/>
  <c r="H214" i="1"/>
  <c r="I214" i="1" s="1"/>
  <c r="I213" i="1"/>
  <c r="H213" i="1"/>
  <c r="I212" i="1"/>
  <c r="H212" i="1"/>
  <c r="I211" i="1"/>
  <c r="H211" i="1"/>
  <c r="H210" i="1"/>
  <c r="I210" i="1" s="1"/>
  <c r="I209" i="1"/>
  <c r="K209" i="1" s="1"/>
  <c r="H209" i="1"/>
  <c r="K208" i="1"/>
  <c r="I208" i="1"/>
  <c r="J208" i="1" s="1"/>
  <c r="H208" i="1"/>
  <c r="H207" i="1"/>
  <c r="I207" i="1" s="1"/>
  <c r="H206" i="1"/>
  <c r="I206" i="1" s="1"/>
  <c r="J205" i="1"/>
  <c r="I205" i="1"/>
  <c r="K205" i="1" s="1"/>
  <c r="H205" i="1"/>
  <c r="I204" i="1"/>
  <c r="K204" i="1" s="1"/>
  <c r="H204" i="1"/>
  <c r="H203" i="1"/>
  <c r="I203" i="1" s="1"/>
  <c r="H202" i="1"/>
  <c r="I202" i="1" s="1"/>
  <c r="I201" i="1"/>
  <c r="K201" i="1" s="1"/>
  <c r="H201" i="1"/>
  <c r="I200" i="1"/>
  <c r="K200" i="1" s="1"/>
  <c r="H200" i="1"/>
  <c r="I199" i="1"/>
  <c r="H199" i="1"/>
  <c r="H198" i="1"/>
  <c r="I198" i="1" s="1"/>
  <c r="I197" i="1"/>
  <c r="H197" i="1"/>
  <c r="I196" i="1"/>
  <c r="H196" i="1"/>
  <c r="I195" i="1"/>
  <c r="H195" i="1"/>
  <c r="H194" i="1"/>
  <c r="I194" i="1" s="1"/>
  <c r="I193" i="1"/>
  <c r="K193" i="1" s="1"/>
  <c r="H193" i="1"/>
  <c r="I192" i="1"/>
  <c r="K192" i="1" s="1"/>
  <c r="H192" i="1"/>
  <c r="H191" i="1"/>
  <c r="I191" i="1" s="1"/>
  <c r="H190" i="1"/>
  <c r="I190" i="1" s="1"/>
  <c r="J189" i="1"/>
  <c r="I189" i="1"/>
  <c r="K189" i="1" s="1"/>
  <c r="H189" i="1"/>
  <c r="I188" i="1"/>
  <c r="K188" i="1" s="1"/>
  <c r="H188" i="1"/>
  <c r="H187" i="1"/>
  <c r="I187" i="1" s="1"/>
  <c r="H186" i="1"/>
  <c r="I186" i="1" s="1"/>
  <c r="I185" i="1"/>
  <c r="K185" i="1" s="1"/>
  <c r="H185" i="1"/>
  <c r="I184" i="1"/>
  <c r="K184" i="1" s="1"/>
  <c r="H184" i="1"/>
  <c r="H183" i="1"/>
  <c r="I183" i="1" s="1"/>
  <c r="H182" i="1"/>
  <c r="I182" i="1" s="1"/>
  <c r="I181" i="1"/>
  <c r="H181" i="1"/>
  <c r="K180" i="1"/>
  <c r="I180" i="1"/>
  <c r="J180" i="1" s="1"/>
  <c r="H180" i="1"/>
  <c r="I179" i="1"/>
  <c r="H179" i="1"/>
  <c r="H178" i="1"/>
  <c r="I178" i="1" s="1"/>
  <c r="I177" i="1"/>
  <c r="K177" i="1" s="1"/>
  <c r="H177" i="1"/>
  <c r="K176" i="1"/>
  <c r="J176" i="1"/>
  <c r="I176" i="1"/>
  <c r="H176" i="1"/>
  <c r="H175" i="1"/>
  <c r="I175" i="1" s="1"/>
  <c r="H174" i="1"/>
  <c r="I174" i="1" s="1"/>
  <c r="I173" i="1"/>
  <c r="K173" i="1" s="1"/>
  <c r="H173" i="1"/>
  <c r="I172" i="1"/>
  <c r="K172" i="1" s="1"/>
  <c r="H172" i="1"/>
  <c r="H171" i="1"/>
  <c r="I171" i="1" s="1"/>
  <c r="J171" i="1" s="1"/>
  <c r="H170" i="1"/>
  <c r="I170" i="1" s="1"/>
  <c r="J169" i="1"/>
  <c r="I169" i="1"/>
  <c r="K169" i="1" s="1"/>
  <c r="H169" i="1"/>
  <c r="I168" i="1"/>
  <c r="H168" i="1"/>
  <c r="K167" i="1"/>
  <c r="I167" i="1"/>
  <c r="J167" i="1" s="1"/>
  <c r="H167" i="1"/>
  <c r="H166" i="1"/>
  <c r="I166" i="1" s="1"/>
  <c r="H165" i="1"/>
  <c r="I165" i="1" s="1"/>
  <c r="I164" i="1"/>
  <c r="K164" i="1" s="1"/>
  <c r="H164" i="1"/>
  <c r="H163" i="1"/>
  <c r="I163" i="1" s="1"/>
  <c r="H162" i="1"/>
  <c r="I162" i="1" s="1"/>
  <c r="H161" i="1"/>
  <c r="I161" i="1" s="1"/>
  <c r="I160" i="1"/>
  <c r="J160" i="1" s="1"/>
  <c r="H160" i="1"/>
  <c r="I159" i="1"/>
  <c r="K159" i="1" s="1"/>
  <c r="H159" i="1"/>
  <c r="H158" i="1"/>
  <c r="I158" i="1" s="1"/>
  <c r="H157" i="1"/>
  <c r="I157" i="1" s="1"/>
  <c r="I156" i="1"/>
  <c r="H156" i="1"/>
  <c r="I155" i="1"/>
  <c r="J155" i="1" s="1"/>
  <c r="H155" i="1"/>
  <c r="H154" i="1"/>
  <c r="I154" i="1" s="1"/>
  <c r="H153" i="1"/>
  <c r="I153" i="1" s="1"/>
  <c r="I152" i="1"/>
  <c r="K152" i="1" s="1"/>
  <c r="H152" i="1"/>
  <c r="H151" i="1"/>
  <c r="I151" i="1" s="1"/>
  <c r="H150" i="1"/>
  <c r="I150" i="1" s="1"/>
  <c r="H149" i="1"/>
  <c r="I149" i="1" s="1"/>
  <c r="I148" i="1"/>
  <c r="J148" i="1" s="1"/>
  <c r="H148" i="1"/>
  <c r="I147" i="1"/>
  <c r="K147" i="1" s="1"/>
  <c r="H147" i="1"/>
  <c r="H146" i="1"/>
  <c r="I146" i="1" s="1"/>
  <c r="H145" i="1"/>
  <c r="I145" i="1" s="1"/>
  <c r="I144" i="1"/>
  <c r="H144" i="1"/>
  <c r="H143" i="1"/>
  <c r="I143" i="1" s="1"/>
  <c r="H142" i="1"/>
  <c r="I142" i="1" s="1"/>
  <c r="H141" i="1"/>
  <c r="I141" i="1" s="1"/>
  <c r="I140" i="1"/>
  <c r="K140" i="1" s="1"/>
  <c r="H140" i="1"/>
  <c r="H139" i="1"/>
  <c r="I139" i="1" s="1"/>
  <c r="H138" i="1"/>
  <c r="I138" i="1" s="1"/>
  <c r="H137" i="1"/>
  <c r="I137" i="1" s="1"/>
  <c r="I136" i="1"/>
  <c r="J136" i="1" s="1"/>
  <c r="H136" i="1"/>
  <c r="I135" i="1"/>
  <c r="K135" i="1" s="1"/>
  <c r="H135" i="1"/>
  <c r="H134" i="1"/>
  <c r="I134" i="1" s="1"/>
  <c r="H133" i="1"/>
  <c r="I133" i="1" s="1"/>
  <c r="I132" i="1"/>
  <c r="H132" i="1"/>
  <c r="H131" i="1"/>
  <c r="I131" i="1" s="1"/>
  <c r="H130" i="1"/>
  <c r="I130" i="1" s="1"/>
  <c r="H129" i="1"/>
  <c r="I129" i="1" s="1"/>
  <c r="I128" i="1"/>
  <c r="K128" i="1" s="1"/>
  <c r="H128" i="1"/>
  <c r="H127" i="1"/>
  <c r="I127" i="1" s="1"/>
  <c r="H126" i="1"/>
  <c r="I126" i="1" s="1"/>
  <c r="H125" i="1"/>
  <c r="I125" i="1" s="1"/>
  <c r="I124" i="1"/>
  <c r="J124" i="1" s="1"/>
  <c r="H124" i="1"/>
  <c r="I123" i="1"/>
  <c r="K123" i="1" s="1"/>
  <c r="H123" i="1"/>
  <c r="H122" i="1"/>
  <c r="I122" i="1" s="1"/>
  <c r="H121" i="1"/>
  <c r="I121" i="1" s="1"/>
  <c r="I120" i="1"/>
  <c r="H120" i="1"/>
  <c r="I119" i="1"/>
  <c r="J119" i="1" s="1"/>
  <c r="H119" i="1"/>
  <c r="H118" i="1"/>
  <c r="I118" i="1" s="1"/>
  <c r="H117" i="1"/>
  <c r="I117" i="1" s="1"/>
  <c r="I116" i="1"/>
  <c r="K116" i="1" s="1"/>
  <c r="H116" i="1"/>
  <c r="H115" i="1"/>
  <c r="I115" i="1" s="1"/>
  <c r="H114" i="1"/>
  <c r="I114" i="1" s="1"/>
  <c r="H113" i="1"/>
  <c r="I113" i="1" s="1"/>
  <c r="I112" i="1"/>
  <c r="J112" i="1" s="1"/>
  <c r="H112" i="1"/>
  <c r="I111" i="1"/>
  <c r="K111" i="1" s="1"/>
  <c r="H111" i="1"/>
  <c r="H110" i="1"/>
  <c r="I110" i="1" s="1"/>
  <c r="H109" i="1"/>
  <c r="I109" i="1" s="1"/>
  <c r="I108" i="1"/>
  <c r="H108" i="1"/>
  <c r="H107" i="1"/>
  <c r="I107" i="1" s="1"/>
  <c r="H106" i="1"/>
  <c r="I106" i="1" s="1"/>
  <c r="H105" i="1"/>
  <c r="I105" i="1" s="1"/>
  <c r="I104" i="1"/>
  <c r="K104" i="1" s="1"/>
  <c r="H104" i="1"/>
  <c r="H103" i="1"/>
  <c r="I103" i="1" s="1"/>
  <c r="H102" i="1"/>
  <c r="I102" i="1" s="1"/>
  <c r="H101" i="1"/>
  <c r="I101" i="1" s="1"/>
  <c r="I100" i="1"/>
  <c r="J100" i="1" s="1"/>
  <c r="H100" i="1"/>
  <c r="I99" i="1"/>
  <c r="K99" i="1" s="1"/>
  <c r="H99" i="1"/>
  <c r="H98" i="1"/>
  <c r="I98" i="1" s="1"/>
  <c r="H97" i="1"/>
  <c r="I97" i="1" s="1"/>
  <c r="I96" i="1"/>
  <c r="H96" i="1"/>
  <c r="H95" i="1"/>
  <c r="I95" i="1" s="1"/>
  <c r="H94" i="1"/>
  <c r="I94" i="1" s="1"/>
  <c r="H93" i="1"/>
  <c r="I93" i="1" s="1"/>
  <c r="I92" i="1"/>
  <c r="K92" i="1" s="1"/>
  <c r="H92" i="1"/>
  <c r="H91" i="1"/>
  <c r="I91" i="1" s="1"/>
  <c r="H90" i="1"/>
  <c r="I90" i="1" s="1"/>
  <c r="H89" i="1"/>
  <c r="I89" i="1" s="1"/>
  <c r="I88" i="1"/>
  <c r="J88" i="1" s="1"/>
  <c r="H88" i="1"/>
  <c r="I87" i="1"/>
  <c r="K87" i="1" s="1"/>
  <c r="H87" i="1"/>
  <c r="K86" i="1"/>
  <c r="H86" i="1"/>
  <c r="I86" i="1" s="1"/>
  <c r="J86" i="1" s="1"/>
  <c r="H85" i="1"/>
  <c r="I85" i="1" s="1"/>
  <c r="I84" i="1"/>
  <c r="K84" i="1" s="1"/>
  <c r="H84" i="1"/>
  <c r="K83" i="1"/>
  <c r="H83" i="1"/>
  <c r="I83" i="1" s="1"/>
  <c r="J83" i="1" s="1"/>
  <c r="H82" i="1"/>
  <c r="I82" i="1" s="1"/>
  <c r="J82" i="1" s="1"/>
  <c r="H81" i="1"/>
  <c r="I81" i="1" s="1"/>
  <c r="I80" i="1"/>
  <c r="K80" i="1" s="1"/>
  <c r="H80" i="1"/>
  <c r="H79" i="1"/>
  <c r="I79" i="1" s="1"/>
  <c r="K78" i="1"/>
  <c r="H78" i="1"/>
  <c r="I78" i="1" s="1"/>
  <c r="J78" i="1" s="1"/>
  <c r="H77" i="1"/>
  <c r="I77" i="1" s="1"/>
  <c r="J76" i="1"/>
  <c r="I76" i="1"/>
  <c r="K76" i="1" s="1"/>
  <c r="H76" i="1"/>
  <c r="K75" i="1"/>
  <c r="J75" i="1"/>
  <c r="I75" i="1"/>
  <c r="H75" i="1"/>
  <c r="H74" i="1"/>
  <c r="I74" i="1" s="1"/>
  <c r="J74" i="1" s="1"/>
  <c r="H73" i="1"/>
  <c r="I73" i="1" s="1"/>
  <c r="K72" i="1"/>
  <c r="I72" i="1"/>
  <c r="J72" i="1" s="1"/>
  <c r="H72" i="1"/>
  <c r="H71" i="1"/>
  <c r="I71" i="1" s="1"/>
  <c r="H70" i="1"/>
  <c r="I70" i="1" s="1"/>
  <c r="J70" i="1" s="1"/>
  <c r="H69" i="1"/>
  <c r="I69" i="1" s="1"/>
  <c r="I68" i="1"/>
  <c r="K68" i="1" s="1"/>
  <c r="H68" i="1"/>
  <c r="H67" i="1"/>
  <c r="I67" i="1" s="1"/>
  <c r="K66" i="1"/>
  <c r="H66" i="1"/>
  <c r="I66" i="1" s="1"/>
  <c r="J66" i="1" s="1"/>
  <c r="H65" i="1"/>
  <c r="I65" i="1" s="1"/>
  <c r="K64" i="1"/>
  <c r="J64" i="1"/>
  <c r="I64" i="1"/>
  <c r="H64" i="1"/>
  <c r="I63" i="1"/>
  <c r="K63" i="1" s="1"/>
  <c r="H63" i="1"/>
  <c r="H62" i="1"/>
  <c r="I62" i="1" s="1"/>
  <c r="J62" i="1" s="1"/>
  <c r="H61" i="1"/>
  <c r="I61" i="1" s="1"/>
  <c r="I60" i="1"/>
  <c r="K60" i="1" s="1"/>
  <c r="H60" i="1"/>
  <c r="K59" i="1"/>
  <c r="J59" i="1"/>
  <c r="H59" i="1"/>
  <c r="I59" i="1" s="1"/>
  <c r="H58" i="1"/>
  <c r="I58" i="1" s="1"/>
  <c r="J58" i="1" s="1"/>
  <c r="H57" i="1"/>
  <c r="I57" i="1" s="1"/>
  <c r="I56" i="1"/>
  <c r="K56" i="1" s="1"/>
  <c r="H56" i="1"/>
  <c r="I55" i="1"/>
  <c r="J55" i="1" s="1"/>
  <c r="H55" i="1"/>
  <c r="K54" i="1"/>
  <c r="H54" i="1"/>
  <c r="I54" i="1" s="1"/>
  <c r="J54" i="1" s="1"/>
  <c r="H53" i="1"/>
  <c r="I53" i="1" s="1"/>
  <c r="K52" i="1"/>
  <c r="J52" i="1"/>
  <c r="I52" i="1"/>
  <c r="H52" i="1"/>
  <c r="I51" i="1"/>
  <c r="K51" i="1" s="1"/>
  <c r="H51" i="1"/>
  <c r="H50" i="1"/>
  <c r="I50" i="1" s="1"/>
  <c r="J50" i="1" s="1"/>
  <c r="H49" i="1"/>
  <c r="I49" i="1" s="1"/>
  <c r="K48" i="1"/>
  <c r="I48" i="1"/>
  <c r="J48" i="1" s="1"/>
  <c r="H48" i="1"/>
  <c r="H47" i="1"/>
  <c r="I47" i="1" s="1"/>
  <c r="H46" i="1"/>
  <c r="I46" i="1" s="1"/>
  <c r="J46" i="1" s="1"/>
  <c r="H45" i="1"/>
  <c r="I45" i="1" s="1"/>
  <c r="K45" i="1" s="1"/>
  <c r="H44" i="1"/>
  <c r="I44" i="1" s="1"/>
  <c r="H43" i="1"/>
  <c r="I43" i="1" s="1"/>
  <c r="I42" i="1"/>
  <c r="K42" i="1" s="1"/>
  <c r="H42" i="1"/>
  <c r="K41" i="1"/>
  <c r="H41" i="1"/>
  <c r="I41" i="1" s="1"/>
  <c r="J41" i="1" s="1"/>
  <c r="H40" i="1"/>
  <c r="I40" i="1" s="1"/>
  <c r="I39" i="1"/>
  <c r="K39" i="1" s="1"/>
  <c r="H39" i="1"/>
  <c r="S38" i="1"/>
  <c r="H38" i="1"/>
  <c r="I38" i="1" s="1"/>
  <c r="H37" i="1"/>
  <c r="I37" i="1" s="1"/>
  <c r="I36" i="1"/>
  <c r="K36" i="1" s="1"/>
  <c r="H36" i="1"/>
  <c r="H35" i="1"/>
  <c r="I35" i="1" s="1"/>
  <c r="K35" i="1" s="1"/>
  <c r="H34" i="1"/>
  <c r="I34" i="1" s="1"/>
  <c r="J34" i="1" s="1"/>
  <c r="I33" i="1"/>
  <c r="K33" i="1" s="1"/>
  <c r="H33" i="1"/>
  <c r="H32" i="1"/>
  <c r="I32" i="1" s="1"/>
  <c r="K31" i="1"/>
  <c r="J31" i="1"/>
  <c r="I31" i="1"/>
  <c r="H31" i="1"/>
  <c r="S30" i="1"/>
  <c r="S31" i="1" s="1"/>
  <c r="S32" i="1" s="1"/>
  <c r="H30" i="1"/>
  <c r="I30" i="1" s="1"/>
  <c r="J30" i="1" s="1"/>
  <c r="S29" i="1"/>
  <c r="J29" i="1"/>
  <c r="I29" i="1"/>
  <c r="K29" i="1" s="1"/>
  <c r="H29" i="1"/>
  <c r="I28" i="1"/>
  <c r="K28" i="1" s="1"/>
  <c r="H28" i="1"/>
  <c r="S27" i="1"/>
  <c r="I27" i="1"/>
  <c r="K27" i="1" s="1"/>
  <c r="H27" i="1"/>
  <c r="H26" i="1"/>
  <c r="I26" i="1" s="1"/>
  <c r="I25" i="1"/>
  <c r="K25" i="1" s="1"/>
  <c r="H25" i="1"/>
  <c r="H24" i="1"/>
  <c r="I24" i="1" s="1"/>
  <c r="K24" i="1" s="1"/>
  <c r="I23" i="1"/>
  <c r="J23" i="1" s="1"/>
  <c r="H23" i="1"/>
  <c r="I22" i="1"/>
  <c r="K22" i="1" s="1"/>
  <c r="H22" i="1"/>
  <c r="H21" i="1"/>
  <c r="I21" i="1" s="1"/>
  <c r="H20" i="1"/>
  <c r="I20" i="1" s="1"/>
  <c r="I19" i="1"/>
  <c r="K19" i="1" s="1"/>
  <c r="H19" i="1"/>
  <c r="H18" i="1"/>
  <c r="I18" i="1" s="1"/>
  <c r="K18" i="1" s="1"/>
  <c r="H17" i="1"/>
  <c r="I17" i="1" s="1"/>
  <c r="K16" i="1"/>
  <c r="I16" i="1"/>
  <c r="J16" i="1" s="1"/>
  <c r="H16" i="1"/>
  <c r="H15" i="1"/>
  <c r="I15" i="1" s="1"/>
  <c r="H14" i="1"/>
  <c r="I14" i="1" s="1"/>
  <c r="H13" i="1"/>
  <c r="I13" i="1" s="1"/>
  <c r="J13" i="1" s="1"/>
  <c r="J12" i="1"/>
  <c r="I12" i="1"/>
  <c r="K12" i="1" s="1"/>
  <c r="H12" i="1"/>
  <c r="H11" i="1"/>
  <c r="I11" i="1" s="1"/>
  <c r="K11" i="1" s="1"/>
  <c r="I10" i="1"/>
  <c r="K10" i="1" s="1"/>
  <c r="H10" i="1"/>
  <c r="H9" i="1"/>
  <c r="I9" i="1" s="1"/>
  <c r="S8" i="1"/>
  <c r="H8" i="1"/>
  <c r="I8" i="1" s="1"/>
  <c r="H7" i="1"/>
  <c r="I7" i="1" s="1"/>
  <c r="K7" i="1" s="1"/>
  <c r="K6" i="1"/>
  <c r="J6" i="1"/>
  <c r="I6" i="1"/>
  <c r="H6" i="1"/>
  <c r="H5" i="1"/>
  <c r="I5" i="1" s="1"/>
  <c r="J4" i="1"/>
  <c r="H4" i="1"/>
  <c r="I4" i="1" s="1"/>
  <c r="K4" i="1" s="1"/>
  <c r="H3" i="1"/>
  <c r="I3" i="1" s="1"/>
  <c r="L265" i="1" s="1"/>
  <c r="M265" i="1" s="1"/>
  <c r="K115" i="1" l="1"/>
  <c r="J115" i="1"/>
  <c r="K5" i="1"/>
  <c r="S10" i="1"/>
  <c r="S13" i="1" s="1"/>
  <c r="J5" i="1"/>
  <c r="L12" i="1"/>
  <c r="M12" i="1" s="1"/>
  <c r="L16" i="1"/>
  <c r="M16" i="1" s="1"/>
  <c r="K203" i="1"/>
  <c r="J203" i="1"/>
  <c r="J38" i="1"/>
  <c r="K38" i="1"/>
  <c r="K151" i="1"/>
  <c r="J151" i="1"/>
  <c r="J91" i="1"/>
  <c r="K91" i="1"/>
  <c r="J40" i="1"/>
  <c r="K40" i="1"/>
  <c r="J127" i="1"/>
  <c r="K127" i="1"/>
  <c r="J17" i="1"/>
  <c r="K17" i="1"/>
  <c r="K47" i="1"/>
  <c r="J47" i="1"/>
  <c r="J143" i="1"/>
  <c r="K143" i="1"/>
  <c r="K21" i="1"/>
  <c r="J21" i="1"/>
  <c r="K15" i="1"/>
  <c r="J15" i="1"/>
  <c r="J71" i="1"/>
  <c r="K71" i="1"/>
  <c r="K163" i="1"/>
  <c r="J163" i="1"/>
  <c r="J79" i="1"/>
  <c r="K79" i="1"/>
  <c r="J107" i="1"/>
  <c r="K107" i="1"/>
  <c r="J131" i="1"/>
  <c r="K131" i="1"/>
  <c r="J103" i="1"/>
  <c r="K103" i="1"/>
  <c r="K9" i="1"/>
  <c r="J9" i="1"/>
  <c r="K44" i="1"/>
  <c r="J44" i="1"/>
  <c r="J95" i="1"/>
  <c r="K95" i="1"/>
  <c r="J139" i="1"/>
  <c r="K139" i="1"/>
  <c r="L29" i="1"/>
  <c r="M29" i="1" s="1"/>
  <c r="L49" i="1"/>
  <c r="M49" i="1" s="1"/>
  <c r="L104" i="1"/>
  <c r="M104" i="1" s="1"/>
  <c r="L109" i="1"/>
  <c r="M109" i="1" s="1"/>
  <c r="K122" i="1"/>
  <c r="J122" i="1"/>
  <c r="L140" i="1"/>
  <c r="M140" i="1" s="1"/>
  <c r="L145" i="1"/>
  <c r="M145" i="1" s="1"/>
  <c r="K158" i="1"/>
  <c r="J158" i="1"/>
  <c r="K178" i="1"/>
  <c r="J178" i="1"/>
  <c r="K183" i="1"/>
  <c r="J183" i="1"/>
  <c r="K199" i="1"/>
  <c r="J199" i="1"/>
  <c r="K210" i="1"/>
  <c r="J210" i="1"/>
  <c r="K222" i="1"/>
  <c r="J222" i="1"/>
  <c r="K305" i="1"/>
  <c r="J305" i="1"/>
  <c r="K339" i="1"/>
  <c r="J339" i="1"/>
  <c r="K363" i="1"/>
  <c r="J363" i="1"/>
  <c r="L448" i="1"/>
  <c r="M448" i="1" s="1"/>
  <c r="K8" i="1"/>
  <c r="J8" i="1"/>
  <c r="J10" i="1"/>
  <c r="K23" i="1"/>
  <c r="J27" i="1"/>
  <c r="J33" i="1"/>
  <c r="K43" i="1"/>
  <c r="J43" i="1"/>
  <c r="K46" i="1"/>
  <c r="J60" i="1"/>
  <c r="K100" i="1"/>
  <c r="K136" i="1"/>
  <c r="K168" i="1"/>
  <c r="J168" i="1"/>
  <c r="L178" i="1"/>
  <c r="M178" i="1" s="1"/>
  <c r="L216" i="1"/>
  <c r="M216" i="1" s="1"/>
  <c r="K267" i="1"/>
  <c r="J267" i="1"/>
  <c r="K295" i="1"/>
  <c r="J295" i="1"/>
  <c r="K389" i="1"/>
  <c r="J389" i="1"/>
  <c r="K419" i="1"/>
  <c r="J419" i="1"/>
  <c r="K539" i="1"/>
  <c r="J539" i="1"/>
  <c r="L6" i="1"/>
  <c r="M6" i="1" s="1"/>
  <c r="L23" i="1"/>
  <c r="M23" i="1" s="1"/>
  <c r="L25" i="1"/>
  <c r="M25" i="1" s="1"/>
  <c r="K57" i="1"/>
  <c r="J57" i="1"/>
  <c r="J68" i="1"/>
  <c r="J96" i="1"/>
  <c r="K96" i="1"/>
  <c r="L100" i="1"/>
  <c r="M100" i="1" s="1"/>
  <c r="K105" i="1"/>
  <c r="J105" i="1"/>
  <c r="K114" i="1"/>
  <c r="J114" i="1"/>
  <c r="J132" i="1"/>
  <c r="K132" i="1"/>
  <c r="L136" i="1"/>
  <c r="M136" i="1" s="1"/>
  <c r="K141" i="1"/>
  <c r="J141" i="1"/>
  <c r="K150" i="1"/>
  <c r="J150" i="1"/>
  <c r="K239" i="1"/>
  <c r="J239" i="1"/>
  <c r="K243" i="1"/>
  <c r="J243" i="1"/>
  <c r="K263" i="1"/>
  <c r="J263" i="1"/>
  <c r="K272" i="1"/>
  <c r="K365" i="1"/>
  <c r="J365" i="1"/>
  <c r="L36" i="1"/>
  <c r="M36" i="1" s="1"/>
  <c r="L68" i="1"/>
  <c r="M68" i="1" s="1"/>
  <c r="L105" i="1"/>
  <c r="M105" i="1" s="1"/>
  <c r="K3" i="1"/>
  <c r="J11" i="1"/>
  <c r="S39" i="1"/>
  <c r="S40" i="1"/>
  <c r="L13" i="1"/>
  <c r="M13" i="1" s="1"/>
  <c r="J24" i="1"/>
  <c r="J28" i="1"/>
  <c r="K30" i="1"/>
  <c r="L34" i="1"/>
  <c r="M34" i="1" s="1"/>
  <c r="J39" i="1"/>
  <c r="J51" i="1"/>
  <c r="L73" i="1"/>
  <c r="M73" i="1" s="1"/>
  <c r="J84" i="1"/>
  <c r="L88" i="1"/>
  <c r="M88" i="1" s="1"/>
  <c r="K93" i="1"/>
  <c r="J93" i="1"/>
  <c r="K102" i="1"/>
  <c r="J102" i="1"/>
  <c r="J120" i="1"/>
  <c r="K120" i="1"/>
  <c r="L124" i="1"/>
  <c r="M124" i="1" s="1"/>
  <c r="K129" i="1"/>
  <c r="J129" i="1"/>
  <c r="K138" i="1"/>
  <c r="J138" i="1"/>
  <c r="K156" i="1"/>
  <c r="J156" i="1"/>
  <c r="L160" i="1"/>
  <c r="M160" i="1" s="1"/>
  <c r="L165" i="1"/>
  <c r="M165" i="1" s="1"/>
  <c r="L185" i="1"/>
  <c r="M185" i="1" s="1"/>
  <c r="K219" i="1"/>
  <c r="J219" i="1"/>
  <c r="K283" i="1"/>
  <c r="J283" i="1"/>
  <c r="K307" i="1"/>
  <c r="J307" i="1"/>
  <c r="K343" i="1"/>
  <c r="J343" i="1"/>
  <c r="K466" i="1"/>
  <c r="J466" i="1"/>
  <c r="L64" i="1"/>
  <c r="M64" i="1" s="1"/>
  <c r="L17" i="1"/>
  <c r="M17" i="1" s="1"/>
  <c r="K110" i="1"/>
  <c r="J110" i="1"/>
  <c r="K146" i="1"/>
  <c r="J146" i="1"/>
  <c r="J175" i="1"/>
  <c r="K175" i="1"/>
  <c r="L234" i="1"/>
  <c r="M234" i="1" s="1"/>
  <c r="L278" i="1"/>
  <c r="M278" i="1" s="1"/>
  <c r="K358" i="1"/>
  <c r="J358" i="1"/>
  <c r="K124" i="1"/>
  <c r="K235" i="1"/>
  <c r="J235" i="1"/>
  <c r="K287" i="1"/>
  <c r="J287" i="1"/>
  <c r="S15" i="1"/>
  <c r="K26" i="1"/>
  <c r="J26" i="1"/>
  <c r="L30" i="1"/>
  <c r="M30" i="1" s="1"/>
  <c r="S44" i="1"/>
  <c r="K62" i="1"/>
  <c r="K81" i="1"/>
  <c r="J81" i="1"/>
  <c r="L93" i="1"/>
  <c r="M93" i="1" s="1"/>
  <c r="L129" i="1"/>
  <c r="M129" i="1" s="1"/>
  <c r="K213" i="1"/>
  <c r="J213" i="1"/>
  <c r="L245" i="1"/>
  <c r="M245" i="1" s="1"/>
  <c r="L269" i="1"/>
  <c r="M269" i="1" s="1"/>
  <c r="L274" i="1"/>
  <c r="M274" i="1" s="1"/>
  <c r="L416" i="1"/>
  <c r="M416" i="1" s="1"/>
  <c r="L128" i="1"/>
  <c r="M128" i="1" s="1"/>
  <c r="K212" i="1"/>
  <c r="J212" i="1"/>
  <c r="S19" i="1"/>
  <c r="J22" i="1"/>
  <c r="L28" i="1"/>
  <c r="M28" i="1" s="1"/>
  <c r="K32" i="1"/>
  <c r="J32" i="1"/>
  <c r="J35" i="1"/>
  <c r="K37" i="1"/>
  <c r="J37" i="1"/>
  <c r="K70" i="1"/>
  <c r="L77" i="1"/>
  <c r="M77" i="1" s="1"/>
  <c r="L81" i="1"/>
  <c r="M81" i="1" s="1"/>
  <c r="K98" i="1"/>
  <c r="J98" i="1"/>
  <c r="L116" i="1"/>
  <c r="M116" i="1" s="1"/>
  <c r="L121" i="1"/>
  <c r="M121" i="1" s="1"/>
  <c r="K134" i="1"/>
  <c r="J134" i="1"/>
  <c r="L152" i="1"/>
  <c r="M152" i="1" s="1"/>
  <c r="L157" i="1"/>
  <c r="M157" i="1" s="1"/>
  <c r="K187" i="1"/>
  <c r="J187" i="1"/>
  <c r="J192" i="1"/>
  <c r="J314" i="1"/>
  <c r="K314" i="1"/>
  <c r="L400" i="1"/>
  <c r="M400" i="1" s="1"/>
  <c r="L451" i="1"/>
  <c r="M451" i="1" s="1"/>
  <c r="L53" i="1"/>
  <c r="M53" i="1" s="1"/>
  <c r="L141" i="1"/>
  <c r="M141" i="1" s="1"/>
  <c r="L174" i="1"/>
  <c r="M174" i="1" s="1"/>
  <c r="L19" i="1"/>
  <c r="M19" i="1" s="1"/>
  <c r="L92" i="1"/>
  <c r="M92" i="1" s="1"/>
  <c r="K206" i="1"/>
  <c r="J206" i="1"/>
  <c r="K259" i="1"/>
  <c r="J259" i="1"/>
  <c r="L282" i="1"/>
  <c r="M282" i="1" s="1"/>
  <c r="K465" i="1"/>
  <c r="J465" i="1"/>
  <c r="L578" i="1"/>
  <c r="M578" i="1" s="1"/>
  <c r="K34" i="1"/>
  <c r="K88" i="1"/>
  <c r="K160" i="1"/>
  <c r="K165" i="1"/>
  <c r="J165" i="1"/>
  <c r="J185" i="1"/>
  <c r="K196" i="1"/>
  <c r="J196" i="1"/>
  <c r="L3" i="1"/>
  <c r="M3" i="1" s="1"/>
  <c r="J7" i="1"/>
  <c r="J18" i="1"/>
  <c r="K20" i="1"/>
  <c r="J20" i="1"/>
  <c r="L42" i="1"/>
  <c r="M42" i="1" s="1"/>
  <c r="J45" i="1"/>
  <c r="L48" i="1"/>
  <c r="M48" i="1" s="1"/>
  <c r="K112" i="1"/>
  <c r="K148" i="1"/>
  <c r="K181" i="1"/>
  <c r="J181" i="1"/>
  <c r="L198" i="1"/>
  <c r="M198" i="1" s="1"/>
  <c r="K237" i="1"/>
  <c r="J237" i="1"/>
  <c r="K315" i="1"/>
  <c r="J315" i="1"/>
  <c r="K331" i="1"/>
  <c r="J331" i="1"/>
  <c r="K383" i="1"/>
  <c r="J383" i="1"/>
  <c r="K401" i="1"/>
  <c r="J401" i="1"/>
  <c r="J552" i="1"/>
  <c r="K552" i="1"/>
  <c r="L790" i="1"/>
  <c r="M790" i="1" s="1"/>
  <c r="L791" i="1"/>
  <c r="M791" i="1" s="1"/>
  <c r="L788" i="1"/>
  <c r="M788" i="1" s="1"/>
  <c r="L789" i="1"/>
  <c r="M789" i="1" s="1"/>
  <c r="L675" i="1"/>
  <c r="M675" i="1" s="1"/>
  <c r="L671" i="1"/>
  <c r="M671" i="1" s="1"/>
  <c r="L667" i="1"/>
  <c r="M667" i="1" s="1"/>
  <c r="L663" i="1"/>
  <c r="M663" i="1" s="1"/>
  <c r="L659" i="1"/>
  <c r="M659" i="1" s="1"/>
  <c r="L655" i="1"/>
  <c r="M655" i="1" s="1"/>
  <c r="L651" i="1"/>
  <c r="M651" i="1" s="1"/>
  <c r="L647" i="1"/>
  <c r="M647" i="1" s="1"/>
  <c r="L643" i="1"/>
  <c r="M643" i="1" s="1"/>
  <c r="L787" i="1"/>
  <c r="M787" i="1" s="1"/>
  <c r="L785" i="1"/>
  <c r="M785" i="1" s="1"/>
  <c r="L783" i="1"/>
  <c r="M783" i="1" s="1"/>
  <c r="L781" i="1"/>
  <c r="M781" i="1" s="1"/>
  <c r="L779" i="1"/>
  <c r="M779" i="1" s="1"/>
  <c r="L777" i="1"/>
  <c r="M777" i="1" s="1"/>
  <c r="L775" i="1"/>
  <c r="M775" i="1" s="1"/>
  <c r="L773" i="1"/>
  <c r="M773" i="1" s="1"/>
  <c r="L771" i="1"/>
  <c r="M771" i="1" s="1"/>
  <c r="L769" i="1"/>
  <c r="M769" i="1" s="1"/>
  <c r="L767" i="1"/>
  <c r="M767" i="1" s="1"/>
  <c r="L765" i="1"/>
  <c r="M765" i="1" s="1"/>
  <c r="L763" i="1"/>
  <c r="M763" i="1" s="1"/>
  <c r="L761" i="1"/>
  <c r="M761" i="1" s="1"/>
  <c r="L759" i="1"/>
  <c r="M759" i="1" s="1"/>
  <c r="L757" i="1"/>
  <c r="M757" i="1" s="1"/>
  <c r="L755" i="1"/>
  <c r="M755" i="1" s="1"/>
  <c r="L753" i="1"/>
  <c r="M753" i="1" s="1"/>
  <c r="L751" i="1"/>
  <c r="M751" i="1" s="1"/>
  <c r="L749" i="1"/>
  <c r="M749" i="1" s="1"/>
  <c r="L747" i="1"/>
  <c r="M747" i="1" s="1"/>
  <c r="L745" i="1"/>
  <c r="M745" i="1" s="1"/>
  <c r="L743" i="1"/>
  <c r="M743" i="1" s="1"/>
  <c r="L741" i="1"/>
  <c r="M741" i="1" s="1"/>
  <c r="L739" i="1"/>
  <c r="M739" i="1" s="1"/>
  <c r="L737" i="1"/>
  <c r="M737" i="1" s="1"/>
  <c r="L735" i="1"/>
  <c r="M735" i="1" s="1"/>
  <c r="L733" i="1"/>
  <c r="M733" i="1" s="1"/>
  <c r="L731" i="1"/>
  <c r="M731" i="1" s="1"/>
  <c r="L729" i="1"/>
  <c r="M729" i="1" s="1"/>
  <c r="L727" i="1"/>
  <c r="M727" i="1" s="1"/>
  <c r="L725" i="1"/>
  <c r="M725" i="1" s="1"/>
  <c r="L723" i="1"/>
  <c r="M723" i="1" s="1"/>
  <c r="L721" i="1"/>
  <c r="M721" i="1" s="1"/>
  <c r="L719" i="1"/>
  <c r="M719" i="1" s="1"/>
  <c r="L717" i="1"/>
  <c r="M717" i="1" s="1"/>
  <c r="L715" i="1"/>
  <c r="M715" i="1" s="1"/>
  <c r="L713" i="1"/>
  <c r="M713" i="1" s="1"/>
  <c r="L711" i="1"/>
  <c r="M711" i="1" s="1"/>
  <c r="L709" i="1"/>
  <c r="M709" i="1" s="1"/>
  <c r="L707" i="1"/>
  <c r="M707" i="1" s="1"/>
  <c r="L705" i="1"/>
  <c r="M705" i="1" s="1"/>
  <c r="L703" i="1"/>
  <c r="M703" i="1" s="1"/>
  <c r="L701" i="1"/>
  <c r="M701" i="1" s="1"/>
  <c r="L699" i="1"/>
  <c r="M699" i="1" s="1"/>
  <c r="L697" i="1"/>
  <c r="M697" i="1" s="1"/>
  <c r="L695" i="1"/>
  <c r="M695" i="1" s="1"/>
  <c r="L693" i="1"/>
  <c r="M693" i="1" s="1"/>
  <c r="L691" i="1"/>
  <c r="M691" i="1" s="1"/>
  <c r="L689" i="1"/>
  <c r="M689" i="1" s="1"/>
  <c r="L687" i="1"/>
  <c r="M687" i="1" s="1"/>
  <c r="L685" i="1"/>
  <c r="M685" i="1" s="1"/>
  <c r="L683" i="1"/>
  <c r="M683" i="1" s="1"/>
  <c r="L681" i="1"/>
  <c r="M681" i="1" s="1"/>
  <c r="L679" i="1"/>
  <c r="M679" i="1" s="1"/>
  <c r="L676" i="1"/>
  <c r="M676" i="1" s="1"/>
  <c r="L672" i="1"/>
  <c r="M672" i="1" s="1"/>
  <c r="L668" i="1"/>
  <c r="M668" i="1" s="1"/>
  <c r="L664" i="1"/>
  <c r="M664" i="1" s="1"/>
  <c r="L660" i="1"/>
  <c r="M660" i="1" s="1"/>
  <c r="L656" i="1"/>
  <c r="M656" i="1" s="1"/>
  <c r="L652" i="1"/>
  <c r="M652" i="1" s="1"/>
  <c r="L648" i="1"/>
  <c r="M648" i="1" s="1"/>
  <c r="L644" i="1"/>
  <c r="M644" i="1" s="1"/>
  <c r="L640" i="1"/>
  <c r="M640" i="1" s="1"/>
  <c r="L677" i="1"/>
  <c r="M677" i="1" s="1"/>
  <c r="L673" i="1"/>
  <c r="M673" i="1" s="1"/>
  <c r="L669" i="1"/>
  <c r="M669" i="1" s="1"/>
  <c r="L665" i="1"/>
  <c r="M665" i="1" s="1"/>
  <c r="L661" i="1"/>
  <c r="M661" i="1" s="1"/>
  <c r="L657" i="1"/>
  <c r="M657" i="1" s="1"/>
  <c r="L786" i="1"/>
  <c r="M786" i="1" s="1"/>
  <c r="L782" i="1"/>
  <c r="M782" i="1" s="1"/>
  <c r="L778" i="1"/>
  <c r="M778" i="1" s="1"/>
  <c r="L774" i="1"/>
  <c r="M774" i="1" s="1"/>
  <c r="L770" i="1"/>
  <c r="M770" i="1" s="1"/>
  <c r="L766" i="1"/>
  <c r="M766" i="1" s="1"/>
  <c r="L762" i="1"/>
  <c r="M762" i="1" s="1"/>
  <c r="L758" i="1"/>
  <c r="M758" i="1" s="1"/>
  <c r="L754" i="1"/>
  <c r="M754" i="1" s="1"/>
  <c r="L750" i="1"/>
  <c r="M750" i="1" s="1"/>
  <c r="L746" i="1"/>
  <c r="M746" i="1" s="1"/>
  <c r="L742" i="1"/>
  <c r="M742" i="1" s="1"/>
  <c r="L738" i="1"/>
  <c r="M738" i="1" s="1"/>
  <c r="L734" i="1"/>
  <c r="M734" i="1" s="1"/>
  <c r="L730" i="1"/>
  <c r="M730" i="1" s="1"/>
  <c r="L726" i="1"/>
  <c r="M726" i="1" s="1"/>
  <c r="L722" i="1"/>
  <c r="M722" i="1" s="1"/>
  <c r="L718" i="1"/>
  <c r="M718" i="1" s="1"/>
  <c r="L714" i="1"/>
  <c r="M714" i="1" s="1"/>
  <c r="L710" i="1"/>
  <c r="M710" i="1" s="1"/>
  <c r="L706" i="1"/>
  <c r="M706" i="1" s="1"/>
  <c r="L702" i="1"/>
  <c r="M702" i="1" s="1"/>
  <c r="L698" i="1"/>
  <c r="M698" i="1" s="1"/>
  <c r="L694" i="1"/>
  <c r="M694" i="1" s="1"/>
  <c r="L690" i="1"/>
  <c r="M690" i="1" s="1"/>
  <c r="L686" i="1"/>
  <c r="M686" i="1" s="1"/>
  <c r="L682" i="1"/>
  <c r="M682" i="1" s="1"/>
  <c r="L658" i="1"/>
  <c r="M658" i="1" s="1"/>
  <c r="L653" i="1"/>
  <c r="M653" i="1" s="1"/>
  <c r="L645" i="1"/>
  <c r="M645" i="1" s="1"/>
  <c r="L674" i="1"/>
  <c r="M674" i="1" s="1"/>
  <c r="L636" i="1"/>
  <c r="M636" i="1" s="1"/>
  <c r="L632" i="1"/>
  <c r="M632" i="1" s="1"/>
  <c r="L628" i="1"/>
  <c r="M628" i="1" s="1"/>
  <c r="L624" i="1"/>
  <c r="M624" i="1" s="1"/>
  <c r="L620" i="1"/>
  <c r="M620" i="1" s="1"/>
  <c r="L616" i="1"/>
  <c r="M616" i="1" s="1"/>
  <c r="L612" i="1"/>
  <c r="M612" i="1" s="1"/>
  <c r="L608" i="1"/>
  <c r="M608" i="1" s="1"/>
  <c r="L604" i="1"/>
  <c r="M604" i="1" s="1"/>
  <c r="L600" i="1"/>
  <c r="M600" i="1" s="1"/>
  <c r="L596" i="1"/>
  <c r="M596" i="1" s="1"/>
  <c r="L592" i="1"/>
  <c r="M592" i="1" s="1"/>
  <c r="L588" i="1"/>
  <c r="M588" i="1" s="1"/>
  <c r="L584" i="1"/>
  <c r="M584" i="1" s="1"/>
  <c r="L580" i="1"/>
  <c r="M580" i="1" s="1"/>
  <c r="L576" i="1"/>
  <c r="M576" i="1" s="1"/>
  <c r="L572" i="1"/>
  <c r="M572" i="1" s="1"/>
  <c r="L568" i="1"/>
  <c r="M568" i="1" s="1"/>
  <c r="L564" i="1"/>
  <c r="M564" i="1" s="1"/>
  <c r="L678" i="1"/>
  <c r="M678" i="1" s="1"/>
  <c r="L637" i="1"/>
  <c r="M637" i="1" s="1"/>
  <c r="L633" i="1"/>
  <c r="M633" i="1" s="1"/>
  <c r="L629" i="1"/>
  <c r="M629" i="1" s="1"/>
  <c r="L625" i="1"/>
  <c r="M625" i="1" s="1"/>
  <c r="L621" i="1"/>
  <c r="M621" i="1" s="1"/>
  <c r="L617" i="1"/>
  <c r="M617" i="1" s="1"/>
  <c r="L613" i="1"/>
  <c r="M613" i="1" s="1"/>
  <c r="L609" i="1"/>
  <c r="M609" i="1" s="1"/>
  <c r="L605" i="1"/>
  <c r="M605" i="1" s="1"/>
  <c r="L601" i="1"/>
  <c r="M601" i="1" s="1"/>
  <c r="L597" i="1"/>
  <c r="M597" i="1" s="1"/>
  <c r="L593" i="1"/>
  <c r="M593" i="1" s="1"/>
  <c r="L589" i="1"/>
  <c r="M589" i="1" s="1"/>
  <c r="L585" i="1"/>
  <c r="M585" i="1" s="1"/>
  <c r="L581" i="1"/>
  <c r="M581" i="1" s="1"/>
  <c r="L577" i="1"/>
  <c r="M577" i="1" s="1"/>
  <c r="L573" i="1"/>
  <c r="M573" i="1" s="1"/>
  <c r="L569" i="1"/>
  <c r="M569" i="1" s="1"/>
  <c r="L565" i="1"/>
  <c r="M565" i="1" s="1"/>
  <c r="L561" i="1"/>
  <c r="M561" i="1" s="1"/>
  <c r="L654" i="1"/>
  <c r="M654" i="1" s="1"/>
  <c r="L646" i="1"/>
  <c r="M646" i="1" s="1"/>
  <c r="L666" i="1"/>
  <c r="M666" i="1" s="1"/>
  <c r="L639" i="1"/>
  <c r="M639" i="1" s="1"/>
  <c r="L635" i="1"/>
  <c r="M635" i="1" s="1"/>
  <c r="L631" i="1"/>
  <c r="M631" i="1" s="1"/>
  <c r="L627" i="1"/>
  <c r="M627" i="1" s="1"/>
  <c r="L623" i="1"/>
  <c r="M623" i="1" s="1"/>
  <c r="L619" i="1"/>
  <c r="M619" i="1" s="1"/>
  <c r="L615" i="1"/>
  <c r="M615" i="1" s="1"/>
  <c r="L611" i="1"/>
  <c r="M611" i="1" s="1"/>
  <c r="L638" i="1"/>
  <c r="M638" i="1" s="1"/>
  <c r="L618" i="1"/>
  <c r="M618" i="1" s="1"/>
  <c r="L607" i="1"/>
  <c r="M607" i="1" s="1"/>
  <c r="L602" i="1"/>
  <c r="M602" i="1" s="1"/>
  <c r="L595" i="1"/>
  <c r="M595" i="1" s="1"/>
  <c r="L590" i="1"/>
  <c r="M590" i="1" s="1"/>
  <c r="L583" i="1"/>
  <c r="M583" i="1" s="1"/>
  <c r="L784" i="1"/>
  <c r="M784" i="1" s="1"/>
  <c r="L768" i="1"/>
  <c r="M768" i="1" s="1"/>
  <c r="L752" i="1"/>
  <c r="M752" i="1" s="1"/>
  <c r="L736" i="1"/>
  <c r="M736" i="1" s="1"/>
  <c r="L720" i="1"/>
  <c r="M720" i="1" s="1"/>
  <c r="L704" i="1"/>
  <c r="M704" i="1" s="1"/>
  <c r="L688" i="1"/>
  <c r="M688" i="1" s="1"/>
  <c r="L670" i="1"/>
  <c r="M670" i="1" s="1"/>
  <c r="L570" i="1"/>
  <c r="M570" i="1" s="1"/>
  <c r="L559" i="1"/>
  <c r="M559" i="1" s="1"/>
  <c r="L555" i="1"/>
  <c r="M555" i="1" s="1"/>
  <c r="L551" i="1"/>
  <c r="M551" i="1" s="1"/>
  <c r="L547" i="1"/>
  <c r="M547" i="1" s="1"/>
  <c r="L543" i="1"/>
  <c r="M543" i="1" s="1"/>
  <c r="L539" i="1"/>
  <c r="M539" i="1" s="1"/>
  <c r="L535" i="1"/>
  <c r="M535" i="1" s="1"/>
  <c r="L531" i="1"/>
  <c r="M531" i="1" s="1"/>
  <c r="L527" i="1"/>
  <c r="M527" i="1" s="1"/>
  <c r="L523" i="1"/>
  <c r="M523" i="1" s="1"/>
  <c r="L519" i="1"/>
  <c r="M519" i="1" s="1"/>
  <c r="L515" i="1"/>
  <c r="M515" i="1" s="1"/>
  <c r="L511" i="1"/>
  <c r="M511" i="1" s="1"/>
  <c r="L507" i="1"/>
  <c r="M507" i="1" s="1"/>
  <c r="L503" i="1"/>
  <c r="M503" i="1" s="1"/>
  <c r="L499" i="1"/>
  <c r="M499" i="1" s="1"/>
  <c r="L495" i="1"/>
  <c r="M495" i="1" s="1"/>
  <c r="L491" i="1"/>
  <c r="M491" i="1" s="1"/>
  <c r="L487" i="1"/>
  <c r="M487" i="1" s="1"/>
  <c r="L483" i="1"/>
  <c r="M483" i="1" s="1"/>
  <c r="L626" i="1"/>
  <c r="M626" i="1" s="1"/>
  <c r="L575" i="1"/>
  <c r="M575" i="1" s="1"/>
  <c r="L650" i="1"/>
  <c r="M650" i="1" s="1"/>
  <c r="L562" i="1"/>
  <c r="M562" i="1" s="1"/>
  <c r="L772" i="1"/>
  <c r="M772" i="1" s="1"/>
  <c r="L756" i="1"/>
  <c r="M756" i="1" s="1"/>
  <c r="L740" i="1"/>
  <c r="M740" i="1" s="1"/>
  <c r="L724" i="1"/>
  <c r="M724" i="1" s="1"/>
  <c r="L708" i="1"/>
  <c r="M708" i="1" s="1"/>
  <c r="L692" i="1"/>
  <c r="M692" i="1" s="1"/>
  <c r="L634" i="1"/>
  <c r="M634" i="1" s="1"/>
  <c r="L606" i="1"/>
  <c r="M606" i="1" s="1"/>
  <c r="L599" i="1"/>
  <c r="M599" i="1" s="1"/>
  <c r="L594" i="1"/>
  <c r="M594" i="1" s="1"/>
  <c r="L587" i="1"/>
  <c r="M587" i="1" s="1"/>
  <c r="L582" i="1"/>
  <c r="M582" i="1" s="1"/>
  <c r="L567" i="1"/>
  <c r="M567" i="1" s="1"/>
  <c r="L560" i="1"/>
  <c r="M560" i="1" s="1"/>
  <c r="L556" i="1"/>
  <c r="M556" i="1" s="1"/>
  <c r="L552" i="1"/>
  <c r="M552" i="1" s="1"/>
  <c r="L548" i="1"/>
  <c r="M548" i="1" s="1"/>
  <c r="L544" i="1"/>
  <c r="M544" i="1" s="1"/>
  <c r="L540" i="1"/>
  <c r="M540" i="1" s="1"/>
  <c r="L536" i="1"/>
  <c r="M536" i="1" s="1"/>
  <c r="L532" i="1"/>
  <c r="M532" i="1" s="1"/>
  <c r="L528" i="1"/>
  <c r="M528" i="1" s="1"/>
  <c r="L524" i="1"/>
  <c r="M524" i="1" s="1"/>
  <c r="L520" i="1"/>
  <c r="M520" i="1" s="1"/>
  <c r="L516" i="1"/>
  <c r="M516" i="1" s="1"/>
  <c r="L512" i="1"/>
  <c r="M512" i="1" s="1"/>
  <c r="L508" i="1"/>
  <c r="M508" i="1" s="1"/>
  <c r="L504" i="1"/>
  <c r="M504" i="1" s="1"/>
  <c r="L500" i="1"/>
  <c r="M500" i="1" s="1"/>
  <c r="L496" i="1"/>
  <c r="M496" i="1" s="1"/>
  <c r="L492" i="1"/>
  <c r="M492" i="1" s="1"/>
  <c r="L488" i="1"/>
  <c r="M488" i="1" s="1"/>
  <c r="L484" i="1"/>
  <c r="M484" i="1" s="1"/>
  <c r="L480" i="1"/>
  <c r="M480" i="1" s="1"/>
  <c r="L476" i="1"/>
  <c r="M476" i="1" s="1"/>
  <c r="L574" i="1"/>
  <c r="M574" i="1" s="1"/>
  <c r="L764" i="1"/>
  <c r="M764" i="1" s="1"/>
  <c r="L744" i="1"/>
  <c r="M744" i="1" s="1"/>
  <c r="L641" i="1"/>
  <c r="M641" i="1" s="1"/>
  <c r="L598" i="1"/>
  <c r="M598" i="1" s="1"/>
  <c r="L546" i="1"/>
  <c r="M546" i="1" s="1"/>
  <c r="L497" i="1"/>
  <c r="M497" i="1" s="1"/>
  <c r="L684" i="1"/>
  <c r="M684" i="1" s="1"/>
  <c r="L591" i="1"/>
  <c r="M591" i="1" s="1"/>
  <c r="L522" i="1"/>
  <c r="M522" i="1" s="1"/>
  <c r="L510" i="1"/>
  <c r="M510" i="1" s="1"/>
  <c r="L501" i="1"/>
  <c r="M501" i="1" s="1"/>
  <c r="L776" i="1"/>
  <c r="M776" i="1" s="1"/>
  <c r="L553" i="1"/>
  <c r="M553" i="1" s="1"/>
  <c r="L538" i="1"/>
  <c r="M538" i="1" s="1"/>
  <c r="L529" i="1"/>
  <c r="M529" i="1" s="1"/>
  <c r="L517" i="1"/>
  <c r="M517" i="1" s="1"/>
  <c r="L505" i="1"/>
  <c r="M505" i="1" s="1"/>
  <c r="L482" i="1"/>
  <c r="M482" i="1" s="1"/>
  <c r="L478" i="1"/>
  <c r="M478" i="1" s="1"/>
  <c r="L473" i="1"/>
  <c r="M473" i="1" s="1"/>
  <c r="L469" i="1"/>
  <c r="M469" i="1" s="1"/>
  <c r="L465" i="1"/>
  <c r="M465" i="1" s="1"/>
  <c r="L461" i="1"/>
  <c r="M461" i="1" s="1"/>
  <c r="L457" i="1"/>
  <c r="M457" i="1" s="1"/>
  <c r="L453" i="1"/>
  <c r="M453" i="1" s="1"/>
  <c r="L449" i="1"/>
  <c r="M449" i="1" s="1"/>
  <c r="L445" i="1"/>
  <c r="M445" i="1" s="1"/>
  <c r="L441" i="1"/>
  <c r="M441" i="1" s="1"/>
  <c r="L437" i="1"/>
  <c r="M437" i="1" s="1"/>
  <c r="L433" i="1"/>
  <c r="M433" i="1" s="1"/>
  <c r="L429" i="1"/>
  <c r="M429" i="1" s="1"/>
  <c r="L425" i="1"/>
  <c r="M425" i="1" s="1"/>
  <c r="L421" i="1"/>
  <c r="M421" i="1" s="1"/>
  <c r="L417" i="1"/>
  <c r="M417" i="1" s="1"/>
  <c r="L413" i="1"/>
  <c r="M413" i="1" s="1"/>
  <c r="L409" i="1"/>
  <c r="M409" i="1" s="1"/>
  <c r="L405" i="1"/>
  <c r="M405" i="1" s="1"/>
  <c r="L401" i="1"/>
  <c r="M401" i="1" s="1"/>
  <c r="L397" i="1"/>
  <c r="M397" i="1" s="1"/>
  <c r="L393" i="1"/>
  <c r="M393" i="1" s="1"/>
  <c r="L389" i="1"/>
  <c r="M389" i="1" s="1"/>
  <c r="L385" i="1"/>
  <c r="M385" i="1" s="1"/>
  <c r="L381" i="1"/>
  <c r="M381" i="1" s="1"/>
  <c r="L377" i="1"/>
  <c r="M377" i="1" s="1"/>
  <c r="L373" i="1"/>
  <c r="M373" i="1" s="1"/>
  <c r="L369" i="1"/>
  <c r="M369" i="1" s="1"/>
  <c r="L365" i="1"/>
  <c r="M365" i="1" s="1"/>
  <c r="L361" i="1"/>
  <c r="M361" i="1" s="1"/>
  <c r="L357" i="1"/>
  <c r="M357" i="1" s="1"/>
  <c r="L353" i="1"/>
  <c r="M353" i="1" s="1"/>
  <c r="L349" i="1"/>
  <c r="M349" i="1" s="1"/>
  <c r="L345" i="1"/>
  <c r="M345" i="1" s="1"/>
  <c r="L341" i="1"/>
  <c r="M341" i="1" s="1"/>
  <c r="L337" i="1"/>
  <c r="M337" i="1" s="1"/>
  <c r="L333" i="1"/>
  <c r="M333" i="1" s="1"/>
  <c r="L329" i="1"/>
  <c r="M329" i="1" s="1"/>
  <c r="L325" i="1"/>
  <c r="M325" i="1" s="1"/>
  <c r="L321" i="1"/>
  <c r="M321" i="1" s="1"/>
  <c r="L317" i="1"/>
  <c r="M317" i="1" s="1"/>
  <c r="L313" i="1"/>
  <c r="M313" i="1" s="1"/>
  <c r="L309" i="1"/>
  <c r="M309" i="1" s="1"/>
  <c r="L305" i="1"/>
  <c r="M305" i="1" s="1"/>
  <c r="L716" i="1"/>
  <c r="M716" i="1" s="1"/>
  <c r="L696" i="1"/>
  <c r="M696" i="1" s="1"/>
  <c r="L558" i="1"/>
  <c r="M558" i="1" s="1"/>
  <c r="L486" i="1"/>
  <c r="M486" i="1" s="1"/>
  <c r="L649" i="1"/>
  <c r="M649" i="1" s="1"/>
  <c r="L579" i="1"/>
  <c r="M579" i="1" s="1"/>
  <c r="L545" i="1"/>
  <c r="M545" i="1" s="1"/>
  <c r="L490" i="1"/>
  <c r="M490" i="1" s="1"/>
  <c r="L748" i="1"/>
  <c r="M748" i="1" s="1"/>
  <c r="L728" i="1"/>
  <c r="M728" i="1" s="1"/>
  <c r="L586" i="1"/>
  <c r="M586" i="1" s="1"/>
  <c r="L571" i="1"/>
  <c r="M571" i="1" s="1"/>
  <c r="L550" i="1"/>
  <c r="M550" i="1" s="1"/>
  <c r="L533" i="1"/>
  <c r="M533" i="1" s="1"/>
  <c r="L526" i="1"/>
  <c r="M526" i="1" s="1"/>
  <c r="L514" i="1"/>
  <c r="M514" i="1" s="1"/>
  <c r="L494" i="1"/>
  <c r="M494" i="1" s="1"/>
  <c r="L474" i="1"/>
  <c r="M474" i="1" s="1"/>
  <c r="L470" i="1"/>
  <c r="M470" i="1" s="1"/>
  <c r="L466" i="1"/>
  <c r="M466" i="1" s="1"/>
  <c r="L462" i="1"/>
  <c r="M462" i="1" s="1"/>
  <c r="L458" i="1"/>
  <c r="M458" i="1" s="1"/>
  <c r="L454" i="1"/>
  <c r="M454" i="1" s="1"/>
  <c r="L450" i="1"/>
  <c r="M450" i="1" s="1"/>
  <c r="L446" i="1"/>
  <c r="M446" i="1" s="1"/>
  <c r="L442" i="1"/>
  <c r="M442" i="1" s="1"/>
  <c r="L438" i="1"/>
  <c r="M438" i="1" s="1"/>
  <c r="L434" i="1"/>
  <c r="M434" i="1" s="1"/>
  <c r="L430" i="1"/>
  <c r="M430" i="1" s="1"/>
  <c r="L426" i="1"/>
  <c r="M426" i="1" s="1"/>
  <c r="L422" i="1"/>
  <c r="M422" i="1" s="1"/>
  <c r="L418" i="1"/>
  <c r="M418" i="1" s="1"/>
  <c r="L414" i="1"/>
  <c r="M414" i="1" s="1"/>
  <c r="L410" i="1"/>
  <c r="M410" i="1" s="1"/>
  <c r="L406" i="1"/>
  <c r="M406" i="1" s="1"/>
  <c r="L402" i="1"/>
  <c r="M402" i="1" s="1"/>
  <c r="L398" i="1"/>
  <c r="M398" i="1" s="1"/>
  <c r="L394" i="1"/>
  <c r="M394" i="1" s="1"/>
  <c r="L390" i="1"/>
  <c r="M390" i="1" s="1"/>
  <c r="L386" i="1"/>
  <c r="M386" i="1" s="1"/>
  <c r="L382" i="1"/>
  <c r="M382" i="1" s="1"/>
  <c r="L378" i="1"/>
  <c r="M378" i="1" s="1"/>
  <c r="L374" i="1"/>
  <c r="M374" i="1" s="1"/>
  <c r="L370" i="1"/>
  <c r="M370" i="1" s="1"/>
  <c r="L366" i="1"/>
  <c r="M366" i="1" s="1"/>
  <c r="L362" i="1"/>
  <c r="M362" i="1" s="1"/>
  <c r="L358" i="1"/>
  <c r="M358" i="1" s="1"/>
  <c r="L354" i="1"/>
  <c r="M354" i="1" s="1"/>
  <c r="L350" i="1"/>
  <c r="M350" i="1" s="1"/>
  <c r="L346" i="1"/>
  <c r="M346" i="1" s="1"/>
  <c r="L342" i="1"/>
  <c r="M342" i="1" s="1"/>
  <c r="L338" i="1"/>
  <c r="M338" i="1" s="1"/>
  <c r="L334" i="1"/>
  <c r="M334" i="1" s="1"/>
  <c r="L330" i="1"/>
  <c r="M330" i="1" s="1"/>
  <c r="L326" i="1"/>
  <c r="M326" i="1" s="1"/>
  <c r="L322" i="1"/>
  <c r="M322" i="1" s="1"/>
  <c r="L318" i="1"/>
  <c r="M318" i="1" s="1"/>
  <c r="L314" i="1"/>
  <c r="M314" i="1" s="1"/>
  <c r="L310" i="1"/>
  <c r="M310" i="1" s="1"/>
  <c r="L780" i="1"/>
  <c r="M780" i="1" s="1"/>
  <c r="L760" i="1"/>
  <c r="M760" i="1" s="1"/>
  <c r="L622" i="1"/>
  <c r="M622" i="1" s="1"/>
  <c r="L630" i="1"/>
  <c r="M630" i="1" s="1"/>
  <c r="L610" i="1"/>
  <c r="M610" i="1" s="1"/>
  <c r="L549" i="1"/>
  <c r="M549" i="1" s="1"/>
  <c r="L518" i="1"/>
  <c r="M518" i="1" s="1"/>
  <c r="L506" i="1"/>
  <c r="M506" i="1" s="1"/>
  <c r="L485" i="1"/>
  <c r="M485" i="1" s="1"/>
  <c r="L534" i="1"/>
  <c r="M534" i="1" s="1"/>
  <c r="L472" i="1"/>
  <c r="M472" i="1" s="1"/>
  <c r="L467" i="1"/>
  <c r="M467" i="1" s="1"/>
  <c r="L407" i="1"/>
  <c r="M407" i="1" s="1"/>
  <c r="L391" i="1"/>
  <c r="M391" i="1" s="1"/>
  <c r="L371" i="1"/>
  <c r="M371" i="1" s="1"/>
  <c r="L359" i="1"/>
  <c r="M359" i="1" s="1"/>
  <c r="L347" i="1"/>
  <c r="M347" i="1" s="1"/>
  <c r="L335" i="1"/>
  <c r="M335" i="1" s="1"/>
  <c r="L323" i="1"/>
  <c r="M323" i="1" s="1"/>
  <c r="L311" i="1"/>
  <c r="M311" i="1" s="1"/>
  <c r="L541" i="1"/>
  <c r="M541" i="1" s="1"/>
  <c r="L481" i="1"/>
  <c r="M481" i="1" s="1"/>
  <c r="L447" i="1"/>
  <c r="M447" i="1" s="1"/>
  <c r="L435" i="1"/>
  <c r="M435" i="1" s="1"/>
  <c r="L423" i="1"/>
  <c r="M423" i="1" s="1"/>
  <c r="L306" i="1"/>
  <c r="M306" i="1" s="1"/>
  <c r="L680" i="1"/>
  <c r="M680" i="1" s="1"/>
  <c r="L537" i="1"/>
  <c r="M537" i="1" s="1"/>
  <c r="L464" i="1"/>
  <c r="M464" i="1" s="1"/>
  <c r="L459" i="1"/>
  <c r="M459" i="1" s="1"/>
  <c r="L404" i="1"/>
  <c r="M404" i="1" s="1"/>
  <c r="L388" i="1"/>
  <c r="M388" i="1" s="1"/>
  <c r="L375" i="1"/>
  <c r="M375" i="1" s="1"/>
  <c r="L303" i="1"/>
  <c r="M303" i="1" s="1"/>
  <c r="L299" i="1"/>
  <c r="M299" i="1" s="1"/>
  <c r="L295" i="1"/>
  <c r="M295" i="1" s="1"/>
  <c r="L291" i="1"/>
  <c r="M291" i="1" s="1"/>
  <c r="L287" i="1"/>
  <c r="M287" i="1" s="1"/>
  <c r="L283" i="1"/>
  <c r="M283" i="1" s="1"/>
  <c r="L279" i="1"/>
  <c r="M279" i="1" s="1"/>
  <c r="L275" i="1"/>
  <c r="M275" i="1" s="1"/>
  <c r="L271" i="1"/>
  <c r="M271" i="1" s="1"/>
  <c r="L267" i="1"/>
  <c r="M267" i="1" s="1"/>
  <c r="L263" i="1"/>
  <c r="M263" i="1" s="1"/>
  <c r="L259" i="1"/>
  <c r="M259" i="1" s="1"/>
  <c r="L255" i="1"/>
  <c r="M255" i="1" s="1"/>
  <c r="L251" i="1"/>
  <c r="M251" i="1" s="1"/>
  <c r="L247" i="1"/>
  <c r="M247" i="1" s="1"/>
  <c r="L243" i="1"/>
  <c r="M243" i="1" s="1"/>
  <c r="L239" i="1"/>
  <c r="M239" i="1" s="1"/>
  <c r="L235" i="1"/>
  <c r="M235" i="1" s="1"/>
  <c r="L231" i="1"/>
  <c r="M231" i="1" s="1"/>
  <c r="L227" i="1"/>
  <c r="M227" i="1" s="1"/>
  <c r="L223" i="1"/>
  <c r="M223" i="1" s="1"/>
  <c r="L219" i="1"/>
  <c r="M219" i="1" s="1"/>
  <c r="L215" i="1"/>
  <c r="M215" i="1" s="1"/>
  <c r="L211" i="1"/>
  <c r="M211" i="1" s="1"/>
  <c r="L207" i="1"/>
  <c r="M207" i="1" s="1"/>
  <c r="L203" i="1"/>
  <c r="M203" i="1" s="1"/>
  <c r="L199" i="1"/>
  <c r="M199" i="1" s="1"/>
  <c r="L195" i="1"/>
  <c r="M195" i="1" s="1"/>
  <c r="L191" i="1"/>
  <c r="M191" i="1" s="1"/>
  <c r="L187" i="1"/>
  <c r="M187" i="1" s="1"/>
  <c r="L183" i="1"/>
  <c r="M183" i="1" s="1"/>
  <c r="L179" i="1"/>
  <c r="M179" i="1" s="1"/>
  <c r="L175" i="1"/>
  <c r="M175" i="1" s="1"/>
  <c r="L171" i="1"/>
  <c r="M171" i="1" s="1"/>
  <c r="L167" i="1"/>
  <c r="M167" i="1" s="1"/>
  <c r="L563" i="1"/>
  <c r="M563" i="1" s="1"/>
  <c r="L554" i="1"/>
  <c r="M554" i="1" s="1"/>
  <c r="L530" i="1"/>
  <c r="M530" i="1" s="1"/>
  <c r="L502" i="1"/>
  <c r="M502" i="1" s="1"/>
  <c r="L444" i="1"/>
  <c r="M444" i="1" s="1"/>
  <c r="L432" i="1"/>
  <c r="M432" i="1" s="1"/>
  <c r="L420" i="1"/>
  <c r="M420" i="1" s="1"/>
  <c r="L411" i="1"/>
  <c r="M411" i="1" s="1"/>
  <c r="L395" i="1"/>
  <c r="M395" i="1" s="1"/>
  <c r="L368" i="1"/>
  <c r="M368" i="1" s="1"/>
  <c r="L356" i="1"/>
  <c r="M356" i="1" s="1"/>
  <c r="L344" i="1"/>
  <c r="M344" i="1" s="1"/>
  <c r="L332" i="1"/>
  <c r="M332" i="1" s="1"/>
  <c r="L320" i="1"/>
  <c r="M320" i="1" s="1"/>
  <c r="L308" i="1"/>
  <c r="M308" i="1" s="1"/>
  <c r="L498" i="1"/>
  <c r="M498" i="1" s="1"/>
  <c r="L477" i="1"/>
  <c r="M477" i="1" s="1"/>
  <c r="L456" i="1"/>
  <c r="M456" i="1" s="1"/>
  <c r="L379" i="1"/>
  <c r="M379" i="1" s="1"/>
  <c r="L363" i="1"/>
  <c r="M363" i="1" s="1"/>
  <c r="L351" i="1"/>
  <c r="M351" i="1" s="1"/>
  <c r="L339" i="1"/>
  <c r="M339" i="1" s="1"/>
  <c r="L327" i="1"/>
  <c r="M327" i="1" s="1"/>
  <c r="L315" i="1"/>
  <c r="M315" i="1" s="1"/>
  <c r="L712" i="1"/>
  <c r="M712" i="1" s="1"/>
  <c r="L662" i="1"/>
  <c r="M662" i="1" s="1"/>
  <c r="L557" i="1"/>
  <c r="M557" i="1" s="1"/>
  <c r="L603" i="1"/>
  <c r="M603" i="1" s="1"/>
  <c r="L566" i="1"/>
  <c r="M566" i="1" s="1"/>
  <c r="L542" i="1"/>
  <c r="M542" i="1" s="1"/>
  <c r="L493" i="1"/>
  <c r="M493" i="1" s="1"/>
  <c r="L489" i="1"/>
  <c r="M489" i="1" s="1"/>
  <c r="L460" i="1"/>
  <c r="M460" i="1" s="1"/>
  <c r="L455" i="1"/>
  <c r="M455" i="1" s="1"/>
  <c r="L443" i="1"/>
  <c r="M443" i="1" s="1"/>
  <c r="L431" i="1"/>
  <c r="M431" i="1" s="1"/>
  <c r="L419" i="1"/>
  <c r="M419" i="1" s="1"/>
  <c r="L403" i="1"/>
  <c r="M403" i="1" s="1"/>
  <c r="L387" i="1"/>
  <c r="M387" i="1" s="1"/>
  <c r="L380" i="1"/>
  <c r="M380" i="1" s="1"/>
  <c r="L732" i="1"/>
  <c r="M732" i="1" s="1"/>
  <c r="L642" i="1"/>
  <c r="M642" i="1" s="1"/>
  <c r="L468" i="1"/>
  <c r="M468" i="1" s="1"/>
  <c r="L360" i="1"/>
  <c r="M360" i="1" s="1"/>
  <c r="L614" i="1"/>
  <c r="M614" i="1" s="1"/>
  <c r="L475" i="1"/>
  <c r="M475" i="1" s="1"/>
  <c r="L424" i="1"/>
  <c r="M424" i="1" s="1"/>
  <c r="L415" i="1"/>
  <c r="M415" i="1" s="1"/>
  <c r="L412" i="1"/>
  <c r="M412" i="1" s="1"/>
  <c r="L384" i="1"/>
  <c r="M384" i="1" s="1"/>
  <c r="L364" i="1"/>
  <c r="M364" i="1" s="1"/>
  <c r="L348" i="1"/>
  <c r="M348" i="1" s="1"/>
  <c r="L297" i="1"/>
  <c r="M297" i="1" s="1"/>
  <c r="L288" i="1"/>
  <c r="M288" i="1" s="1"/>
  <c r="L286" i="1"/>
  <c r="M286" i="1" s="1"/>
  <c r="L273" i="1"/>
  <c r="M273" i="1" s="1"/>
  <c r="L264" i="1"/>
  <c r="M264" i="1" s="1"/>
  <c r="L262" i="1"/>
  <c r="M262" i="1" s="1"/>
  <c r="L249" i="1"/>
  <c r="M249" i="1" s="1"/>
  <c r="L240" i="1"/>
  <c r="M240" i="1" s="1"/>
  <c r="L238" i="1"/>
  <c r="M238" i="1" s="1"/>
  <c r="L225" i="1"/>
  <c r="M225" i="1" s="1"/>
  <c r="L209" i="1"/>
  <c r="M209" i="1" s="1"/>
  <c r="L193" i="1"/>
  <c r="M193" i="1" s="1"/>
  <c r="L177" i="1"/>
  <c r="M177" i="1" s="1"/>
  <c r="L700" i="1"/>
  <c r="M700" i="1" s="1"/>
  <c r="L479" i="1"/>
  <c r="M479" i="1" s="1"/>
  <c r="L471" i="1"/>
  <c r="M471" i="1" s="1"/>
  <c r="L408" i="1"/>
  <c r="M408" i="1" s="1"/>
  <c r="L352" i="1"/>
  <c r="M352" i="1" s="1"/>
  <c r="L336" i="1"/>
  <c r="M336" i="1" s="1"/>
  <c r="L220" i="1"/>
  <c r="M220" i="1" s="1"/>
  <c r="L218" i="1"/>
  <c r="M218" i="1" s="1"/>
  <c r="L204" i="1"/>
  <c r="M204" i="1" s="1"/>
  <c r="L202" i="1"/>
  <c r="M202" i="1" s="1"/>
  <c r="L188" i="1"/>
  <c r="M188" i="1" s="1"/>
  <c r="L186" i="1"/>
  <c r="M186" i="1" s="1"/>
  <c r="L162" i="1"/>
  <c r="M162" i="1" s="1"/>
  <c r="L158" i="1"/>
  <c r="M158" i="1" s="1"/>
  <c r="L154" i="1"/>
  <c r="M154" i="1" s="1"/>
  <c r="L150" i="1"/>
  <c r="M150" i="1" s="1"/>
  <c r="L146" i="1"/>
  <c r="M146" i="1" s="1"/>
  <c r="L142" i="1"/>
  <c r="M142" i="1" s="1"/>
  <c r="L138" i="1"/>
  <c r="M138" i="1" s="1"/>
  <c r="L134" i="1"/>
  <c r="M134" i="1" s="1"/>
  <c r="L130" i="1"/>
  <c r="M130" i="1" s="1"/>
  <c r="L126" i="1"/>
  <c r="M126" i="1" s="1"/>
  <c r="L122" i="1"/>
  <c r="M122" i="1" s="1"/>
  <c r="L118" i="1"/>
  <c r="M118" i="1" s="1"/>
  <c r="L114" i="1"/>
  <c r="M114" i="1" s="1"/>
  <c r="L110" i="1"/>
  <c r="M110" i="1" s="1"/>
  <c r="L106" i="1"/>
  <c r="M106" i="1" s="1"/>
  <c r="L102" i="1"/>
  <c r="M102" i="1" s="1"/>
  <c r="L98" i="1"/>
  <c r="M98" i="1" s="1"/>
  <c r="L94" i="1"/>
  <c r="M94" i="1" s="1"/>
  <c r="L90" i="1"/>
  <c r="M90" i="1" s="1"/>
  <c r="L86" i="1"/>
  <c r="M86" i="1" s="1"/>
  <c r="L82" i="1"/>
  <c r="M82" i="1" s="1"/>
  <c r="L78" i="1"/>
  <c r="M78" i="1" s="1"/>
  <c r="L74" i="1"/>
  <c r="M74" i="1" s="1"/>
  <c r="L70" i="1"/>
  <c r="M70" i="1" s="1"/>
  <c r="L66" i="1"/>
  <c r="M66" i="1" s="1"/>
  <c r="L62" i="1"/>
  <c r="M62" i="1" s="1"/>
  <c r="L58" i="1"/>
  <c r="M58" i="1" s="1"/>
  <c r="L54" i="1"/>
  <c r="M54" i="1" s="1"/>
  <c r="L50" i="1"/>
  <c r="M50" i="1" s="1"/>
  <c r="L46" i="1"/>
  <c r="M46" i="1" s="1"/>
  <c r="L440" i="1"/>
  <c r="M440" i="1" s="1"/>
  <c r="L427" i="1"/>
  <c r="M427" i="1" s="1"/>
  <c r="L367" i="1"/>
  <c r="M367" i="1" s="1"/>
  <c r="L340" i="1"/>
  <c r="M340" i="1" s="1"/>
  <c r="L324" i="1"/>
  <c r="M324" i="1" s="1"/>
  <c r="L301" i="1"/>
  <c r="M301" i="1" s="1"/>
  <c r="L292" i="1"/>
  <c r="M292" i="1" s="1"/>
  <c r="L290" i="1"/>
  <c r="M290" i="1" s="1"/>
  <c r="L277" i="1"/>
  <c r="M277" i="1" s="1"/>
  <c r="L268" i="1"/>
  <c r="M268" i="1" s="1"/>
  <c r="L266" i="1"/>
  <c r="M266" i="1" s="1"/>
  <c r="L253" i="1"/>
  <c r="M253" i="1" s="1"/>
  <c r="L244" i="1"/>
  <c r="M244" i="1" s="1"/>
  <c r="L242" i="1"/>
  <c r="M242" i="1" s="1"/>
  <c r="L229" i="1"/>
  <c r="M229" i="1" s="1"/>
  <c r="L168" i="1"/>
  <c r="M168" i="1" s="1"/>
  <c r="L399" i="1"/>
  <c r="M399" i="1" s="1"/>
  <c r="L396" i="1"/>
  <c r="M396" i="1" s="1"/>
  <c r="L355" i="1"/>
  <c r="M355" i="1" s="1"/>
  <c r="L328" i="1"/>
  <c r="M328" i="1" s="1"/>
  <c r="L312" i="1"/>
  <c r="M312" i="1" s="1"/>
  <c r="L213" i="1"/>
  <c r="M213" i="1" s="1"/>
  <c r="L197" i="1"/>
  <c r="M197" i="1" s="1"/>
  <c r="L181" i="1"/>
  <c r="M181" i="1" s="1"/>
  <c r="L172" i="1"/>
  <c r="M172" i="1" s="1"/>
  <c r="L166" i="1"/>
  <c r="M166" i="1" s="1"/>
  <c r="L521" i="1"/>
  <c r="M521" i="1" s="1"/>
  <c r="L463" i="1"/>
  <c r="M463" i="1" s="1"/>
  <c r="L436" i="1"/>
  <c r="M436" i="1" s="1"/>
  <c r="L392" i="1"/>
  <c r="M392" i="1" s="1"/>
  <c r="L343" i="1"/>
  <c r="M343" i="1" s="1"/>
  <c r="L316" i="1"/>
  <c r="M316" i="1" s="1"/>
  <c r="L296" i="1"/>
  <c r="M296" i="1" s="1"/>
  <c r="L294" i="1"/>
  <c r="M294" i="1" s="1"/>
  <c r="L281" i="1"/>
  <c r="M281" i="1" s="1"/>
  <c r="L272" i="1"/>
  <c r="M272" i="1" s="1"/>
  <c r="L270" i="1"/>
  <c r="M270" i="1" s="1"/>
  <c r="L257" i="1"/>
  <c r="M257" i="1" s="1"/>
  <c r="L248" i="1"/>
  <c r="M248" i="1" s="1"/>
  <c r="L246" i="1"/>
  <c r="M246" i="1" s="1"/>
  <c r="L233" i="1"/>
  <c r="M233" i="1" s="1"/>
  <c r="L224" i="1"/>
  <c r="M224" i="1" s="1"/>
  <c r="L222" i="1"/>
  <c r="M222" i="1" s="1"/>
  <c r="L208" i="1"/>
  <c r="M208" i="1" s="1"/>
  <c r="L206" i="1"/>
  <c r="M206" i="1" s="1"/>
  <c r="L192" i="1"/>
  <c r="M192" i="1" s="1"/>
  <c r="L190" i="1"/>
  <c r="M190" i="1" s="1"/>
  <c r="L176" i="1"/>
  <c r="M176" i="1" s="1"/>
  <c r="L170" i="1"/>
  <c r="M170" i="1" s="1"/>
  <c r="L163" i="1"/>
  <c r="M163" i="1" s="1"/>
  <c r="L159" i="1"/>
  <c r="M159" i="1" s="1"/>
  <c r="L155" i="1"/>
  <c r="M155" i="1" s="1"/>
  <c r="L151" i="1"/>
  <c r="M151" i="1" s="1"/>
  <c r="L147" i="1"/>
  <c r="M147" i="1" s="1"/>
  <c r="L143" i="1"/>
  <c r="M143" i="1" s="1"/>
  <c r="L139" i="1"/>
  <c r="M139" i="1" s="1"/>
  <c r="L135" i="1"/>
  <c r="M135" i="1" s="1"/>
  <c r="L131" i="1"/>
  <c r="M131" i="1" s="1"/>
  <c r="L127" i="1"/>
  <c r="M127" i="1" s="1"/>
  <c r="L123" i="1"/>
  <c r="M123" i="1" s="1"/>
  <c r="L119" i="1"/>
  <c r="M119" i="1" s="1"/>
  <c r="L115" i="1"/>
  <c r="M115" i="1" s="1"/>
  <c r="L111" i="1"/>
  <c r="M111" i="1" s="1"/>
  <c r="L107" i="1"/>
  <c r="M107" i="1" s="1"/>
  <c r="L103" i="1"/>
  <c r="M103" i="1" s="1"/>
  <c r="L99" i="1"/>
  <c r="M99" i="1" s="1"/>
  <c r="L95" i="1"/>
  <c r="M95" i="1" s="1"/>
  <c r="L91" i="1"/>
  <c r="M91" i="1" s="1"/>
  <c r="L87" i="1"/>
  <c r="M87" i="1" s="1"/>
  <c r="L83" i="1"/>
  <c r="M83" i="1" s="1"/>
  <c r="L79" i="1"/>
  <c r="M79" i="1" s="1"/>
  <c r="L75" i="1"/>
  <c r="M75" i="1" s="1"/>
  <c r="L71" i="1"/>
  <c r="M71" i="1" s="1"/>
  <c r="L67" i="1"/>
  <c r="M67" i="1" s="1"/>
  <c r="L63" i="1"/>
  <c r="M63" i="1" s="1"/>
  <c r="L59" i="1"/>
  <c r="M59" i="1" s="1"/>
  <c r="L55" i="1"/>
  <c r="M55" i="1" s="1"/>
  <c r="L51" i="1"/>
  <c r="M51" i="1" s="1"/>
  <c r="L293" i="1"/>
  <c r="M293" i="1" s="1"/>
  <c r="L232" i="1"/>
  <c r="M232" i="1" s="1"/>
  <c r="L194" i="1"/>
  <c r="M194" i="1" s="1"/>
  <c r="L85" i="1"/>
  <c r="M85" i="1" s="1"/>
  <c r="L76" i="1"/>
  <c r="M76" i="1" s="1"/>
  <c r="L61" i="1"/>
  <c r="M61" i="1" s="1"/>
  <c r="L52" i="1"/>
  <c r="M52" i="1" s="1"/>
  <c r="L31" i="1"/>
  <c r="M31" i="1" s="1"/>
  <c r="L14" i="1"/>
  <c r="M14" i="1" s="1"/>
  <c r="L8" i="1"/>
  <c r="M8" i="1" s="1"/>
  <c r="L4" i="1"/>
  <c r="M4" i="1" s="1"/>
  <c r="L228" i="1"/>
  <c r="M228" i="1" s="1"/>
  <c r="L80" i="1"/>
  <c r="M80" i="1" s="1"/>
  <c r="L65" i="1"/>
  <c r="M65" i="1" s="1"/>
  <c r="L56" i="1"/>
  <c r="M56" i="1" s="1"/>
  <c r="L43" i="1"/>
  <c r="M43" i="1" s="1"/>
  <c r="L32" i="1"/>
  <c r="M32" i="1" s="1"/>
  <c r="L9" i="1"/>
  <c r="M9" i="1" s="1"/>
  <c r="L376" i="1"/>
  <c r="M376" i="1" s="1"/>
  <c r="L372" i="1"/>
  <c r="M372" i="1" s="1"/>
  <c r="L261" i="1"/>
  <c r="M261" i="1" s="1"/>
  <c r="L258" i="1"/>
  <c r="M258" i="1" s="1"/>
  <c r="L241" i="1"/>
  <c r="M241" i="1" s="1"/>
  <c r="L173" i="1"/>
  <c r="M173" i="1" s="1"/>
  <c r="L37" i="1"/>
  <c r="M37" i="1" s="1"/>
  <c r="L26" i="1"/>
  <c r="M26" i="1" s="1"/>
  <c r="L20" i="1"/>
  <c r="M20" i="1" s="1"/>
  <c r="S11" i="1"/>
  <c r="L289" i="1"/>
  <c r="M289" i="1" s="1"/>
  <c r="L280" i="1"/>
  <c r="M280" i="1" s="1"/>
  <c r="S23" i="1"/>
  <c r="S25" i="1" s="1"/>
  <c r="L525" i="1"/>
  <c r="M525" i="1" s="1"/>
  <c r="L513" i="1"/>
  <c r="M513" i="1" s="1"/>
  <c r="L221" i="1"/>
  <c r="M221" i="1" s="1"/>
  <c r="L200" i="1"/>
  <c r="M200" i="1" s="1"/>
  <c r="L196" i="1"/>
  <c r="M196" i="1" s="1"/>
  <c r="L169" i="1"/>
  <c r="M169" i="1" s="1"/>
  <c r="L161" i="1"/>
  <c r="M161" i="1" s="1"/>
  <c r="L156" i="1"/>
  <c r="M156" i="1" s="1"/>
  <c r="L149" i="1"/>
  <c r="M149" i="1" s="1"/>
  <c r="L144" i="1"/>
  <c r="M144" i="1" s="1"/>
  <c r="L137" i="1"/>
  <c r="M137" i="1" s="1"/>
  <c r="L132" i="1"/>
  <c r="M132" i="1" s="1"/>
  <c r="L125" i="1"/>
  <c r="M125" i="1" s="1"/>
  <c r="L120" i="1"/>
  <c r="M120" i="1" s="1"/>
  <c r="L113" i="1"/>
  <c r="M113" i="1" s="1"/>
  <c r="L108" i="1"/>
  <c r="M108" i="1" s="1"/>
  <c r="L101" i="1"/>
  <c r="M101" i="1" s="1"/>
  <c r="L96" i="1"/>
  <c r="M96" i="1" s="1"/>
  <c r="L89" i="1"/>
  <c r="M89" i="1" s="1"/>
  <c r="L38" i="1"/>
  <c r="M38" i="1" s="1"/>
  <c r="L27" i="1"/>
  <c r="M27" i="1" s="1"/>
  <c r="L21" i="1"/>
  <c r="M21" i="1" s="1"/>
  <c r="L15" i="1"/>
  <c r="M15" i="1" s="1"/>
  <c r="L5" i="1"/>
  <c r="M5" i="1" s="1"/>
  <c r="S18" i="1"/>
  <c r="L10" i="1"/>
  <c r="M10" i="1" s="1"/>
  <c r="L383" i="1"/>
  <c r="M383" i="1" s="1"/>
  <c r="L331" i="1"/>
  <c r="M331" i="1" s="1"/>
  <c r="L276" i="1"/>
  <c r="M276" i="1" s="1"/>
  <c r="L254" i="1"/>
  <c r="M254" i="1" s="1"/>
  <c r="L250" i="1"/>
  <c r="M250" i="1" s="1"/>
  <c r="L217" i="1"/>
  <c r="M217" i="1" s="1"/>
  <c r="L214" i="1"/>
  <c r="M214" i="1" s="1"/>
  <c r="L84" i="1"/>
  <c r="M84" i="1" s="1"/>
  <c r="L69" i="1"/>
  <c r="M69" i="1" s="1"/>
  <c r="L60" i="1"/>
  <c r="M60" i="1" s="1"/>
  <c r="L47" i="1"/>
  <c r="M47" i="1" s="1"/>
  <c r="L44" i="1"/>
  <c r="M44" i="1" s="1"/>
  <c r="L33" i="1"/>
  <c r="M33" i="1" s="1"/>
  <c r="S24" i="1"/>
  <c r="L302" i="1"/>
  <c r="M302" i="1" s="1"/>
  <c r="L298" i="1"/>
  <c r="M298" i="1" s="1"/>
  <c r="L260" i="1"/>
  <c r="M260" i="1" s="1"/>
  <c r="L210" i="1"/>
  <c r="M210" i="1" s="1"/>
  <c r="L189" i="1"/>
  <c r="M189" i="1" s="1"/>
  <c r="L39" i="1"/>
  <c r="M39" i="1" s="1"/>
  <c r="L452" i="1"/>
  <c r="M452" i="1" s="1"/>
  <c r="L428" i="1"/>
  <c r="M428" i="1" s="1"/>
  <c r="L319" i="1"/>
  <c r="M319" i="1" s="1"/>
  <c r="L285" i="1"/>
  <c r="M285" i="1" s="1"/>
  <c r="L256" i="1"/>
  <c r="M256" i="1" s="1"/>
  <c r="L252" i="1"/>
  <c r="M252" i="1" s="1"/>
  <c r="L230" i="1"/>
  <c r="M230" i="1" s="1"/>
  <c r="L226" i="1"/>
  <c r="M226" i="1" s="1"/>
  <c r="S43" i="1"/>
  <c r="L41" i="1"/>
  <c r="M41" i="1" s="1"/>
  <c r="L35" i="1"/>
  <c r="M35" i="1" s="1"/>
  <c r="L24" i="1"/>
  <c r="M24" i="1" s="1"/>
  <c r="L18" i="1"/>
  <c r="M18" i="1" s="1"/>
  <c r="S9" i="1"/>
  <c r="S12" i="1" s="1"/>
  <c r="S26" i="1" s="1"/>
  <c r="L439" i="1"/>
  <c r="M439" i="1" s="1"/>
  <c r="L307" i="1"/>
  <c r="M307" i="1" s="1"/>
  <c r="L300" i="1"/>
  <c r="M300" i="1" s="1"/>
  <c r="L236" i="1"/>
  <c r="M236" i="1" s="1"/>
  <c r="L205" i="1"/>
  <c r="M205" i="1" s="1"/>
  <c r="L184" i="1"/>
  <c r="M184" i="1" s="1"/>
  <c r="L180" i="1"/>
  <c r="M180" i="1" s="1"/>
  <c r="K319" i="1"/>
  <c r="J319" i="1"/>
  <c r="L97" i="1"/>
  <c r="M97" i="1" s="1"/>
  <c r="L133" i="1"/>
  <c r="M133" i="1" s="1"/>
  <c r="K155" i="1"/>
  <c r="K291" i="1"/>
  <c r="J291" i="1"/>
  <c r="K327" i="1"/>
  <c r="J327" i="1"/>
  <c r="L509" i="1"/>
  <c r="M509" i="1" s="1"/>
  <c r="K13" i="1"/>
  <c r="K73" i="1"/>
  <c r="J73" i="1"/>
  <c r="K170" i="1"/>
  <c r="J170" i="1"/>
  <c r="L201" i="1"/>
  <c r="M201" i="1" s="1"/>
  <c r="L212" i="1"/>
  <c r="M212" i="1" s="1"/>
  <c r="L11" i="1"/>
  <c r="M11" i="1" s="1"/>
  <c r="L7" i="1"/>
  <c r="M7" i="1" s="1"/>
  <c r="L22" i="1"/>
  <c r="M22" i="1" s="1"/>
  <c r="K55" i="1"/>
  <c r="K90" i="1"/>
  <c r="J90" i="1"/>
  <c r="J108" i="1"/>
  <c r="K108" i="1"/>
  <c r="L112" i="1"/>
  <c r="M112" i="1" s="1"/>
  <c r="K117" i="1"/>
  <c r="J117" i="1"/>
  <c r="K126" i="1"/>
  <c r="J126" i="1"/>
  <c r="K144" i="1"/>
  <c r="J144" i="1"/>
  <c r="L148" i="1"/>
  <c r="M148" i="1" s="1"/>
  <c r="K153" i="1"/>
  <c r="J153" i="1"/>
  <c r="K162" i="1"/>
  <c r="J162" i="1"/>
  <c r="K215" i="1"/>
  <c r="J215" i="1"/>
  <c r="L237" i="1"/>
  <c r="M237" i="1" s="1"/>
  <c r="L284" i="1"/>
  <c r="M284" i="1" s="1"/>
  <c r="L304" i="1"/>
  <c r="M304" i="1" s="1"/>
  <c r="K346" i="1"/>
  <c r="J346" i="1"/>
  <c r="J544" i="1"/>
  <c r="K544" i="1"/>
  <c r="L57" i="1"/>
  <c r="M57" i="1" s="1"/>
  <c r="L72" i="1"/>
  <c r="M72" i="1" s="1"/>
  <c r="K217" i="1"/>
  <c r="J217" i="1"/>
  <c r="J3" i="1"/>
  <c r="K119" i="1"/>
  <c r="L164" i="1"/>
  <c r="M164" i="1" s="1"/>
  <c r="K224" i="1"/>
  <c r="J224" i="1"/>
  <c r="J14" i="1"/>
  <c r="K14" i="1"/>
  <c r="L40" i="1"/>
  <c r="M40" i="1" s="1"/>
  <c r="L45" i="1"/>
  <c r="M45" i="1" s="1"/>
  <c r="K49" i="1"/>
  <c r="J49" i="1"/>
  <c r="K67" i="1"/>
  <c r="J67" i="1"/>
  <c r="L117" i="1"/>
  <c r="M117" i="1" s="1"/>
  <c r="L153" i="1"/>
  <c r="M153" i="1" s="1"/>
  <c r="L182" i="1"/>
  <c r="M182" i="1" s="1"/>
  <c r="K223" i="1"/>
  <c r="J223" i="1"/>
  <c r="K353" i="1"/>
  <c r="J353" i="1"/>
  <c r="K480" i="1"/>
  <c r="J480" i="1"/>
  <c r="K53" i="1"/>
  <c r="J53" i="1"/>
  <c r="K77" i="1"/>
  <c r="J77" i="1"/>
  <c r="K171" i="1"/>
  <c r="K174" i="1"/>
  <c r="J174" i="1"/>
  <c r="J233" i="1"/>
  <c r="J265" i="1"/>
  <c r="K268" i="1"/>
  <c r="J268" i="1"/>
  <c r="K275" i="1"/>
  <c r="J275" i="1"/>
  <c r="K385" i="1"/>
  <c r="J385" i="1"/>
  <c r="J470" i="1"/>
  <c r="K492" i="1"/>
  <c r="J492" i="1"/>
  <c r="K504" i="1"/>
  <c r="J504" i="1"/>
  <c r="J560" i="1"/>
  <c r="K560" i="1"/>
  <c r="K566" i="1"/>
  <c r="K227" i="1"/>
  <c r="J227" i="1"/>
  <c r="K279" i="1"/>
  <c r="J279" i="1"/>
  <c r="K445" i="1"/>
  <c r="J445" i="1"/>
  <c r="K545" i="1"/>
  <c r="J545" i="1"/>
  <c r="K231" i="1"/>
  <c r="J231" i="1"/>
  <c r="K247" i="1"/>
  <c r="J247" i="1"/>
  <c r="K355" i="1"/>
  <c r="J355" i="1"/>
  <c r="K476" i="1"/>
  <c r="J476" i="1"/>
  <c r="J56" i="1"/>
  <c r="K58" i="1"/>
  <c r="J80" i="1"/>
  <c r="K82" i="1"/>
  <c r="K89" i="1"/>
  <c r="J89" i="1"/>
  <c r="K101" i="1"/>
  <c r="J101" i="1"/>
  <c r="K113" i="1"/>
  <c r="J113" i="1"/>
  <c r="K125" i="1"/>
  <c r="J125" i="1"/>
  <c r="K137" i="1"/>
  <c r="J137" i="1"/>
  <c r="K149" i="1"/>
  <c r="J149" i="1"/>
  <c r="K161" i="1"/>
  <c r="J161" i="1"/>
  <c r="J172" i="1"/>
  <c r="J228" i="1"/>
  <c r="J257" i="1"/>
  <c r="K399" i="1"/>
  <c r="J399" i="1"/>
  <c r="K429" i="1"/>
  <c r="J429" i="1"/>
  <c r="K513" i="1"/>
  <c r="K525" i="1"/>
  <c r="K617" i="1"/>
  <c r="J617" i="1"/>
  <c r="K69" i="1"/>
  <c r="J69" i="1"/>
  <c r="K207" i="1"/>
  <c r="J207" i="1"/>
  <c r="K65" i="1"/>
  <c r="J65" i="1"/>
  <c r="J289" i="1"/>
  <c r="K292" i="1"/>
  <c r="J292" i="1"/>
  <c r="K299" i="1"/>
  <c r="J299" i="1"/>
  <c r="K326" i="1"/>
  <c r="K367" i="1"/>
  <c r="J367" i="1"/>
  <c r="K395" i="1"/>
  <c r="J395" i="1"/>
  <c r="K433" i="1"/>
  <c r="J433" i="1"/>
  <c r="J446" i="1"/>
  <c r="K244" i="1"/>
  <c r="J244" i="1"/>
  <c r="J19" i="1"/>
  <c r="J25" i="1"/>
  <c r="J36" i="1"/>
  <c r="J42" i="1"/>
  <c r="K61" i="1"/>
  <c r="J61" i="1"/>
  <c r="J63" i="1"/>
  <c r="K85" i="1"/>
  <c r="J85" i="1"/>
  <c r="J87" i="1"/>
  <c r="J92" i="1"/>
  <c r="J99" i="1"/>
  <c r="J104" i="1"/>
  <c r="J111" i="1"/>
  <c r="J116" i="1"/>
  <c r="J123" i="1"/>
  <c r="J128" i="1"/>
  <c r="J135" i="1"/>
  <c r="J140" i="1"/>
  <c r="J147" i="1"/>
  <c r="J152" i="1"/>
  <c r="J159" i="1"/>
  <c r="J164" i="1"/>
  <c r="K190" i="1"/>
  <c r="J190" i="1"/>
  <c r="K194" i="1"/>
  <c r="J194" i="1"/>
  <c r="K197" i="1"/>
  <c r="J197" i="1"/>
  <c r="J296" i="1"/>
  <c r="K303" i="1"/>
  <c r="J303" i="1"/>
  <c r="J322" i="1"/>
  <c r="K350" i="1"/>
  <c r="K369" i="1"/>
  <c r="J369" i="1"/>
  <c r="J422" i="1"/>
  <c r="J426" i="1"/>
  <c r="K473" i="1"/>
  <c r="J473" i="1"/>
  <c r="J496" i="1"/>
  <c r="K577" i="1"/>
  <c r="J577" i="1"/>
  <c r="K94" i="1"/>
  <c r="J94" i="1"/>
  <c r="K106" i="1"/>
  <c r="J106" i="1"/>
  <c r="K118" i="1"/>
  <c r="J118" i="1"/>
  <c r="K130" i="1"/>
  <c r="J130" i="1"/>
  <c r="K142" i="1"/>
  <c r="J142" i="1"/>
  <c r="K154" i="1"/>
  <c r="J154" i="1"/>
  <c r="K166" i="1"/>
  <c r="J166" i="1"/>
  <c r="K251" i="1"/>
  <c r="J251" i="1"/>
  <c r="K50" i="1"/>
  <c r="K74" i="1"/>
  <c r="K97" i="1"/>
  <c r="J97" i="1"/>
  <c r="K109" i="1"/>
  <c r="J109" i="1"/>
  <c r="K121" i="1"/>
  <c r="J121" i="1"/>
  <c r="K133" i="1"/>
  <c r="J133" i="1"/>
  <c r="K145" i="1"/>
  <c r="J145" i="1"/>
  <c r="K157" i="1"/>
  <c r="J157" i="1"/>
  <c r="K191" i="1"/>
  <c r="J191" i="1"/>
  <c r="J201" i="1"/>
  <c r="K255" i="1"/>
  <c r="J255" i="1"/>
  <c r="K271" i="1"/>
  <c r="J271" i="1"/>
  <c r="K351" i="1"/>
  <c r="J351" i="1"/>
  <c r="K362" i="1"/>
  <c r="K411" i="1"/>
  <c r="J411" i="1"/>
  <c r="K497" i="1"/>
  <c r="J497" i="1"/>
  <c r="K509" i="1"/>
  <c r="K521" i="1"/>
  <c r="J308" i="1"/>
  <c r="K308" i="1"/>
  <c r="J532" i="1"/>
  <c r="K532" i="1"/>
  <c r="K553" i="1"/>
  <c r="J553" i="1"/>
  <c r="J188" i="1"/>
  <c r="J204" i="1"/>
  <c r="J220" i="1"/>
  <c r="J229" i="1"/>
  <c r="J253" i="1"/>
  <c r="J277" i="1"/>
  <c r="J301" i="1"/>
  <c r="K309" i="1"/>
  <c r="J309" i="1"/>
  <c r="J320" i="1"/>
  <c r="K320" i="1"/>
  <c r="K417" i="1"/>
  <c r="J417" i="1"/>
  <c r="J427" i="1"/>
  <c r="J443" i="1"/>
  <c r="K453" i="1"/>
  <c r="J453" i="1"/>
  <c r="K505" i="1"/>
  <c r="J505" i="1"/>
  <c r="K547" i="1"/>
  <c r="J547" i="1"/>
  <c r="K179" i="1"/>
  <c r="J179" i="1"/>
  <c r="K186" i="1"/>
  <c r="J186" i="1"/>
  <c r="K195" i="1"/>
  <c r="J195" i="1"/>
  <c r="K202" i="1"/>
  <c r="J202" i="1"/>
  <c r="K211" i="1"/>
  <c r="J211" i="1"/>
  <c r="K218" i="1"/>
  <c r="J218" i="1"/>
  <c r="K321" i="1"/>
  <c r="J321" i="1"/>
  <c r="J332" i="1"/>
  <c r="K332" i="1"/>
  <c r="K381" i="1"/>
  <c r="J381" i="1"/>
  <c r="K405" i="1"/>
  <c r="J405" i="1"/>
  <c r="J516" i="1"/>
  <c r="K516" i="1"/>
  <c r="J586" i="1"/>
  <c r="K586" i="1"/>
  <c r="K669" i="1"/>
  <c r="J669" i="1"/>
  <c r="J177" i="1"/>
  <c r="J193" i="1"/>
  <c r="J209" i="1"/>
  <c r="J225" i="1"/>
  <c r="J249" i="1"/>
  <c r="J273" i="1"/>
  <c r="J297" i="1"/>
  <c r="K317" i="1"/>
  <c r="J317" i="1"/>
  <c r="K333" i="1"/>
  <c r="J333" i="1"/>
  <c r="J344" i="1"/>
  <c r="K344" i="1"/>
  <c r="K378" i="1"/>
  <c r="J387" i="1"/>
  <c r="J390" i="1"/>
  <c r="J415" i="1"/>
  <c r="K421" i="1"/>
  <c r="J421" i="1"/>
  <c r="J434" i="1"/>
  <c r="K517" i="1"/>
  <c r="J517" i="1"/>
  <c r="J533" i="1"/>
  <c r="J548" i="1"/>
  <c r="K548" i="1"/>
  <c r="J184" i="1"/>
  <c r="J200" i="1"/>
  <c r="J216" i="1"/>
  <c r="J236" i="1"/>
  <c r="J260" i="1"/>
  <c r="K329" i="1"/>
  <c r="J329" i="1"/>
  <c r="K345" i="1"/>
  <c r="J345" i="1"/>
  <c r="J356" i="1"/>
  <c r="K356" i="1"/>
  <c r="K375" i="1"/>
  <c r="J375" i="1"/>
  <c r="J528" i="1"/>
  <c r="K528" i="1"/>
  <c r="J556" i="1"/>
  <c r="K556" i="1"/>
  <c r="K663" i="1"/>
  <c r="J663" i="1"/>
  <c r="J173" i="1"/>
  <c r="K182" i="1"/>
  <c r="J182" i="1"/>
  <c r="K198" i="1"/>
  <c r="J198" i="1"/>
  <c r="K214" i="1"/>
  <c r="J214" i="1"/>
  <c r="J245" i="1"/>
  <c r="J269" i="1"/>
  <c r="J293" i="1"/>
  <c r="K341" i="1"/>
  <c r="J341" i="1"/>
  <c r="K357" i="1"/>
  <c r="J357" i="1"/>
  <c r="J368" i="1"/>
  <c r="K368" i="1"/>
  <c r="J431" i="1"/>
  <c r="K441" i="1"/>
  <c r="J441" i="1"/>
  <c r="J451" i="1"/>
  <c r="K461" i="1"/>
  <c r="J461" i="1"/>
  <c r="K501" i="1"/>
  <c r="J501" i="1"/>
  <c r="K529" i="1"/>
  <c r="J529" i="1"/>
  <c r="K593" i="1"/>
  <c r="J593" i="1"/>
  <c r="J603" i="1"/>
  <c r="K603" i="1"/>
  <c r="J623" i="1"/>
  <c r="K623" i="1"/>
  <c r="K649" i="1"/>
  <c r="J649" i="1"/>
  <c r="J512" i="1"/>
  <c r="K512" i="1"/>
  <c r="J524" i="1"/>
  <c r="K524" i="1"/>
  <c r="K535" i="1"/>
  <c r="J535" i="1"/>
  <c r="K589" i="1"/>
  <c r="J589" i="1"/>
  <c r="J619" i="1"/>
  <c r="K619" i="1"/>
  <c r="J579" i="1"/>
  <c r="K579" i="1"/>
  <c r="J639" i="1"/>
  <c r="K639" i="1"/>
  <c r="K397" i="1"/>
  <c r="J397" i="1"/>
  <c r="K413" i="1"/>
  <c r="J413" i="1"/>
  <c r="K491" i="1"/>
  <c r="J491" i="1"/>
  <c r="J540" i="1"/>
  <c r="K540" i="1"/>
  <c r="K559" i="1"/>
  <c r="J559" i="1"/>
  <c r="J574" i="1"/>
  <c r="K574" i="1"/>
  <c r="K605" i="1"/>
  <c r="J605" i="1"/>
  <c r="K313" i="1"/>
  <c r="J313" i="1"/>
  <c r="K325" i="1"/>
  <c r="J325" i="1"/>
  <c r="K337" i="1"/>
  <c r="J337" i="1"/>
  <c r="K349" i="1"/>
  <c r="J349" i="1"/>
  <c r="K361" i="1"/>
  <c r="J361" i="1"/>
  <c r="K377" i="1"/>
  <c r="J377" i="1"/>
  <c r="K425" i="1"/>
  <c r="J425" i="1"/>
  <c r="K437" i="1"/>
  <c r="J437" i="1"/>
  <c r="K449" i="1"/>
  <c r="J449" i="1"/>
  <c r="K469" i="1"/>
  <c r="J469" i="1"/>
  <c r="K487" i="1"/>
  <c r="J487" i="1"/>
  <c r="J537" i="1"/>
  <c r="K569" i="1"/>
  <c r="J569" i="1"/>
  <c r="J606" i="1"/>
  <c r="K606" i="1"/>
  <c r="K654" i="1"/>
  <c r="J654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11" i="1"/>
  <c r="J318" i="1"/>
  <c r="J323" i="1"/>
  <c r="J330" i="1"/>
  <c r="J335" i="1"/>
  <c r="J342" i="1"/>
  <c r="J347" i="1"/>
  <c r="J354" i="1"/>
  <c r="J359" i="1"/>
  <c r="J366" i="1"/>
  <c r="J371" i="1"/>
  <c r="K373" i="1"/>
  <c r="J373" i="1"/>
  <c r="J391" i="1"/>
  <c r="K393" i="1"/>
  <c r="J393" i="1"/>
  <c r="J407" i="1"/>
  <c r="K409" i="1"/>
  <c r="J409" i="1"/>
  <c r="J467" i="1"/>
  <c r="K484" i="1"/>
  <c r="J484" i="1"/>
  <c r="K550" i="1"/>
  <c r="J570" i="1"/>
  <c r="K570" i="1"/>
  <c r="J582" i="1"/>
  <c r="K582" i="1"/>
  <c r="K316" i="1"/>
  <c r="K328" i="1"/>
  <c r="K340" i="1"/>
  <c r="K352" i="1"/>
  <c r="K364" i="1"/>
  <c r="K457" i="1"/>
  <c r="J457" i="1"/>
  <c r="K488" i="1"/>
  <c r="J488" i="1"/>
  <c r="K555" i="1"/>
  <c r="J555" i="1"/>
  <c r="K479" i="1"/>
  <c r="J479" i="1"/>
  <c r="K483" i="1"/>
  <c r="J483" i="1"/>
  <c r="K511" i="1"/>
  <c r="J511" i="1"/>
  <c r="K523" i="1"/>
  <c r="J523" i="1"/>
  <c r="J562" i="1"/>
  <c r="K562" i="1"/>
  <c r="J578" i="1"/>
  <c r="K578" i="1"/>
  <c r="J614" i="1"/>
  <c r="K614" i="1"/>
  <c r="K653" i="1"/>
  <c r="J653" i="1"/>
  <c r="J631" i="1"/>
  <c r="K631" i="1"/>
  <c r="K507" i="1"/>
  <c r="J507" i="1"/>
  <c r="K519" i="1"/>
  <c r="J519" i="1"/>
  <c r="K531" i="1"/>
  <c r="J531" i="1"/>
  <c r="K558" i="1"/>
  <c r="J659" i="1"/>
  <c r="K665" i="1"/>
  <c r="J665" i="1"/>
  <c r="K677" i="1"/>
  <c r="J677" i="1"/>
  <c r="K696" i="1"/>
  <c r="K478" i="1"/>
  <c r="K543" i="1"/>
  <c r="J543" i="1"/>
  <c r="K776" i="1"/>
  <c r="K503" i="1"/>
  <c r="J503" i="1"/>
  <c r="J564" i="1"/>
  <c r="K564" i="1"/>
  <c r="J572" i="1"/>
  <c r="K572" i="1"/>
  <c r="K637" i="1"/>
  <c r="J637" i="1"/>
  <c r="J456" i="1"/>
  <c r="J460" i="1"/>
  <c r="J464" i="1"/>
  <c r="J468" i="1"/>
  <c r="J472" i="1"/>
  <c r="J493" i="1"/>
  <c r="K499" i="1"/>
  <c r="J499" i="1"/>
  <c r="K515" i="1"/>
  <c r="J515" i="1"/>
  <c r="K527" i="1"/>
  <c r="J527" i="1"/>
  <c r="K536" i="1"/>
  <c r="J541" i="1"/>
  <c r="K546" i="1"/>
  <c r="K551" i="1"/>
  <c r="J551" i="1"/>
  <c r="K598" i="1"/>
  <c r="K673" i="1"/>
  <c r="K744" i="1"/>
  <c r="K495" i="1"/>
  <c r="J495" i="1"/>
  <c r="K609" i="1"/>
  <c r="J609" i="1"/>
  <c r="K625" i="1"/>
  <c r="J625" i="1"/>
  <c r="K667" i="1"/>
  <c r="J667" i="1"/>
  <c r="K643" i="1"/>
  <c r="J643" i="1"/>
  <c r="K575" i="1"/>
  <c r="K626" i="1"/>
  <c r="J657" i="1"/>
  <c r="K644" i="1"/>
  <c r="K678" i="1"/>
  <c r="J678" i="1"/>
  <c r="K688" i="1"/>
  <c r="K704" i="1"/>
  <c r="K720" i="1"/>
  <c r="K736" i="1"/>
  <c r="K752" i="1"/>
  <c r="K768" i="1"/>
  <c r="K784" i="1"/>
  <c r="J565" i="1"/>
  <c r="K583" i="1"/>
  <c r="J585" i="1"/>
  <c r="K590" i="1"/>
  <c r="K595" i="1"/>
  <c r="J597" i="1"/>
  <c r="K602" i="1"/>
  <c r="K607" i="1"/>
  <c r="K618" i="1"/>
  <c r="J629" i="1"/>
  <c r="K635" i="1"/>
  <c r="K651" i="1"/>
  <c r="J651" i="1"/>
  <c r="J679" i="1"/>
  <c r="K679" i="1"/>
  <c r="K645" i="1"/>
  <c r="J645" i="1"/>
  <c r="K671" i="1"/>
  <c r="J671" i="1"/>
  <c r="K684" i="1"/>
  <c r="K700" i="1"/>
  <c r="K716" i="1"/>
  <c r="K732" i="1"/>
  <c r="K748" i="1"/>
  <c r="K764" i="1"/>
  <c r="K780" i="1"/>
  <c r="J683" i="1"/>
  <c r="K683" i="1"/>
  <c r="J687" i="1"/>
  <c r="K687" i="1"/>
  <c r="J691" i="1"/>
  <c r="K691" i="1"/>
  <c r="J695" i="1"/>
  <c r="K695" i="1"/>
  <c r="J699" i="1"/>
  <c r="K699" i="1"/>
  <c r="J703" i="1"/>
  <c r="K703" i="1"/>
  <c r="J707" i="1"/>
  <c r="K707" i="1"/>
  <c r="J711" i="1"/>
  <c r="K711" i="1"/>
  <c r="J715" i="1"/>
  <c r="K715" i="1"/>
  <c r="J719" i="1"/>
  <c r="K719" i="1"/>
  <c r="J723" i="1"/>
  <c r="K723" i="1"/>
  <c r="J727" i="1"/>
  <c r="K727" i="1"/>
  <c r="J731" i="1"/>
  <c r="K731" i="1"/>
  <c r="J735" i="1"/>
  <c r="K735" i="1"/>
  <c r="J739" i="1"/>
  <c r="K739" i="1"/>
  <c r="J743" i="1"/>
  <c r="K743" i="1"/>
  <c r="J747" i="1"/>
  <c r="K747" i="1"/>
  <c r="J751" i="1"/>
  <c r="K751" i="1"/>
  <c r="J755" i="1"/>
  <c r="K755" i="1"/>
  <c r="J759" i="1"/>
  <c r="K759" i="1"/>
  <c r="J763" i="1"/>
  <c r="K763" i="1"/>
  <c r="J767" i="1"/>
  <c r="K767" i="1"/>
  <c r="J771" i="1"/>
  <c r="K771" i="1"/>
  <c r="J775" i="1"/>
  <c r="K775" i="1"/>
  <c r="J779" i="1"/>
  <c r="K779" i="1"/>
  <c r="J783" i="1"/>
  <c r="K783" i="1"/>
  <c r="J787" i="1"/>
  <c r="K787" i="1"/>
  <c r="K675" i="1"/>
  <c r="J675" i="1"/>
  <c r="J681" i="1"/>
  <c r="K681" i="1"/>
  <c r="J685" i="1"/>
  <c r="K685" i="1"/>
  <c r="J689" i="1"/>
  <c r="K689" i="1"/>
  <c r="J693" i="1"/>
  <c r="K693" i="1"/>
  <c r="J697" i="1"/>
  <c r="K697" i="1"/>
  <c r="J701" i="1"/>
  <c r="K701" i="1"/>
  <c r="J705" i="1"/>
  <c r="K705" i="1"/>
  <c r="J709" i="1"/>
  <c r="K709" i="1"/>
  <c r="J713" i="1"/>
  <c r="K713" i="1"/>
  <c r="J717" i="1"/>
  <c r="K717" i="1"/>
  <c r="J721" i="1"/>
  <c r="K721" i="1"/>
  <c r="J725" i="1"/>
  <c r="K725" i="1"/>
  <c r="J729" i="1"/>
  <c r="K729" i="1"/>
  <c r="J733" i="1"/>
  <c r="K733" i="1"/>
  <c r="J737" i="1"/>
  <c r="K737" i="1"/>
  <c r="J741" i="1"/>
  <c r="K741" i="1"/>
  <c r="J745" i="1"/>
  <c r="K745" i="1"/>
  <c r="J749" i="1"/>
  <c r="K749" i="1"/>
  <c r="J753" i="1"/>
  <c r="K753" i="1"/>
  <c r="J757" i="1"/>
  <c r="K757" i="1"/>
  <c r="J761" i="1"/>
  <c r="K761" i="1"/>
  <c r="J765" i="1"/>
  <c r="K765" i="1"/>
  <c r="J769" i="1"/>
  <c r="K769" i="1"/>
  <c r="J773" i="1"/>
  <c r="K773" i="1"/>
  <c r="J777" i="1"/>
  <c r="K777" i="1"/>
  <c r="J781" i="1"/>
  <c r="K781" i="1"/>
  <c r="J785" i="1"/>
  <c r="K785" i="1"/>
  <c r="J642" i="1"/>
  <c r="J650" i="1"/>
  <c r="J660" i="1"/>
  <c r="J662" i="1"/>
  <c r="J670" i="1"/>
  <c r="J672" i="1"/>
  <c r="K682" i="1"/>
  <c r="K686" i="1"/>
  <c r="K690" i="1"/>
  <c r="K694" i="1"/>
  <c r="K698" i="1"/>
  <c r="K702" i="1"/>
  <c r="K706" i="1"/>
  <c r="K710" i="1"/>
  <c r="K714" i="1"/>
  <c r="K718" i="1"/>
  <c r="K722" i="1"/>
  <c r="K726" i="1"/>
  <c r="K730" i="1"/>
  <c r="K734" i="1"/>
  <c r="K738" i="1"/>
  <c r="K742" i="1"/>
  <c r="K746" i="1"/>
  <c r="K750" i="1"/>
  <c r="K754" i="1"/>
  <c r="K758" i="1"/>
  <c r="K762" i="1"/>
  <c r="K766" i="1"/>
  <c r="K770" i="1"/>
  <c r="K774" i="1"/>
  <c r="K778" i="1"/>
  <c r="K782" i="1"/>
  <c r="K786" i="1"/>
  <c r="K789" i="1"/>
  <c r="K790" i="1"/>
  <c r="K791" i="1"/>
  <c r="J791" i="1"/>
  <c r="O80" i="1" l="1"/>
  <c r="P80" i="1" s="1"/>
  <c r="O252" i="1"/>
  <c r="P252" i="1" s="1"/>
  <c r="O285" i="1"/>
  <c r="P285" i="1" s="1"/>
  <c r="O646" i="1"/>
  <c r="P646" i="1" s="1"/>
  <c r="O601" i="1"/>
  <c r="P601" i="1" s="1"/>
  <c r="O690" i="1"/>
  <c r="P690" i="1" s="1"/>
  <c r="O427" i="1"/>
  <c r="P427" i="1" s="1"/>
  <c r="O86" i="1"/>
  <c r="P86" i="1" s="1"/>
  <c r="O242" i="1"/>
  <c r="P242" i="1" s="1"/>
  <c r="O248" i="1"/>
  <c r="P248" i="1" s="1"/>
  <c r="O115" i="1"/>
  <c r="P115" i="1" s="1"/>
  <c r="O412" i="1"/>
  <c r="P412" i="1" s="1"/>
  <c r="O14" i="1"/>
  <c r="P14" i="1" s="1"/>
  <c r="O513" i="1"/>
  <c r="P513" i="1" s="1"/>
  <c r="O159" i="1"/>
  <c r="P159" i="1" s="1"/>
  <c r="O748" i="1"/>
  <c r="P748" i="1" s="1"/>
  <c r="O204" i="1"/>
  <c r="P204" i="1" s="1"/>
  <c r="O207" i="1"/>
  <c r="P207" i="1" s="1"/>
  <c r="O525" i="1"/>
  <c r="P525" i="1" s="1"/>
  <c r="O760" i="1"/>
  <c r="P760" i="1" s="1"/>
  <c r="O398" i="1"/>
  <c r="P398" i="1" s="1"/>
  <c r="O397" i="1"/>
  <c r="P397" i="1" s="1"/>
  <c r="O685" i="1"/>
  <c r="P685" i="1" s="1"/>
  <c r="O757" i="1"/>
  <c r="P757" i="1" s="1"/>
  <c r="O114" i="1"/>
  <c r="P114" i="1" s="1"/>
  <c r="O162" i="1"/>
  <c r="P162" i="1" s="1"/>
  <c r="O432" i="1"/>
  <c r="P432" i="1" s="1"/>
  <c r="O641" i="1"/>
  <c r="P641" i="1" s="1"/>
  <c r="O508" i="1"/>
  <c r="P508" i="1" s="1"/>
  <c r="O551" i="1"/>
  <c r="P551" i="1" s="1"/>
  <c r="O301" i="1"/>
  <c r="P301" i="1" s="1"/>
  <c r="O70" i="1"/>
  <c r="P70" i="1" s="1"/>
  <c r="O177" i="1"/>
  <c r="P177" i="1" s="1"/>
  <c r="O291" i="1"/>
  <c r="P291" i="1" s="1"/>
  <c r="O423" i="1"/>
  <c r="P423" i="1" s="1"/>
  <c r="O744" i="1"/>
  <c r="P744" i="1" s="1"/>
  <c r="O756" i="1"/>
  <c r="P756" i="1" s="1"/>
  <c r="O658" i="1"/>
  <c r="P658" i="1" s="1"/>
  <c r="O687" i="1"/>
  <c r="P687" i="1" s="1"/>
  <c r="O108" i="1"/>
  <c r="P108" i="1" s="1"/>
  <c r="O4" i="1"/>
  <c r="P4" i="1" s="1"/>
  <c r="O74" i="1"/>
  <c r="P74" i="1" s="1"/>
  <c r="O122" i="1"/>
  <c r="P122" i="1" s="1"/>
  <c r="O348" i="1"/>
  <c r="P348" i="1" s="1"/>
  <c r="O467" i="1"/>
  <c r="P467" i="1" s="1"/>
  <c r="O406" i="1"/>
  <c r="P406" i="1" s="1"/>
  <c r="O516" i="1"/>
  <c r="P516" i="1" s="1"/>
  <c r="O511" i="1"/>
  <c r="P511" i="1" s="1"/>
  <c r="O730" i="1"/>
  <c r="P730" i="1" s="1"/>
  <c r="O778" i="1"/>
  <c r="P778" i="1" s="1"/>
  <c r="O713" i="1"/>
  <c r="P713" i="1" s="1"/>
  <c r="O28" i="1"/>
  <c r="P28" i="1" s="1"/>
  <c r="O129" i="1"/>
  <c r="P129" i="1" s="1"/>
  <c r="O8" i="1"/>
  <c r="P8" i="1" s="1"/>
  <c r="O59" i="1"/>
  <c r="P59" i="1" s="1"/>
  <c r="O246" i="1"/>
  <c r="P246" i="1" s="1"/>
  <c r="O364" i="1"/>
  <c r="P364" i="1" s="1"/>
  <c r="O387" i="1"/>
  <c r="P387" i="1" s="1"/>
  <c r="O410" i="1"/>
  <c r="P410" i="1" s="1"/>
  <c r="O458" i="1"/>
  <c r="P458" i="1" s="1"/>
  <c r="O361" i="1"/>
  <c r="P361" i="1" s="1"/>
  <c r="O515" i="1"/>
  <c r="P515" i="1" s="1"/>
  <c r="O570" i="1"/>
  <c r="P570" i="1" s="1"/>
  <c r="O597" i="1"/>
  <c r="P597" i="1" s="1"/>
  <c r="O715" i="1"/>
  <c r="P715" i="1" s="1"/>
  <c r="O739" i="1"/>
  <c r="P739" i="1" s="1"/>
  <c r="O791" i="1"/>
  <c r="P791" i="1" s="1"/>
  <c r="O140" i="1"/>
  <c r="P140" i="1" s="1"/>
  <c r="O738" i="1"/>
  <c r="P738" i="1" s="1"/>
  <c r="O693" i="1"/>
  <c r="P693" i="1" s="1"/>
  <c r="O165" i="1"/>
  <c r="P165" i="1" s="1"/>
  <c r="O13" i="1"/>
  <c r="P13" i="1" s="1"/>
  <c r="O16" i="1"/>
  <c r="P16" i="1" s="1"/>
  <c r="O466" i="1"/>
  <c r="P466" i="1" s="1"/>
  <c r="O369" i="1"/>
  <c r="P369" i="1" s="1"/>
  <c r="O523" i="1"/>
  <c r="P523" i="1" s="1"/>
  <c r="O688" i="1"/>
  <c r="P688" i="1" s="1"/>
  <c r="O605" i="1"/>
  <c r="P605" i="1" s="1"/>
  <c r="O719" i="1"/>
  <c r="P719" i="1" s="1"/>
  <c r="O743" i="1"/>
  <c r="P743" i="1" s="1"/>
  <c r="O198" i="1"/>
  <c r="P198" i="1" s="1"/>
  <c r="N791" i="1"/>
  <c r="N790" i="1"/>
  <c r="O790" i="1" s="1"/>
  <c r="P790" i="1" s="1"/>
  <c r="N787" i="1"/>
  <c r="O787" i="1" s="1"/>
  <c r="P787" i="1" s="1"/>
  <c r="N785" i="1"/>
  <c r="O785" i="1" s="1"/>
  <c r="P785" i="1" s="1"/>
  <c r="N783" i="1"/>
  <c r="O783" i="1" s="1"/>
  <c r="P783" i="1" s="1"/>
  <c r="N781" i="1"/>
  <c r="O781" i="1" s="1"/>
  <c r="P781" i="1" s="1"/>
  <c r="N779" i="1"/>
  <c r="N777" i="1"/>
  <c r="O777" i="1" s="1"/>
  <c r="P777" i="1" s="1"/>
  <c r="N775" i="1"/>
  <c r="O775" i="1" s="1"/>
  <c r="P775" i="1" s="1"/>
  <c r="N773" i="1"/>
  <c r="N771" i="1"/>
  <c r="N769" i="1"/>
  <c r="O769" i="1" s="1"/>
  <c r="P769" i="1" s="1"/>
  <c r="N767" i="1"/>
  <c r="O767" i="1" s="1"/>
  <c r="P767" i="1" s="1"/>
  <c r="N765" i="1"/>
  <c r="O765" i="1" s="1"/>
  <c r="P765" i="1" s="1"/>
  <c r="N763" i="1"/>
  <c r="O763" i="1" s="1"/>
  <c r="P763" i="1" s="1"/>
  <c r="N761" i="1"/>
  <c r="O761" i="1" s="1"/>
  <c r="P761" i="1" s="1"/>
  <c r="N759" i="1"/>
  <c r="O759" i="1" s="1"/>
  <c r="P759" i="1" s="1"/>
  <c r="N757" i="1"/>
  <c r="N755" i="1"/>
  <c r="N753" i="1"/>
  <c r="N751" i="1"/>
  <c r="N749" i="1"/>
  <c r="N747" i="1"/>
  <c r="N745" i="1"/>
  <c r="O745" i="1" s="1"/>
  <c r="P745" i="1" s="1"/>
  <c r="N743" i="1"/>
  <c r="N741" i="1"/>
  <c r="O741" i="1" s="1"/>
  <c r="P741" i="1" s="1"/>
  <c r="N739" i="1"/>
  <c r="N737" i="1"/>
  <c r="O737" i="1" s="1"/>
  <c r="P737" i="1" s="1"/>
  <c r="N735" i="1"/>
  <c r="O735" i="1" s="1"/>
  <c r="P735" i="1" s="1"/>
  <c r="N733" i="1"/>
  <c r="O733" i="1" s="1"/>
  <c r="P733" i="1" s="1"/>
  <c r="N731" i="1"/>
  <c r="N729" i="1"/>
  <c r="N727" i="1"/>
  <c r="O727" i="1" s="1"/>
  <c r="P727" i="1" s="1"/>
  <c r="N725" i="1"/>
  <c r="N723" i="1"/>
  <c r="N721" i="1"/>
  <c r="O721" i="1" s="1"/>
  <c r="P721" i="1" s="1"/>
  <c r="N719" i="1"/>
  <c r="N717" i="1"/>
  <c r="O717" i="1" s="1"/>
  <c r="P717" i="1" s="1"/>
  <c r="N715" i="1"/>
  <c r="N713" i="1"/>
  <c r="N711" i="1"/>
  <c r="O711" i="1" s="1"/>
  <c r="P711" i="1" s="1"/>
  <c r="N709" i="1"/>
  <c r="O709" i="1" s="1"/>
  <c r="P709" i="1" s="1"/>
  <c r="N707" i="1"/>
  <c r="N705" i="1"/>
  <c r="O705" i="1" s="1"/>
  <c r="P705" i="1" s="1"/>
  <c r="N703" i="1"/>
  <c r="O703" i="1" s="1"/>
  <c r="P703" i="1" s="1"/>
  <c r="N701" i="1"/>
  <c r="N699" i="1"/>
  <c r="N697" i="1"/>
  <c r="O697" i="1" s="1"/>
  <c r="P697" i="1" s="1"/>
  <c r="N695" i="1"/>
  <c r="O695" i="1" s="1"/>
  <c r="P695" i="1" s="1"/>
  <c r="N693" i="1"/>
  <c r="N691" i="1"/>
  <c r="O691" i="1" s="1"/>
  <c r="P691" i="1" s="1"/>
  <c r="N689" i="1"/>
  <c r="O689" i="1" s="1"/>
  <c r="P689" i="1" s="1"/>
  <c r="N687" i="1"/>
  <c r="N685" i="1"/>
  <c r="N683" i="1"/>
  <c r="N681" i="1"/>
  <c r="O681" i="1" s="1"/>
  <c r="P681" i="1" s="1"/>
  <c r="N679" i="1"/>
  <c r="O679" i="1" s="1"/>
  <c r="P679" i="1" s="1"/>
  <c r="N676" i="1"/>
  <c r="N672" i="1"/>
  <c r="N668" i="1"/>
  <c r="O668" i="1" s="1"/>
  <c r="P668" i="1" s="1"/>
  <c r="N664" i="1"/>
  <c r="O664" i="1" s="1"/>
  <c r="P664" i="1" s="1"/>
  <c r="N660" i="1"/>
  <c r="O660" i="1" s="1"/>
  <c r="P660" i="1" s="1"/>
  <c r="N789" i="1"/>
  <c r="O789" i="1" s="1"/>
  <c r="P789" i="1" s="1"/>
  <c r="N656" i="1"/>
  <c r="O656" i="1" s="1"/>
  <c r="P656" i="1" s="1"/>
  <c r="N648" i="1"/>
  <c r="O648" i="1" s="1"/>
  <c r="P648" i="1" s="1"/>
  <c r="N640" i="1"/>
  <c r="N678" i="1"/>
  <c r="O678" i="1" s="1"/>
  <c r="P678" i="1" s="1"/>
  <c r="N651" i="1"/>
  <c r="O651" i="1" s="1"/>
  <c r="P651" i="1" s="1"/>
  <c r="N643" i="1"/>
  <c r="O643" i="1" s="1"/>
  <c r="P643" i="1" s="1"/>
  <c r="N669" i="1"/>
  <c r="N667" i="1"/>
  <c r="N665" i="1"/>
  <c r="O665" i="1" s="1"/>
  <c r="P665" i="1" s="1"/>
  <c r="N654" i="1"/>
  <c r="O654" i="1" s="1"/>
  <c r="P654" i="1" s="1"/>
  <c r="N646" i="1"/>
  <c r="N663" i="1"/>
  <c r="N661" i="1"/>
  <c r="N649" i="1"/>
  <c r="N641" i="1"/>
  <c r="N784" i="1"/>
  <c r="N780" i="1"/>
  <c r="O780" i="1" s="1"/>
  <c r="P780" i="1" s="1"/>
  <c r="N776" i="1"/>
  <c r="O776" i="1" s="1"/>
  <c r="P776" i="1" s="1"/>
  <c r="N772" i="1"/>
  <c r="O772" i="1" s="1"/>
  <c r="P772" i="1" s="1"/>
  <c r="N768" i="1"/>
  <c r="N764" i="1"/>
  <c r="O764" i="1" s="1"/>
  <c r="P764" i="1" s="1"/>
  <c r="N760" i="1"/>
  <c r="N756" i="1"/>
  <c r="N752" i="1"/>
  <c r="N748" i="1"/>
  <c r="N744" i="1"/>
  <c r="N740" i="1"/>
  <c r="O740" i="1" s="1"/>
  <c r="P740" i="1" s="1"/>
  <c r="N736" i="1"/>
  <c r="N732" i="1"/>
  <c r="O732" i="1" s="1"/>
  <c r="P732" i="1" s="1"/>
  <c r="N728" i="1"/>
  <c r="O728" i="1" s="1"/>
  <c r="P728" i="1" s="1"/>
  <c r="N724" i="1"/>
  <c r="N720" i="1"/>
  <c r="N716" i="1"/>
  <c r="O716" i="1" s="1"/>
  <c r="P716" i="1" s="1"/>
  <c r="N712" i="1"/>
  <c r="O712" i="1" s="1"/>
  <c r="P712" i="1" s="1"/>
  <c r="N708" i="1"/>
  <c r="N704" i="1"/>
  <c r="N700" i="1"/>
  <c r="O700" i="1" s="1"/>
  <c r="P700" i="1" s="1"/>
  <c r="N696" i="1"/>
  <c r="N692" i="1"/>
  <c r="N688" i="1"/>
  <c r="N684" i="1"/>
  <c r="O684" i="1" s="1"/>
  <c r="P684" i="1" s="1"/>
  <c r="N673" i="1"/>
  <c r="O673" i="1" s="1"/>
  <c r="P673" i="1" s="1"/>
  <c r="N671" i="1"/>
  <c r="N659" i="1"/>
  <c r="N657" i="1"/>
  <c r="O657" i="1" s="1"/>
  <c r="P657" i="1" s="1"/>
  <c r="N638" i="1"/>
  <c r="N634" i="1"/>
  <c r="N630" i="1"/>
  <c r="N626" i="1"/>
  <c r="N622" i="1"/>
  <c r="N618" i="1"/>
  <c r="O618" i="1" s="1"/>
  <c r="P618" i="1" s="1"/>
  <c r="N614" i="1"/>
  <c r="N610" i="1"/>
  <c r="O610" i="1" s="1"/>
  <c r="P610" i="1" s="1"/>
  <c r="N606" i="1"/>
  <c r="N602" i="1"/>
  <c r="O602" i="1" s="1"/>
  <c r="P602" i="1" s="1"/>
  <c r="N598" i="1"/>
  <c r="N594" i="1"/>
  <c r="O594" i="1" s="1"/>
  <c r="P594" i="1" s="1"/>
  <c r="N590" i="1"/>
  <c r="O590" i="1" s="1"/>
  <c r="P590" i="1" s="1"/>
  <c r="N586" i="1"/>
  <c r="O586" i="1" s="1"/>
  <c r="P586" i="1" s="1"/>
  <c r="N582" i="1"/>
  <c r="O582" i="1" s="1"/>
  <c r="P582" i="1" s="1"/>
  <c r="N578" i="1"/>
  <c r="O578" i="1" s="1"/>
  <c r="P578" i="1" s="1"/>
  <c r="N574" i="1"/>
  <c r="O574" i="1" s="1"/>
  <c r="P574" i="1" s="1"/>
  <c r="N570" i="1"/>
  <c r="N566" i="1"/>
  <c r="O566" i="1" s="1"/>
  <c r="P566" i="1" s="1"/>
  <c r="N562" i="1"/>
  <c r="O562" i="1" s="1"/>
  <c r="P562" i="1" s="1"/>
  <c r="N670" i="1"/>
  <c r="O670" i="1" s="1"/>
  <c r="P670" i="1" s="1"/>
  <c r="N662" i="1"/>
  <c r="O662" i="1" s="1"/>
  <c r="P662" i="1" s="1"/>
  <c r="N650" i="1"/>
  <c r="O650" i="1" s="1"/>
  <c r="P650" i="1" s="1"/>
  <c r="N642" i="1"/>
  <c r="O642" i="1" s="1"/>
  <c r="P642" i="1" s="1"/>
  <c r="N658" i="1"/>
  <c r="N653" i="1"/>
  <c r="O653" i="1" s="1"/>
  <c r="P653" i="1" s="1"/>
  <c r="N645" i="1"/>
  <c r="N666" i="1"/>
  <c r="O666" i="1" s="1"/>
  <c r="P666" i="1" s="1"/>
  <c r="N655" i="1"/>
  <c r="N774" i="1"/>
  <c r="O774" i="1" s="1"/>
  <c r="P774" i="1" s="1"/>
  <c r="N758" i="1"/>
  <c r="N742" i="1"/>
  <c r="O742" i="1" s="1"/>
  <c r="P742" i="1" s="1"/>
  <c r="N726" i="1"/>
  <c r="O726" i="1" s="1"/>
  <c r="P726" i="1" s="1"/>
  <c r="N710" i="1"/>
  <c r="N694" i="1"/>
  <c r="O694" i="1" s="1"/>
  <c r="P694" i="1" s="1"/>
  <c r="N644" i="1"/>
  <c r="O644" i="1" s="1"/>
  <c r="P644" i="1" s="1"/>
  <c r="N635" i="1"/>
  <c r="O635" i="1" s="1"/>
  <c r="P635" i="1" s="1"/>
  <c r="N629" i="1"/>
  <c r="N612" i="1"/>
  <c r="O612" i="1" s="1"/>
  <c r="P612" i="1" s="1"/>
  <c r="N597" i="1"/>
  <c r="N585" i="1"/>
  <c r="O585" i="1" s="1"/>
  <c r="P585" i="1" s="1"/>
  <c r="N565" i="1"/>
  <c r="N674" i="1"/>
  <c r="N615" i="1"/>
  <c r="O615" i="1" s="1"/>
  <c r="P615" i="1" s="1"/>
  <c r="N609" i="1"/>
  <c r="O609" i="1" s="1"/>
  <c r="P609" i="1" s="1"/>
  <c r="N604" i="1"/>
  <c r="O604" i="1" s="1"/>
  <c r="P604" i="1" s="1"/>
  <c r="N592" i="1"/>
  <c r="N580" i="1"/>
  <c r="N575" i="1"/>
  <c r="O575" i="1" s="1"/>
  <c r="P575" i="1" s="1"/>
  <c r="N637" i="1"/>
  <c r="O637" i="1" s="1"/>
  <c r="P637" i="1" s="1"/>
  <c r="N620" i="1"/>
  <c r="O620" i="1" s="1"/>
  <c r="P620" i="1" s="1"/>
  <c r="N560" i="1"/>
  <c r="O560" i="1" s="1"/>
  <c r="P560" i="1" s="1"/>
  <c r="N556" i="1"/>
  <c r="O556" i="1" s="1"/>
  <c r="P556" i="1" s="1"/>
  <c r="N552" i="1"/>
  <c r="N548" i="1"/>
  <c r="N544" i="1"/>
  <c r="O544" i="1" s="1"/>
  <c r="P544" i="1" s="1"/>
  <c r="N540" i="1"/>
  <c r="O540" i="1" s="1"/>
  <c r="P540" i="1" s="1"/>
  <c r="N536" i="1"/>
  <c r="N532" i="1"/>
  <c r="N528" i="1"/>
  <c r="O528" i="1" s="1"/>
  <c r="P528" i="1" s="1"/>
  <c r="N524" i="1"/>
  <c r="O524" i="1" s="1"/>
  <c r="P524" i="1" s="1"/>
  <c r="N520" i="1"/>
  <c r="O520" i="1" s="1"/>
  <c r="P520" i="1" s="1"/>
  <c r="N516" i="1"/>
  <c r="N512" i="1"/>
  <c r="O512" i="1" s="1"/>
  <c r="P512" i="1" s="1"/>
  <c r="N508" i="1"/>
  <c r="N504" i="1"/>
  <c r="N500" i="1"/>
  <c r="N496" i="1"/>
  <c r="O496" i="1" s="1"/>
  <c r="P496" i="1" s="1"/>
  <c r="N492" i="1"/>
  <c r="O492" i="1" s="1"/>
  <c r="P492" i="1" s="1"/>
  <c r="N488" i="1"/>
  <c r="N484" i="1"/>
  <c r="N480" i="1"/>
  <c r="O480" i="1" s="1"/>
  <c r="P480" i="1" s="1"/>
  <c r="N778" i="1"/>
  <c r="N762" i="1"/>
  <c r="N746" i="1"/>
  <c r="N730" i="1"/>
  <c r="N714" i="1"/>
  <c r="N698" i="1"/>
  <c r="N682" i="1"/>
  <c r="O682" i="1" s="1"/>
  <c r="P682" i="1" s="1"/>
  <c r="N677" i="1"/>
  <c r="O677" i="1" s="1"/>
  <c r="P677" i="1" s="1"/>
  <c r="N647" i="1"/>
  <c r="O647" i="1" s="1"/>
  <c r="P647" i="1" s="1"/>
  <c r="N623" i="1"/>
  <c r="N617" i="1"/>
  <c r="N599" i="1"/>
  <c r="O599" i="1" s="1"/>
  <c r="P599" i="1" s="1"/>
  <c r="N587" i="1"/>
  <c r="O587" i="1" s="1"/>
  <c r="P587" i="1" s="1"/>
  <c r="N577" i="1"/>
  <c r="N572" i="1"/>
  <c r="O572" i="1" s="1"/>
  <c r="P572" i="1" s="1"/>
  <c r="N567" i="1"/>
  <c r="O567" i="1" s="1"/>
  <c r="P567" i="1" s="1"/>
  <c r="N788" i="1"/>
  <c r="O788" i="1" s="1"/>
  <c r="P788" i="1" s="1"/>
  <c r="N628" i="1"/>
  <c r="N601" i="1"/>
  <c r="N589" i="1"/>
  <c r="O589" i="1" s="1"/>
  <c r="P589" i="1" s="1"/>
  <c r="N782" i="1"/>
  <c r="O782" i="1" s="1"/>
  <c r="P782" i="1" s="1"/>
  <c r="N766" i="1"/>
  <c r="N750" i="1"/>
  <c r="N734" i="1"/>
  <c r="O734" i="1" s="1"/>
  <c r="P734" i="1" s="1"/>
  <c r="N718" i="1"/>
  <c r="N702" i="1"/>
  <c r="N686" i="1"/>
  <c r="O686" i="1" s="1"/>
  <c r="P686" i="1" s="1"/>
  <c r="N636" i="1"/>
  <c r="N611" i="1"/>
  <c r="N579" i="1"/>
  <c r="N738" i="1"/>
  <c r="N595" i="1"/>
  <c r="O595" i="1" s="1"/>
  <c r="P595" i="1" s="1"/>
  <c r="N591" i="1"/>
  <c r="O591" i="1" s="1"/>
  <c r="P591" i="1" s="1"/>
  <c r="N561" i="1"/>
  <c r="N551" i="1"/>
  <c r="N538" i="1"/>
  <c r="O538" i="1" s="1"/>
  <c r="P538" i="1" s="1"/>
  <c r="N527" i="1"/>
  <c r="N515" i="1"/>
  <c r="N499" i="1"/>
  <c r="N482" i="1"/>
  <c r="N478" i="1"/>
  <c r="N473" i="1"/>
  <c r="N469" i="1"/>
  <c r="N465" i="1"/>
  <c r="O465" i="1" s="1"/>
  <c r="P465" i="1" s="1"/>
  <c r="N461" i="1"/>
  <c r="O461" i="1" s="1"/>
  <c r="P461" i="1" s="1"/>
  <c r="N457" i="1"/>
  <c r="O457" i="1" s="1"/>
  <c r="P457" i="1" s="1"/>
  <c r="N453" i="1"/>
  <c r="O453" i="1" s="1"/>
  <c r="P453" i="1" s="1"/>
  <c r="N449" i="1"/>
  <c r="O449" i="1" s="1"/>
  <c r="P449" i="1" s="1"/>
  <c r="N445" i="1"/>
  <c r="O445" i="1" s="1"/>
  <c r="P445" i="1" s="1"/>
  <c r="N441" i="1"/>
  <c r="N437" i="1"/>
  <c r="N433" i="1"/>
  <c r="N429" i="1"/>
  <c r="N425" i="1"/>
  <c r="N421" i="1"/>
  <c r="N417" i="1"/>
  <c r="O417" i="1" s="1"/>
  <c r="P417" i="1" s="1"/>
  <c r="N413" i="1"/>
  <c r="O413" i="1" s="1"/>
  <c r="P413" i="1" s="1"/>
  <c r="N409" i="1"/>
  <c r="O409" i="1" s="1"/>
  <c r="P409" i="1" s="1"/>
  <c r="N405" i="1"/>
  <c r="O405" i="1" s="1"/>
  <c r="P405" i="1" s="1"/>
  <c r="N401" i="1"/>
  <c r="O401" i="1" s="1"/>
  <c r="P401" i="1" s="1"/>
  <c r="N397" i="1"/>
  <c r="N393" i="1"/>
  <c r="N389" i="1"/>
  <c r="N385" i="1"/>
  <c r="N616" i="1"/>
  <c r="O616" i="1" s="1"/>
  <c r="P616" i="1" s="1"/>
  <c r="N608" i="1"/>
  <c r="O608" i="1" s="1"/>
  <c r="P608" i="1" s="1"/>
  <c r="N576" i="1"/>
  <c r="N568" i="1"/>
  <c r="O568" i="1" s="1"/>
  <c r="P568" i="1" s="1"/>
  <c r="N564" i="1"/>
  <c r="O564" i="1" s="1"/>
  <c r="P564" i="1" s="1"/>
  <c r="N558" i="1"/>
  <c r="N553" i="1"/>
  <c r="O553" i="1" s="1"/>
  <c r="P553" i="1" s="1"/>
  <c r="N529" i="1"/>
  <c r="O529" i="1" s="1"/>
  <c r="P529" i="1" s="1"/>
  <c r="N517" i="1"/>
  <c r="N505" i="1"/>
  <c r="N503" i="1"/>
  <c r="O503" i="1" s="1"/>
  <c r="P503" i="1" s="1"/>
  <c r="N486" i="1"/>
  <c r="N770" i="1"/>
  <c r="O770" i="1" s="1"/>
  <c r="P770" i="1" s="1"/>
  <c r="N632" i="1"/>
  <c r="N624" i="1"/>
  <c r="N543" i="1"/>
  <c r="N490" i="1"/>
  <c r="O490" i="1" s="1"/>
  <c r="P490" i="1" s="1"/>
  <c r="N476" i="1"/>
  <c r="O476" i="1" s="1"/>
  <c r="P476" i="1" s="1"/>
  <c r="N690" i="1"/>
  <c r="N550" i="1"/>
  <c r="O550" i="1" s="1"/>
  <c r="P550" i="1" s="1"/>
  <c r="N545" i="1"/>
  <c r="N531" i="1"/>
  <c r="N526" i="1"/>
  <c r="N514" i="1"/>
  <c r="N494" i="1"/>
  <c r="N474" i="1"/>
  <c r="N470" i="1"/>
  <c r="N466" i="1"/>
  <c r="N462" i="1"/>
  <c r="O462" i="1" s="1"/>
  <c r="P462" i="1" s="1"/>
  <c r="N458" i="1"/>
  <c r="N454" i="1"/>
  <c r="O454" i="1" s="1"/>
  <c r="P454" i="1" s="1"/>
  <c r="N450" i="1"/>
  <c r="O450" i="1" s="1"/>
  <c r="P450" i="1" s="1"/>
  <c r="N446" i="1"/>
  <c r="O446" i="1" s="1"/>
  <c r="P446" i="1" s="1"/>
  <c r="N442" i="1"/>
  <c r="N438" i="1"/>
  <c r="N434" i="1"/>
  <c r="N430" i="1"/>
  <c r="N426" i="1"/>
  <c r="N422" i="1"/>
  <c r="N418" i="1"/>
  <c r="O418" i="1" s="1"/>
  <c r="P418" i="1" s="1"/>
  <c r="N414" i="1"/>
  <c r="O414" i="1" s="1"/>
  <c r="P414" i="1" s="1"/>
  <c r="N410" i="1"/>
  <c r="N406" i="1"/>
  <c r="N402" i="1"/>
  <c r="O402" i="1" s="1"/>
  <c r="P402" i="1" s="1"/>
  <c r="N398" i="1"/>
  <c r="N394" i="1"/>
  <c r="N390" i="1"/>
  <c r="N386" i="1"/>
  <c r="N382" i="1"/>
  <c r="N378" i="1"/>
  <c r="N374" i="1"/>
  <c r="N370" i="1"/>
  <c r="O370" i="1" s="1"/>
  <c r="P370" i="1" s="1"/>
  <c r="N366" i="1"/>
  <c r="O366" i="1" s="1"/>
  <c r="P366" i="1" s="1"/>
  <c r="N362" i="1"/>
  <c r="O362" i="1" s="1"/>
  <c r="P362" i="1" s="1"/>
  <c r="N358" i="1"/>
  <c r="O358" i="1" s="1"/>
  <c r="P358" i="1" s="1"/>
  <c r="N354" i="1"/>
  <c r="O354" i="1" s="1"/>
  <c r="P354" i="1" s="1"/>
  <c r="N350" i="1"/>
  <c r="O350" i="1" s="1"/>
  <c r="P350" i="1" s="1"/>
  <c r="N346" i="1"/>
  <c r="N342" i="1"/>
  <c r="N338" i="1"/>
  <c r="N334" i="1"/>
  <c r="N330" i="1"/>
  <c r="N326" i="1"/>
  <c r="N322" i="1"/>
  <c r="O322" i="1" s="1"/>
  <c r="P322" i="1" s="1"/>
  <c r="N318" i="1"/>
  <c r="O318" i="1" s="1"/>
  <c r="P318" i="1" s="1"/>
  <c r="N314" i="1"/>
  <c r="O314" i="1" s="1"/>
  <c r="P314" i="1" s="1"/>
  <c r="N310" i="1"/>
  <c r="O310" i="1" s="1"/>
  <c r="P310" i="1" s="1"/>
  <c r="N593" i="1"/>
  <c r="O593" i="1" s="1"/>
  <c r="P593" i="1" s="1"/>
  <c r="N571" i="1"/>
  <c r="O571" i="1" s="1"/>
  <c r="P571" i="1" s="1"/>
  <c r="N533" i="1"/>
  <c r="N519" i="1"/>
  <c r="O519" i="1" s="1"/>
  <c r="P519" i="1" s="1"/>
  <c r="N507" i="1"/>
  <c r="O507" i="1" s="1"/>
  <c r="P507" i="1" s="1"/>
  <c r="N498" i="1"/>
  <c r="O498" i="1" s="1"/>
  <c r="P498" i="1" s="1"/>
  <c r="N722" i="1"/>
  <c r="O722" i="1" s="1"/>
  <c r="P722" i="1" s="1"/>
  <c r="N600" i="1"/>
  <c r="O600" i="1" s="1"/>
  <c r="P600" i="1" s="1"/>
  <c r="N583" i="1"/>
  <c r="O583" i="1" s="1"/>
  <c r="P583" i="1" s="1"/>
  <c r="N563" i="1"/>
  <c r="O563" i="1" s="1"/>
  <c r="P563" i="1" s="1"/>
  <c r="N555" i="1"/>
  <c r="O555" i="1" s="1"/>
  <c r="P555" i="1" s="1"/>
  <c r="N542" i="1"/>
  <c r="O542" i="1" s="1"/>
  <c r="P542" i="1" s="1"/>
  <c r="N521" i="1"/>
  <c r="O521" i="1" s="1"/>
  <c r="P521" i="1" s="1"/>
  <c r="N509" i="1"/>
  <c r="O509" i="1" s="1"/>
  <c r="P509" i="1" s="1"/>
  <c r="N502" i="1"/>
  <c r="O502" i="1" s="1"/>
  <c r="P502" i="1" s="1"/>
  <c r="N754" i="1"/>
  <c r="N627" i="1"/>
  <c r="N607" i="1"/>
  <c r="O607" i="1" s="1"/>
  <c r="P607" i="1" s="1"/>
  <c r="N603" i="1"/>
  <c r="O603" i="1" s="1"/>
  <c r="P603" i="1" s="1"/>
  <c r="N786" i="1"/>
  <c r="O786" i="1" s="1"/>
  <c r="P786" i="1" s="1"/>
  <c r="N680" i="1"/>
  <c r="N675" i="1"/>
  <c r="O675" i="1" s="1"/>
  <c r="P675" i="1" s="1"/>
  <c r="N581" i="1"/>
  <c r="N569" i="1"/>
  <c r="N539" i="1"/>
  <c r="O539" i="1" s="1"/>
  <c r="P539" i="1" s="1"/>
  <c r="N534" i="1"/>
  <c r="O534" i="1" s="1"/>
  <c r="P534" i="1" s="1"/>
  <c r="N525" i="1"/>
  <c r="N513" i="1"/>
  <c r="N493" i="1"/>
  <c r="N487" i="1"/>
  <c r="N475" i="1"/>
  <c r="N472" i="1"/>
  <c r="O472" i="1" s="1"/>
  <c r="P472" i="1" s="1"/>
  <c r="N468" i="1"/>
  <c r="O468" i="1" s="1"/>
  <c r="P468" i="1" s="1"/>
  <c r="N464" i="1"/>
  <c r="O464" i="1" s="1"/>
  <c r="P464" i="1" s="1"/>
  <c r="N460" i="1"/>
  <c r="N456" i="1"/>
  <c r="O456" i="1" s="1"/>
  <c r="P456" i="1" s="1"/>
  <c r="N452" i="1"/>
  <c r="O452" i="1" s="1"/>
  <c r="P452" i="1" s="1"/>
  <c r="N448" i="1"/>
  <c r="N444" i="1"/>
  <c r="O444" i="1" s="1"/>
  <c r="P444" i="1" s="1"/>
  <c r="N440" i="1"/>
  <c r="N436" i="1"/>
  <c r="O436" i="1" s="1"/>
  <c r="P436" i="1" s="1"/>
  <c r="N432" i="1"/>
  <c r="N428" i="1"/>
  <c r="N424" i="1"/>
  <c r="N420" i="1"/>
  <c r="O420" i="1" s="1"/>
  <c r="P420" i="1" s="1"/>
  <c r="N416" i="1"/>
  <c r="O416" i="1" s="1"/>
  <c r="P416" i="1" s="1"/>
  <c r="N412" i="1"/>
  <c r="N408" i="1"/>
  <c r="N404" i="1"/>
  <c r="O404" i="1" s="1"/>
  <c r="P404" i="1" s="1"/>
  <c r="N400" i="1"/>
  <c r="O400" i="1" s="1"/>
  <c r="P400" i="1" s="1"/>
  <c r="N396" i="1"/>
  <c r="O396" i="1" s="1"/>
  <c r="P396" i="1" s="1"/>
  <c r="N392" i="1"/>
  <c r="O392" i="1" s="1"/>
  <c r="P392" i="1" s="1"/>
  <c r="N388" i="1"/>
  <c r="N384" i="1"/>
  <c r="O384" i="1" s="1"/>
  <c r="P384" i="1" s="1"/>
  <c r="N380" i="1"/>
  <c r="O380" i="1" s="1"/>
  <c r="P380" i="1" s="1"/>
  <c r="N376" i="1"/>
  <c r="N372" i="1"/>
  <c r="O372" i="1" s="1"/>
  <c r="P372" i="1" s="1"/>
  <c r="N368" i="1"/>
  <c r="N364" i="1"/>
  <c r="N360" i="1"/>
  <c r="N356" i="1"/>
  <c r="O356" i="1" s="1"/>
  <c r="P356" i="1" s="1"/>
  <c r="N352" i="1"/>
  <c r="N348" i="1"/>
  <c r="N344" i="1"/>
  <c r="N340" i="1"/>
  <c r="O340" i="1" s="1"/>
  <c r="P340" i="1" s="1"/>
  <c r="N336" i="1"/>
  <c r="N332" i="1"/>
  <c r="O332" i="1" s="1"/>
  <c r="P332" i="1" s="1"/>
  <c r="N328" i="1"/>
  <c r="N324" i="1"/>
  <c r="O324" i="1" s="1"/>
  <c r="P324" i="1" s="1"/>
  <c r="N320" i="1"/>
  <c r="O320" i="1" s="1"/>
  <c r="P320" i="1" s="1"/>
  <c r="N316" i="1"/>
  <c r="N312" i="1"/>
  <c r="N308" i="1"/>
  <c r="O308" i="1" s="1"/>
  <c r="P308" i="1" s="1"/>
  <c r="N541" i="1"/>
  <c r="O541" i="1" s="1"/>
  <c r="P541" i="1" s="1"/>
  <c r="N523" i="1"/>
  <c r="N511" i="1"/>
  <c r="N459" i="1"/>
  <c r="N375" i="1"/>
  <c r="O375" i="1" s="1"/>
  <c r="P375" i="1" s="1"/>
  <c r="N373" i="1"/>
  <c r="N306" i="1"/>
  <c r="O306" i="1" s="1"/>
  <c r="P306" i="1" s="1"/>
  <c r="N303" i="1"/>
  <c r="O303" i="1" s="1"/>
  <c r="P303" i="1" s="1"/>
  <c r="N299" i="1"/>
  <c r="O299" i="1" s="1"/>
  <c r="P299" i="1" s="1"/>
  <c r="N295" i="1"/>
  <c r="O295" i="1" s="1"/>
  <c r="P295" i="1" s="1"/>
  <c r="N291" i="1"/>
  <c r="N287" i="1"/>
  <c r="O287" i="1" s="1"/>
  <c r="P287" i="1" s="1"/>
  <c r="N283" i="1"/>
  <c r="N279" i="1"/>
  <c r="N275" i="1"/>
  <c r="N271" i="1"/>
  <c r="N267" i="1"/>
  <c r="N263" i="1"/>
  <c r="N259" i="1"/>
  <c r="O259" i="1" s="1"/>
  <c r="P259" i="1" s="1"/>
  <c r="N255" i="1"/>
  <c r="O255" i="1" s="1"/>
  <c r="P255" i="1" s="1"/>
  <c r="N251" i="1"/>
  <c r="O251" i="1" s="1"/>
  <c r="P251" i="1" s="1"/>
  <c r="N247" i="1"/>
  <c r="O247" i="1" s="1"/>
  <c r="P247" i="1" s="1"/>
  <c r="N243" i="1"/>
  <c r="O243" i="1" s="1"/>
  <c r="P243" i="1" s="1"/>
  <c r="N239" i="1"/>
  <c r="O239" i="1" s="1"/>
  <c r="P239" i="1" s="1"/>
  <c r="N235" i="1"/>
  <c r="N231" i="1"/>
  <c r="N227" i="1"/>
  <c r="N223" i="1"/>
  <c r="N219" i="1"/>
  <c r="N215" i="1"/>
  <c r="N211" i="1"/>
  <c r="O211" i="1" s="1"/>
  <c r="P211" i="1" s="1"/>
  <c r="N207" i="1"/>
  <c r="N203" i="1"/>
  <c r="O203" i="1" s="1"/>
  <c r="P203" i="1" s="1"/>
  <c r="N199" i="1"/>
  <c r="O199" i="1" s="1"/>
  <c r="P199" i="1" s="1"/>
  <c r="N195" i="1"/>
  <c r="O195" i="1" s="1"/>
  <c r="P195" i="1" s="1"/>
  <c r="N191" i="1"/>
  <c r="O191" i="1" s="1"/>
  <c r="P191" i="1" s="1"/>
  <c r="N187" i="1"/>
  <c r="N183" i="1"/>
  <c r="N179" i="1"/>
  <c r="N175" i="1"/>
  <c r="N171" i="1"/>
  <c r="N167" i="1"/>
  <c r="N621" i="1"/>
  <c r="N537" i="1"/>
  <c r="O537" i="1" s="1"/>
  <c r="P537" i="1" s="1"/>
  <c r="N530" i="1"/>
  <c r="O530" i="1" s="1"/>
  <c r="P530" i="1" s="1"/>
  <c r="N411" i="1"/>
  <c r="N395" i="1"/>
  <c r="N631" i="1"/>
  <c r="O631" i="1" s="1"/>
  <c r="P631" i="1" s="1"/>
  <c r="N596" i="1"/>
  <c r="N554" i="1"/>
  <c r="O554" i="1" s="1"/>
  <c r="P554" i="1" s="1"/>
  <c r="N477" i="1"/>
  <c r="O477" i="1" s="1"/>
  <c r="P477" i="1" s="1"/>
  <c r="N379" i="1"/>
  <c r="N377" i="1"/>
  <c r="N363" i="1"/>
  <c r="N361" i="1"/>
  <c r="N351" i="1"/>
  <c r="O351" i="1" s="1"/>
  <c r="P351" i="1" s="1"/>
  <c r="N349" i="1"/>
  <c r="O349" i="1" s="1"/>
  <c r="P349" i="1" s="1"/>
  <c r="N339" i="1"/>
  <c r="N337" i="1"/>
  <c r="N327" i="1"/>
  <c r="O327" i="1" s="1"/>
  <c r="P327" i="1" s="1"/>
  <c r="N325" i="1"/>
  <c r="N315" i="1"/>
  <c r="N313" i="1"/>
  <c r="O313" i="1" s="1"/>
  <c r="P313" i="1" s="1"/>
  <c r="N605" i="1"/>
  <c r="N559" i="1"/>
  <c r="O559" i="1" s="1"/>
  <c r="P559" i="1" s="1"/>
  <c r="N549" i="1"/>
  <c r="N522" i="1"/>
  <c r="N518" i="1"/>
  <c r="N510" i="1"/>
  <c r="O510" i="1" s="1"/>
  <c r="P510" i="1" s="1"/>
  <c r="N506" i="1"/>
  <c r="N495" i="1"/>
  <c r="N491" i="1"/>
  <c r="O491" i="1" s="1"/>
  <c r="P491" i="1" s="1"/>
  <c r="N471" i="1"/>
  <c r="N451" i="1"/>
  <c r="O451" i="1" s="1"/>
  <c r="P451" i="1" s="1"/>
  <c r="N439" i="1"/>
  <c r="O439" i="1" s="1"/>
  <c r="P439" i="1" s="1"/>
  <c r="N427" i="1"/>
  <c r="N304" i="1"/>
  <c r="O304" i="1" s="1"/>
  <c r="P304" i="1" s="1"/>
  <c r="N300" i="1"/>
  <c r="O300" i="1" s="1"/>
  <c r="P300" i="1" s="1"/>
  <c r="N296" i="1"/>
  <c r="N292" i="1"/>
  <c r="O292" i="1" s="1"/>
  <c r="P292" i="1" s="1"/>
  <c r="N288" i="1"/>
  <c r="O288" i="1" s="1"/>
  <c r="P288" i="1" s="1"/>
  <c r="N284" i="1"/>
  <c r="N280" i="1"/>
  <c r="N276" i="1"/>
  <c r="O276" i="1" s="1"/>
  <c r="P276" i="1" s="1"/>
  <c r="N272" i="1"/>
  <c r="N268" i="1"/>
  <c r="N264" i="1"/>
  <c r="N260" i="1"/>
  <c r="N256" i="1"/>
  <c r="O256" i="1" s="1"/>
  <c r="P256" i="1" s="1"/>
  <c r="N252" i="1"/>
  <c r="N248" i="1"/>
  <c r="N244" i="1"/>
  <c r="N240" i="1"/>
  <c r="O240" i="1" s="1"/>
  <c r="P240" i="1" s="1"/>
  <c r="N236" i="1"/>
  <c r="O236" i="1" s="1"/>
  <c r="P236" i="1" s="1"/>
  <c r="N232" i="1"/>
  <c r="N228" i="1"/>
  <c r="O228" i="1" s="1"/>
  <c r="P228" i="1" s="1"/>
  <c r="N224" i="1"/>
  <c r="O224" i="1" s="1"/>
  <c r="P224" i="1" s="1"/>
  <c r="N220" i="1"/>
  <c r="N216" i="1"/>
  <c r="O216" i="1" s="1"/>
  <c r="P216" i="1" s="1"/>
  <c r="N212" i="1"/>
  <c r="N208" i="1"/>
  <c r="N204" i="1"/>
  <c r="N200" i="1"/>
  <c r="O200" i="1" s="1"/>
  <c r="P200" i="1" s="1"/>
  <c r="N196" i="1"/>
  <c r="O196" i="1" s="1"/>
  <c r="P196" i="1" s="1"/>
  <c r="N192" i="1"/>
  <c r="O192" i="1" s="1"/>
  <c r="P192" i="1" s="1"/>
  <c r="N188" i="1"/>
  <c r="O188" i="1" s="1"/>
  <c r="P188" i="1" s="1"/>
  <c r="N184" i="1"/>
  <c r="O184" i="1" s="1"/>
  <c r="P184" i="1" s="1"/>
  <c r="N180" i="1"/>
  <c r="O180" i="1" s="1"/>
  <c r="P180" i="1" s="1"/>
  <c r="N176" i="1"/>
  <c r="N652" i="1"/>
  <c r="O652" i="1" s="1"/>
  <c r="P652" i="1" s="1"/>
  <c r="N625" i="1"/>
  <c r="N483" i="1"/>
  <c r="N415" i="1"/>
  <c r="N399" i="1"/>
  <c r="O399" i="1" s="1"/>
  <c r="P399" i="1" s="1"/>
  <c r="N383" i="1"/>
  <c r="O383" i="1" s="1"/>
  <c r="P383" i="1" s="1"/>
  <c r="N381" i="1"/>
  <c r="O381" i="1" s="1"/>
  <c r="P381" i="1" s="1"/>
  <c r="N706" i="1"/>
  <c r="O706" i="1" s="1"/>
  <c r="P706" i="1" s="1"/>
  <c r="N633" i="1"/>
  <c r="O633" i="1" s="1"/>
  <c r="P633" i="1" s="1"/>
  <c r="N547" i="1"/>
  <c r="N302" i="1"/>
  <c r="O302" i="1" s="1"/>
  <c r="P302" i="1" s="1"/>
  <c r="N298" i="1"/>
  <c r="O298" i="1" s="1"/>
  <c r="P298" i="1" s="1"/>
  <c r="N294" i="1"/>
  <c r="N290" i="1"/>
  <c r="N286" i="1"/>
  <c r="N282" i="1"/>
  <c r="N278" i="1"/>
  <c r="N274" i="1"/>
  <c r="N270" i="1"/>
  <c r="O270" i="1" s="1"/>
  <c r="P270" i="1" s="1"/>
  <c r="N266" i="1"/>
  <c r="O266" i="1" s="1"/>
  <c r="P266" i="1" s="1"/>
  <c r="N262" i="1"/>
  <c r="N258" i="1"/>
  <c r="O258" i="1" s="1"/>
  <c r="P258" i="1" s="1"/>
  <c r="N254" i="1"/>
  <c r="O254" i="1" s="1"/>
  <c r="P254" i="1" s="1"/>
  <c r="N250" i="1"/>
  <c r="N246" i="1"/>
  <c r="N242" i="1"/>
  <c r="N238" i="1"/>
  <c r="O238" i="1" s="1"/>
  <c r="P238" i="1" s="1"/>
  <c r="N234" i="1"/>
  <c r="N230" i="1"/>
  <c r="O230" i="1" s="1"/>
  <c r="P230" i="1" s="1"/>
  <c r="N226" i="1"/>
  <c r="O226" i="1" s="1"/>
  <c r="P226" i="1" s="1"/>
  <c r="N222" i="1"/>
  <c r="O222" i="1" s="1"/>
  <c r="P222" i="1" s="1"/>
  <c r="N218" i="1"/>
  <c r="O218" i="1" s="1"/>
  <c r="P218" i="1" s="1"/>
  <c r="N214" i="1"/>
  <c r="N210" i="1"/>
  <c r="N206" i="1"/>
  <c r="O206" i="1" s="1"/>
  <c r="P206" i="1" s="1"/>
  <c r="N202" i="1"/>
  <c r="O202" i="1" s="1"/>
  <c r="P202" i="1" s="1"/>
  <c r="N198" i="1"/>
  <c r="N194" i="1"/>
  <c r="N190" i="1"/>
  <c r="N186" i="1"/>
  <c r="O186" i="1" s="1"/>
  <c r="P186" i="1" s="1"/>
  <c r="N182" i="1"/>
  <c r="O182" i="1" s="1"/>
  <c r="P182" i="1" s="1"/>
  <c r="N178" i="1"/>
  <c r="O178" i="1" s="1"/>
  <c r="P178" i="1" s="1"/>
  <c r="N174" i="1"/>
  <c r="O174" i="1" s="1"/>
  <c r="P174" i="1" s="1"/>
  <c r="N170" i="1"/>
  <c r="O170" i="1" s="1"/>
  <c r="P170" i="1" s="1"/>
  <c r="N166" i="1"/>
  <c r="O166" i="1" s="1"/>
  <c r="P166" i="1" s="1"/>
  <c r="N588" i="1"/>
  <c r="N489" i="1"/>
  <c r="O489" i="1" s="1"/>
  <c r="P489" i="1" s="1"/>
  <c r="N387" i="1"/>
  <c r="N345" i="1"/>
  <c r="N329" i="1"/>
  <c r="N162" i="1"/>
  <c r="N158" i="1"/>
  <c r="N154" i="1"/>
  <c r="N150" i="1"/>
  <c r="N146" i="1"/>
  <c r="O146" i="1" s="1"/>
  <c r="P146" i="1" s="1"/>
  <c r="N142" i="1"/>
  <c r="O142" i="1" s="1"/>
  <c r="P142" i="1" s="1"/>
  <c r="N138" i="1"/>
  <c r="N134" i="1"/>
  <c r="O134" i="1" s="1"/>
  <c r="P134" i="1" s="1"/>
  <c r="N130" i="1"/>
  <c r="O130" i="1" s="1"/>
  <c r="P130" i="1" s="1"/>
  <c r="N126" i="1"/>
  <c r="O126" i="1" s="1"/>
  <c r="P126" i="1" s="1"/>
  <c r="N122" i="1"/>
  <c r="N118" i="1"/>
  <c r="O118" i="1" s="1"/>
  <c r="P118" i="1" s="1"/>
  <c r="N114" i="1"/>
  <c r="N110" i="1"/>
  <c r="N106" i="1"/>
  <c r="N102" i="1"/>
  <c r="N98" i="1"/>
  <c r="O98" i="1" s="1"/>
  <c r="P98" i="1" s="1"/>
  <c r="N94" i="1"/>
  <c r="N90" i="1"/>
  <c r="N86" i="1"/>
  <c r="N82" i="1"/>
  <c r="O82" i="1" s="1"/>
  <c r="P82" i="1" s="1"/>
  <c r="N78" i="1"/>
  <c r="O78" i="1" s="1"/>
  <c r="P78" i="1" s="1"/>
  <c r="N74" i="1"/>
  <c r="N70" i="1"/>
  <c r="N66" i="1"/>
  <c r="O66" i="1" s="1"/>
  <c r="P66" i="1" s="1"/>
  <c r="N62" i="1"/>
  <c r="N58" i="1"/>
  <c r="N54" i="1"/>
  <c r="N50" i="1"/>
  <c r="O50" i="1" s="1"/>
  <c r="P50" i="1" s="1"/>
  <c r="N46" i="1"/>
  <c r="O46" i="1" s="1"/>
  <c r="P46" i="1" s="1"/>
  <c r="N479" i="1"/>
  <c r="N447" i="1"/>
  <c r="O447" i="1" s="1"/>
  <c r="P447" i="1" s="1"/>
  <c r="N367" i="1"/>
  <c r="O367" i="1" s="1"/>
  <c r="P367" i="1" s="1"/>
  <c r="N333" i="1"/>
  <c r="N317" i="1"/>
  <c r="O317" i="1" s="1"/>
  <c r="P317" i="1" s="1"/>
  <c r="N301" i="1"/>
  <c r="N277" i="1"/>
  <c r="N253" i="1"/>
  <c r="N229" i="1"/>
  <c r="O229" i="1" s="1"/>
  <c r="P229" i="1" s="1"/>
  <c r="N443" i="1"/>
  <c r="N371" i="1"/>
  <c r="N355" i="1"/>
  <c r="O355" i="1" s="1"/>
  <c r="P355" i="1" s="1"/>
  <c r="N321" i="1"/>
  <c r="O321" i="1" s="1"/>
  <c r="P321" i="1" s="1"/>
  <c r="N213" i="1"/>
  <c r="N197" i="1"/>
  <c r="O197" i="1" s="1"/>
  <c r="P197" i="1" s="1"/>
  <c r="N181" i="1"/>
  <c r="N168" i="1"/>
  <c r="O168" i="1" s="1"/>
  <c r="P168" i="1" s="1"/>
  <c r="N619" i="1"/>
  <c r="N613" i="1"/>
  <c r="N573" i="1"/>
  <c r="N467" i="1"/>
  <c r="N463" i="1"/>
  <c r="O463" i="1" s="1"/>
  <c r="P463" i="1" s="1"/>
  <c r="N359" i="1"/>
  <c r="O359" i="1" s="1"/>
  <c r="P359" i="1" s="1"/>
  <c r="N343" i="1"/>
  <c r="O343" i="1" s="1"/>
  <c r="P343" i="1" s="1"/>
  <c r="N309" i="1"/>
  <c r="O309" i="1" s="1"/>
  <c r="P309" i="1" s="1"/>
  <c r="N281" i="1"/>
  <c r="N257" i="1"/>
  <c r="O257" i="1" s="1"/>
  <c r="P257" i="1" s="1"/>
  <c r="N233" i="1"/>
  <c r="O233" i="1" s="1"/>
  <c r="P233" i="1" s="1"/>
  <c r="N172" i="1"/>
  <c r="N163" i="1"/>
  <c r="O163" i="1" s="1"/>
  <c r="P163" i="1" s="1"/>
  <c r="N159" i="1"/>
  <c r="N155" i="1"/>
  <c r="O155" i="1" s="1"/>
  <c r="P155" i="1" s="1"/>
  <c r="N151" i="1"/>
  <c r="O151" i="1" s="1"/>
  <c r="P151" i="1" s="1"/>
  <c r="N147" i="1"/>
  <c r="O147" i="1" s="1"/>
  <c r="P147" i="1" s="1"/>
  <c r="N143" i="1"/>
  <c r="O143" i="1" s="1"/>
  <c r="P143" i="1" s="1"/>
  <c r="N139" i="1"/>
  <c r="O139" i="1" s="1"/>
  <c r="P139" i="1" s="1"/>
  <c r="N135" i="1"/>
  <c r="N131" i="1"/>
  <c r="N127" i="1"/>
  <c r="O127" i="1" s="1"/>
  <c r="P127" i="1" s="1"/>
  <c r="N123" i="1"/>
  <c r="N119" i="1"/>
  <c r="N115" i="1"/>
  <c r="N111" i="1"/>
  <c r="O111" i="1" s="1"/>
  <c r="P111" i="1" s="1"/>
  <c r="N107" i="1"/>
  <c r="O107" i="1" s="1"/>
  <c r="P107" i="1" s="1"/>
  <c r="N103" i="1"/>
  <c r="O103" i="1" s="1"/>
  <c r="P103" i="1" s="1"/>
  <c r="N99" i="1"/>
  <c r="O99" i="1" s="1"/>
  <c r="P99" i="1" s="1"/>
  <c r="N95" i="1"/>
  <c r="O95" i="1" s="1"/>
  <c r="P95" i="1" s="1"/>
  <c r="N91" i="1"/>
  <c r="O91" i="1" s="1"/>
  <c r="P91" i="1" s="1"/>
  <c r="N87" i="1"/>
  <c r="N347" i="1"/>
  <c r="N331" i="1"/>
  <c r="O331" i="1" s="1"/>
  <c r="P331" i="1" s="1"/>
  <c r="N546" i="1"/>
  <c r="N535" i="1"/>
  <c r="N423" i="1"/>
  <c r="N335" i="1"/>
  <c r="N319" i="1"/>
  <c r="O319" i="1" s="1"/>
  <c r="P319" i="1" s="1"/>
  <c r="N305" i="1"/>
  <c r="O305" i="1" s="1"/>
  <c r="P305" i="1" s="1"/>
  <c r="N285" i="1"/>
  <c r="N261" i="1"/>
  <c r="O261" i="1" s="1"/>
  <c r="P261" i="1" s="1"/>
  <c r="N237" i="1"/>
  <c r="O237" i="1" s="1"/>
  <c r="P237" i="1" s="1"/>
  <c r="N217" i="1"/>
  <c r="N201" i="1"/>
  <c r="N185" i="1"/>
  <c r="O185" i="1" s="1"/>
  <c r="P185" i="1" s="1"/>
  <c r="N557" i="1"/>
  <c r="O557" i="1" s="1"/>
  <c r="P557" i="1" s="1"/>
  <c r="N369" i="1"/>
  <c r="N289" i="1"/>
  <c r="N80" i="1"/>
  <c r="N65" i="1"/>
  <c r="N56" i="1"/>
  <c r="N43" i="1"/>
  <c r="N32" i="1"/>
  <c r="N9" i="1"/>
  <c r="O9" i="1" s="1"/>
  <c r="P9" i="1" s="1"/>
  <c r="N5" i="1"/>
  <c r="N84" i="1"/>
  <c r="N69" i="1"/>
  <c r="N60" i="1"/>
  <c r="N33" i="1"/>
  <c r="O33" i="1" s="1"/>
  <c r="P33" i="1" s="1"/>
  <c r="N10" i="1"/>
  <c r="O10" i="1" s="1"/>
  <c r="P10" i="1" s="1"/>
  <c r="N225" i="1"/>
  <c r="O225" i="1" s="1"/>
  <c r="P225" i="1" s="1"/>
  <c r="N221" i="1"/>
  <c r="O221" i="1" s="1"/>
  <c r="P221" i="1" s="1"/>
  <c r="N169" i="1"/>
  <c r="O169" i="1" s="1"/>
  <c r="P169" i="1" s="1"/>
  <c r="N161" i="1"/>
  <c r="N156" i="1"/>
  <c r="O156" i="1" s="1"/>
  <c r="P156" i="1" s="1"/>
  <c r="N149" i="1"/>
  <c r="N144" i="1"/>
  <c r="N137" i="1"/>
  <c r="N132" i="1"/>
  <c r="O132" i="1" s="1"/>
  <c r="P132" i="1" s="1"/>
  <c r="N125" i="1"/>
  <c r="O125" i="1" s="1"/>
  <c r="P125" i="1" s="1"/>
  <c r="N120" i="1"/>
  <c r="O120" i="1" s="1"/>
  <c r="P120" i="1" s="1"/>
  <c r="N113" i="1"/>
  <c r="O113" i="1" s="1"/>
  <c r="P113" i="1" s="1"/>
  <c r="N108" i="1"/>
  <c r="N101" i="1"/>
  <c r="O101" i="1" s="1"/>
  <c r="P101" i="1" s="1"/>
  <c r="N96" i="1"/>
  <c r="O96" i="1" s="1"/>
  <c r="P96" i="1" s="1"/>
  <c r="N89" i="1"/>
  <c r="N67" i="1"/>
  <c r="O67" i="1" s="1"/>
  <c r="P67" i="1" s="1"/>
  <c r="N38" i="1"/>
  <c r="O38" i="1" s="1"/>
  <c r="P38" i="1" s="1"/>
  <c r="N27" i="1"/>
  <c r="N21" i="1"/>
  <c r="N15" i="1"/>
  <c r="O15" i="1" s="1"/>
  <c r="P15" i="1" s="1"/>
  <c r="N501" i="1"/>
  <c r="O501" i="1" s="1"/>
  <c r="P501" i="1" s="1"/>
  <c r="N391" i="1"/>
  <c r="O391" i="1" s="1"/>
  <c r="P391" i="1" s="1"/>
  <c r="N357" i="1"/>
  <c r="O357" i="1" s="1"/>
  <c r="P357" i="1" s="1"/>
  <c r="N44" i="1"/>
  <c r="O44" i="1" s="1"/>
  <c r="P44" i="1" s="1"/>
  <c r="N273" i="1"/>
  <c r="N193" i="1"/>
  <c r="O193" i="1" s="1"/>
  <c r="P193" i="1" s="1"/>
  <c r="N189" i="1"/>
  <c r="N71" i="1"/>
  <c r="O71" i="1" s="1"/>
  <c r="P71" i="1" s="1"/>
  <c r="N47" i="1"/>
  <c r="O47" i="1" s="1"/>
  <c r="P47" i="1" s="1"/>
  <c r="N39" i="1"/>
  <c r="N28" i="1"/>
  <c r="N22" i="1"/>
  <c r="O22" i="1" s="1"/>
  <c r="P22" i="1" s="1"/>
  <c r="N16" i="1"/>
  <c r="N11" i="1"/>
  <c r="O11" i="1" s="1"/>
  <c r="P11" i="1" s="1"/>
  <c r="N6" i="1"/>
  <c r="O6" i="1" s="1"/>
  <c r="P6" i="1" s="1"/>
  <c r="N148" i="1"/>
  <c r="O148" i="1" s="1"/>
  <c r="P148" i="1" s="1"/>
  <c r="N124" i="1"/>
  <c r="O124" i="1" s="1"/>
  <c r="P124" i="1" s="1"/>
  <c r="N117" i="1"/>
  <c r="N112" i="1"/>
  <c r="N100" i="1"/>
  <c r="O100" i="1" s="1"/>
  <c r="P100" i="1" s="1"/>
  <c r="N88" i="1"/>
  <c r="N75" i="1"/>
  <c r="N51" i="1"/>
  <c r="O51" i="1" s="1"/>
  <c r="P51" i="1" s="1"/>
  <c r="N269" i="1"/>
  <c r="O269" i="1" s="1"/>
  <c r="P269" i="1" s="1"/>
  <c r="N73" i="1"/>
  <c r="N64" i="1"/>
  <c r="O64" i="1" s="1"/>
  <c r="P64" i="1" s="1"/>
  <c r="N49" i="1"/>
  <c r="N45" i="1"/>
  <c r="O45" i="1" s="1"/>
  <c r="P45" i="1" s="1"/>
  <c r="N34" i="1"/>
  <c r="O34" i="1" s="1"/>
  <c r="P34" i="1" s="1"/>
  <c r="N165" i="1"/>
  <c r="N160" i="1"/>
  <c r="N153" i="1"/>
  <c r="O153" i="1" s="1"/>
  <c r="P153" i="1" s="1"/>
  <c r="N141" i="1"/>
  <c r="O141" i="1" s="1"/>
  <c r="P141" i="1" s="1"/>
  <c r="N136" i="1"/>
  <c r="O136" i="1" s="1"/>
  <c r="P136" i="1" s="1"/>
  <c r="N129" i="1"/>
  <c r="N105" i="1"/>
  <c r="O105" i="1" s="1"/>
  <c r="P105" i="1" s="1"/>
  <c r="N93" i="1"/>
  <c r="O93" i="1" s="1"/>
  <c r="P93" i="1" s="1"/>
  <c r="N40" i="1"/>
  <c r="O40" i="1" s="1"/>
  <c r="P40" i="1" s="1"/>
  <c r="N639" i="1"/>
  <c r="O639" i="1" s="1"/>
  <c r="P639" i="1" s="1"/>
  <c r="N431" i="1"/>
  <c r="N365" i="1"/>
  <c r="O365" i="1" s="1"/>
  <c r="P365" i="1" s="1"/>
  <c r="N485" i="1"/>
  <c r="O485" i="1" s="1"/>
  <c r="P485" i="1" s="1"/>
  <c r="N455" i="1"/>
  <c r="N435" i="1"/>
  <c r="O435" i="1" s="1"/>
  <c r="P435" i="1" s="1"/>
  <c r="N353" i="1"/>
  <c r="O353" i="1" s="1"/>
  <c r="P353" i="1" s="1"/>
  <c r="N341" i="1"/>
  <c r="N323" i="1"/>
  <c r="N297" i="1"/>
  <c r="O297" i="1" s="1"/>
  <c r="P297" i="1" s="1"/>
  <c r="N245" i="1"/>
  <c r="N164" i="1"/>
  <c r="N157" i="1"/>
  <c r="N152" i="1"/>
  <c r="N145" i="1"/>
  <c r="O145" i="1" s="1"/>
  <c r="P145" i="1" s="1"/>
  <c r="N140" i="1"/>
  <c r="N133" i="1"/>
  <c r="N128" i="1"/>
  <c r="O128" i="1" s="1"/>
  <c r="P128" i="1" s="1"/>
  <c r="N121" i="1"/>
  <c r="O121" i="1" s="1"/>
  <c r="P121" i="1" s="1"/>
  <c r="N116" i="1"/>
  <c r="O116" i="1" s="1"/>
  <c r="P116" i="1" s="1"/>
  <c r="N109" i="1"/>
  <c r="N104" i="1"/>
  <c r="O104" i="1" s="1"/>
  <c r="P104" i="1" s="1"/>
  <c r="N97" i="1"/>
  <c r="N92" i="1"/>
  <c r="N83" i="1"/>
  <c r="N59" i="1"/>
  <c r="N42" i="1"/>
  <c r="O42" i="1" s="1"/>
  <c r="P42" i="1" s="1"/>
  <c r="N36" i="1"/>
  <c r="N25" i="1"/>
  <c r="O25" i="1" s="1"/>
  <c r="P25" i="1" s="1"/>
  <c r="N19" i="1"/>
  <c r="O19" i="1" s="1"/>
  <c r="P19" i="1" s="1"/>
  <c r="N293" i="1"/>
  <c r="O293" i="1" s="1"/>
  <c r="P293" i="1" s="1"/>
  <c r="N177" i="1"/>
  <c r="N209" i="1"/>
  <c r="O209" i="1" s="1"/>
  <c r="P209" i="1" s="1"/>
  <c r="N55" i="1"/>
  <c r="O55" i="1" s="1"/>
  <c r="P55" i="1" s="1"/>
  <c r="N35" i="1"/>
  <c r="N18" i="1"/>
  <c r="N61" i="1"/>
  <c r="N23" i="1"/>
  <c r="O23" i="1" s="1"/>
  <c r="P23" i="1" s="1"/>
  <c r="N265" i="1"/>
  <c r="O265" i="1" s="1"/>
  <c r="P265" i="1" s="1"/>
  <c r="N241" i="1"/>
  <c r="O241" i="1" s="1"/>
  <c r="P241" i="1" s="1"/>
  <c r="N77" i="1"/>
  <c r="N63" i="1"/>
  <c r="O63" i="1" s="1"/>
  <c r="P63" i="1" s="1"/>
  <c r="N48" i="1"/>
  <c r="N20" i="1"/>
  <c r="N7" i="1"/>
  <c r="O7" i="1" s="1"/>
  <c r="P7" i="1" s="1"/>
  <c r="N3" i="1"/>
  <c r="O3" i="1" s="1"/>
  <c r="N53" i="1"/>
  <c r="O53" i="1" s="1"/>
  <c r="P53" i="1" s="1"/>
  <c r="N31" i="1"/>
  <c r="O31" i="1" s="1"/>
  <c r="P31" i="1" s="1"/>
  <c r="N403" i="1"/>
  <c r="O403" i="1" s="1"/>
  <c r="P403" i="1" s="1"/>
  <c r="N57" i="1"/>
  <c r="O57" i="1" s="1"/>
  <c r="P57" i="1" s="1"/>
  <c r="N85" i="1"/>
  <c r="N81" i="1"/>
  <c r="N37" i="1"/>
  <c r="O37" i="1" s="1"/>
  <c r="P37" i="1" s="1"/>
  <c r="N24" i="1"/>
  <c r="O24" i="1" s="1"/>
  <c r="P24" i="1" s="1"/>
  <c r="N13" i="1"/>
  <c r="N249" i="1"/>
  <c r="N41" i="1"/>
  <c r="O41" i="1" s="1"/>
  <c r="P41" i="1" s="1"/>
  <c r="N72" i="1"/>
  <c r="N8" i="1"/>
  <c r="N30" i="1"/>
  <c r="O30" i="1" s="1"/>
  <c r="P30" i="1" s="1"/>
  <c r="N26" i="1"/>
  <c r="N205" i="1"/>
  <c r="O205" i="1" s="1"/>
  <c r="P205" i="1" s="1"/>
  <c r="N307" i="1"/>
  <c r="O307" i="1" s="1"/>
  <c r="P307" i="1" s="1"/>
  <c r="N68" i="1"/>
  <c r="N584" i="1"/>
  <c r="O584" i="1" s="1"/>
  <c r="P584" i="1" s="1"/>
  <c r="N79" i="1"/>
  <c r="O79" i="1" s="1"/>
  <c r="P79" i="1" s="1"/>
  <c r="N407" i="1"/>
  <c r="O407" i="1" s="1"/>
  <c r="P407" i="1" s="1"/>
  <c r="N311" i="1"/>
  <c r="N497" i="1"/>
  <c r="O497" i="1" s="1"/>
  <c r="P497" i="1" s="1"/>
  <c r="N76" i="1"/>
  <c r="N17" i="1"/>
  <c r="O17" i="1" s="1"/>
  <c r="P17" i="1" s="1"/>
  <c r="N419" i="1"/>
  <c r="O419" i="1" s="1"/>
  <c r="P419" i="1" s="1"/>
  <c r="N29" i="1"/>
  <c r="N12" i="1"/>
  <c r="O12" i="1" s="1"/>
  <c r="P12" i="1" s="1"/>
  <c r="N4" i="1"/>
  <c r="N481" i="1"/>
  <c r="O481" i="1" s="1"/>
  <c r="P481" i="1" s="1"/>
  <c r="N173" i="1"/>
  <c r="O173" i="1" s="1"/>
  <c r="P173" i="1" s="1"/>
  <c r="N52" i="1"/>
  <c r="O52" i="1" s="1"/>
  <c r="P52" i="1" s="1"/>
  <c r="N14" i="1"/>
  <c r="O282" i="1"/>
  <c r="P282" i="1" s="1"/>
  <c r="O160" i="1"/>
  <c r="P160" i="1" s="1"/>
  <c r="O376" i="1"/>
  <c r="P376" i="1" s="1"/>
  <c r="O119" i="1"/>
  <c r="P119" i="1" s="1"/>
  <c r="O172" i="1"/>
  <c r="P172" i="1" s="1"/>
  <c r="O244" i="1"/>
  <c r="P244" i="1" s="1"/>
  <c r="O440" i="1"/>
  <c r="P440" i="1" s="1"/>
  <c r="O90" i="1"/>
  <c r="P90" i="1" s="1"/>
  <c r="O138" i="1"/>
  <c r="P138" i="1" s="1"/>
  <c r="O220" i="1"/>
  <c r="P220" i="1" s="1"/>
  <c r="O415" i="1"/>
  <c r="P415" i="1" s="1"/>
  <c r="O431" i="1"/>
  <c r="P431" i="1" s="1"/>
  <c r="O315" i="1"/>
  <c r="P315" i="1" s="1"/>
  <c r="O344" i="1"/>
  <c r="P344" i="1" s="1"/>
  <c r="O167" i="1"/>
  <c r="P167" i="1" s="1"/>
  <c r="O215" i="1"/>
  <c r="P215" i="1" s="1"/>
  <c r="O263" i="1"/>
  <c r="P263" i="1" s="1"/>
  <c r="O388" i="1"/>
  <c r="P388" i="1" s="1"/>
  <c r="O311" i="1"/>
  <c r="P311" i="1" s="1"/>
  <c r="O506" i="1"/>
  <c r="P506" i="1" s="1"/>
  <c r="O326" i="1"/>
  <c r="P326" i="1" s="1"/>
  <c r="O374" i="1"/>
  <c r="P374" i="1" s="1"/>
  <c r="O422" i="1"/>
  <c r="P422" i="1" s="1"/>
  <c r="O470" i="1"/>
  <c r="P470" i="1" s="1"/>
  <c r="O545" i="1"/>
  <c r="P545" i="1" s="1"/>
  <c r="O325" i="1"/>
  <c r="P325" i="1" s="1"/>
  <c r="O373" i="1"/>
  <c r="P373" i="1" s="1"/>
  <c r="O421" i="1"/>
  <c r="P421" i="1" s="1"/>
  <c r="O469" i="1"/>
  <c r="P469" i="1" s="1"/>
  <c r="O522" i="1"/>
  <c r="P522" i="1" s="1"/>
  <c r="O484" i="1"/>
  <c r="P484" i="1" s="1"/>
  <c r="O532" i="1"/>
  <c r="P532" i="1" s="1"/>
  <c r="O626" i="1"/>
  <c r="P626" i="1" s="1"/>
  <c r="O527" i="1"/>
  <c r="P527" i="1" s="1"/>
  <c r="O704" i="1"/>
  <c r="P704" i="1" s="1"/>
  <c r="O638" i="1"/>
  <c r="P638" i="1" s="1"/>
  <c r="O561" i="1"/>
  <c r="P561" i="1" s="1"/>
  <c r="O576" i="1"/>
  <c r="P576" i="1" s="1"/>
  <c r="O624" i="1"/>
  <c r="P624" i="1" s="1"/>
  <c r="O698" i="1"/>
  <c r="P698" i="1" s="1"/>
  <c r="O746" i="1"/>
  <c r="P746" i="1" s="1"/>
  <c r="O661" i="1"/>
  <c r="P661" i="1" s="1"/>
  <c r="O81" i="1"/>
  <c r="P81" i="1" s="1"/>
  <c r="S41" i="1"/>
  <c r="O109" i="1"/>
  <c r="P109" i="1" s="1"/>
  <c r="O428" i="1"/>
  <c r="P428" i="1" s="1"/>
  <c r="O18" i="1"/>
  <c r="P18" i="1" s="1"/>
  <c r="O176" i="1"/>
  <c r="P176" i="1" s="1"/>
  <c r="O336" i="1"/>
  <c r="P336" i="1" s="1"/>
  <c r="O378" i="1"/>
  <c r="P378" i="1" s="1"/>
  <c r="O164" i="1"/>
  <c r="P164" i="1" s="1"/>
  <c r="O212" i="1"/>
  <c r="P212" i="1" s="1"/>
  <c r="O60" i="1"/>
  <c r="P60" i="1" s="1"/>
  <c r="O133" i="1"/>
  <c r="P133" i="1" s="1"/>
  <c r="O280" i="1"/>
  <c r="P280" i="1" s="1"/>
  <c r="O75" i="1"/>
  <c r="P75" i="1" s="1"/>
  <c r="O253" i="1"/>
  <c r="P253" i="1" s="1"/>
  <c r="O249" i="1"/>
  <c r="P249" i="1" s="1"/>
  <c r="O267" i="1"/>
  <c r="P267" i="1" s="1"/>
  <c r="O474" i="1"/>
  <c r="P474" i="1" s="1"/>
  <c r="O278" i="1"/>
  <c r="P278" i="1" s="1"/>
  <c r="O88" i="1"/>
  <c r="P88" i="1" s="1"/>
  <c r="O448" i="1"/>
  <c r="P448" i="1" s="1"/>
  <c r="S20" i="1"/>
  <c r="S22" i="1" s="1"/>
  <c r="O97" i="1"/>
  <c r="P97" i="1" s="1"/>
  <c r="O39" i="1"/>
  <c r="P39" i="1" s="1"/>
  <c r="O84" i="1"/>
  <c r="P84" i="1" s="1"/>
  <c r="O21" i="1"/>
  <c r="P21" i="1" s="1"/>
  <c r="O144" i="1"/>
  <c r="P144" i="1" s="1"/>
  <c r="O289" i="1"/>
  <c r="P289" i="1" s="1"/>
  <c r="O32" i="1"/>
  <c r="P32" i="1" s="1"/>
  <c r="O76" i="1"/>
  <c r="P76" i="1" s="1"/>
  <c r="O190" i="1"/>
  <c r="P190" i="1" s="1"/>
  <c r="O281" i="1"/>
  <c r="P281" i="1" s="1"/>
  <c r="O352" i="1"/>
  <c r="P352" i="1" s="1"/>
  <c r="O262" i="1"/>
  <c r="P262" i="1" s="1"/>
  <c r="O475" i="1"/>
  <c r="P475" i="1" s="1"/>
  <c r="O455" i="1"/>
  <c r="P455" i="1" s="1"/>
  <c r="O339" i="1"/>
  <c r="P339" i="1" s="1"/>
  <c r="O368" i="1"/>
  <c r="P368" i="1" s="1"/>
  <c r="O175" i="1"/>
  <c r="P175" i="1" s="1"/>
  <c r="O223" i="1"/>
  <c r="P223" i="1" s="1"/>
  <c r="O271" i="1"/>
  <c r="P271" i="1" s="1"/>
  <c r="O459" i="1"/>
  <c r="P459" i="1" s="1"/>
  <c r="O335" i="1"/>
  <c r="P335" i="1" s="1"/>
  <c r="O549" i="1"/>
  <c r="P549" i="1" s="1"/>
  <c r="O334" i="1"/>
  <c r="P334" i="1" s="1"/>
  <c r="O382" i="1"/>
  <c r="P382" i="1" s="1"/>
  <c r="O430" i="1"/>
  <c r="P430" i="1" s="1"/>
  <c r="O494" i="1"/>
  <c r="P494" i="1" s="1"/>
  <c r="O649" i="1"/>
  <c r="P649" i="1" s="1"/>
  <c r="O333" i="1"/>
  <c r="P333" i="1" s="1"/>
  <c r="O429" i="1"/>
  <c r="P429" i="1" s="1"/>
  <c r="O478" i="1"/>
  <c r="P478" i="1" s="1"/>
  <c r="O634" i="1"/>
  <c r="P634" i="1" s="1"/>
  <c r="O487" i="1"/>
  <c r="P487" i="1" s="1"/>
  <c r="O535" i="1"/>
  <c r="P535" i="1" s="1"/>
  <c r="O736" i="1"/>
  <c r="P736" i="1" s="1"/>
  <c r="O569" i="1"/>
  <c r="P569" i="1" s="1"/>
  <c r="O617" i="1"/>
  <c r="P617" i="1" s="1"/>
  <c r="O632" i="1"/>
  <c r="P632" i="1" s="1"/>
  <c r="O754" i="1"/>
  <c r="P754" i="1" s="1"/>
  <c r="O669" i="1"/>
  <c r="P669" i="1" s="1"/>
  <c r="O676" i="1"/>
  <c r="P676" i="1" s="1"/>
  <c r="O701" i="1"/>
  <c r="P701" i="1" s="1"/>
  <c r="O725" i="1"/>
  <c r="P725" i="1" s="1"/>
  <c r="O749" i="1"/>
  <c r="P749" i="1" s="1"/>
  <c r="O773" i="1"/>
  <c r="P773" i="1" s="1"/>
  <c r="O659" i="1"/>
  <c r="P659" i="1" s="1"/>
  <c r="O234" i="1"/>
  <c r="P234" i="1" s="1"/>
  <c r="S21" i="1"/>
  <c r="O49" i="1"/>
  <c r="P49" i="1" s="1"/>
  <c r="O284" i="1"/>
  <c r="P284" i="1" s="1"/>
  <c r="O117" i="1"/>
  <c r="P117" i="1" s="1"/>
  <c r="O201" i="1"/>
  <c r="P201" i="1" s="1"/>
  <c r="O69" i="1"/>
  <c r="P69" i="1" s="1"/>
  <c r="O123" i="1"/>
  <c r="P123" i="1" s="1"/>
  <c r="O181" i="1"/>
  <c r="P181" i="1" s="1"/>
  <c r="O424" i="1"/>
  <c r="P424" i="1" s="1"/>
  <c r="O171" i="1"/>
  <c r="P171" i="1" s="1"/>
  <c r="O323" i="1"/>
  <c r="P323" i="1" s="1"/>
  <c r="O330" i="1"/>
  <c r="P330" i="1" s="1"/>
  <c r="O579" i="1"/>
  <c r="P579" i="1" s="1"/>
  <c r="O377" i="1"/>
  <c r="P377" i="1" s="1"/>
  <c r="O488" i="1"/>
  <c r="P488" i="1" s="1"/>
  <c r="O606" i="1"/>
  <c r="P606" i="1" s="1"/>
  <c r="O531" i="1"/>
  <c r="P531" i="1" s="1"/>
  <c r="O611" i="1"/>
  <c r="P611" i="1" s="1"/>
  <c r="O613" i="1"/>
  <c r="P613" i="1" s="1"/>
  <c r="O628" i="1"/>
  <c r="P628" i="1" s="1"/>
  <c r="O750" i="1"/>
  <c r="P750" i="1" s="1"/>
  <c r="O723" i="1"/>
  <c r="P723" i="1" s="1"/>
  <c r="O43" i="1"/>
  <c r="P43" i="1" s="1"/>
  <c r="O85" i="1"/>
  <c r="P85" i="1" s="1"/>
  <c r="O83" i="1"/>
  <c r="P83" i="1" s="1"/>
  <c r="O131" i="1"/>
  <c r="P131" i="1" s="1"/>
  <c r="O294" i="1"/>
  <c r="P294" i="1" s="1"/>
  <c r="O213" i="1"/>
  <c r="P213" i="1" s="1"/>
  <c r="O268" i="1"/>
  <c r="P268" i="1" s="1"/>
  <c r="O54" i="1"/>
  <c r="P54" i="1" s="1"/>
  <c r="O102" i="1"/>
  <c r="P102" i="1" s="1"/>
  <c r="O150" i="1"/>
  <c r="P150" i="1" s="1"/>
  <c r="O408" i="1"/>
  <c r="P408" i="1" s="1"/>
  <c r="O264" i="1"/>
  <c r="P264" i="1" s="1"/>
  <c r="O614" i="1"/>
  <c r="P614" i="1" s="1"/>
  <c r="O460" i="1"/>
  <c r="P460" i="1" s="1"/>
  <c r="O395" i="1"/>
  <c r="P395" i="1" s="1"/>
  <c r="O179" i="1"/>
  <c r="P179" i="1" s="1"/>
  <c r="O227" i="1"/>
  <c r="P227" i="1" s="1"/>
  <c r="O275" i="1"/>
  <c r="P275" i="1" s="1"/>
  <c r="O347" i="1"/>
  <c r="P347" i="1" s="1"/>
  <c r="O338" i="1"/>
  <c r="P338" i="1" s="1"/>
  <c r="O386" i="1"/>
  <c r="P386" i="1" s="1"/>
  <c r="O434" i="1"/>
  <c r="P434" i="1" s="1"/>
  <c r="O514" i="1"/>
  <c r="P514" i="1" s="1"/>
  <c r="O486" i="1"/>
  <c r="P486" i="1" s="1"/>
  <c r="O337" i="1"/>
  <c r="P337" i="1" s="1"/>
  <c r="O385" i="1"/>
  <c r="P385" i="1" s="1"/>
  <c r="O433" i="1"/>
  <c r="P433" i="1" s="1"/>
  <c r="O482" i="1"/>
  <c r="P482" i="1" s="1"/>
  <c r="O692" i="1"/>
  <c r="P692" i="1" s="1"/>
  <c r="O752" i="1"/>
  <c r="P752" i="1" s="1"/>
  <c r="O619" i="1"/>
  <c r="P619" i="1" s="1"/>
  <c r="O573" i="1"/>
  <c r="P573" i="1" s="1"/>
  <c r="O621" i="1"/>
  <c r="P621" i="1" s="1"/>
  <c r="O588" i="1"/>
  <c r="P588" i="1" s="1"/>
  <c r="O636" i="1"/>
  <c r="P636" i="1" s="1"/>
  <c r="O710" i="1"/>
  <c r="P710" i="1" s="1"/>
  <c r="O758" i="1"/>
  <c r="P758" i="1" s="1"/>
  <c r="O751" i="1"/>
  <c r="P751" i="1" s="1"/>
  <c r="O663" i="1"/>
  <c r="P663" i="1" s="1"/>
  <c r="O274" i="1"/>
  <c r="P274" i="1" s="1"/>
  <c r="O73" i="1"/>
  <c r="P73" i="1" s="1"/>
  <c r="O29" i="1"/>
  <c r="P29" i="1" s="1"/>
  <c r="O5" i="1"/>
  <c r="P5" i="1" s="1"/>
  <c r="O137" i="1"/>
  <c r="P137" i="1" s="1"/>
  <c r="O61" i="1"/>
  <c r="P61" i="1" s="1"/>
  <c r="O272" i="1"/>
  <c r="P272" i="1" s="1"/>
  <c r="O94" i="1"/>
  <c r="P94" i="1" s="1"/>
  <c r="O443" i="1"/>
  <c r="P443" i="1" s="1"/>
  <c r="O219" i="1"/>
  <c r="P219" i="1" s="1"/>
  <c r="O518" i="1"/>
  <c r="P518" i="1" s="1"/>
  <c r="O426" i="1"/>
  <c r="P426" i="1" s="1"/>
  <c r="O329" i="1"/>
  <c r="P329" i="1" s="1"/>
  <c r="O425" i="1"/>
  <c r="P425" i="1" s="1"/>
  <c r="O473" i="1"/>
  <c r="P473" i="1" s="1"/>
  <c r="O536" i="1"/>
  <c r="P536" i="1" s="1"/>
  <c r="O483" i="1"/>
  <c r="P483" i="1" s="1"/>
  <c r="O720" i="1"/>
  <c r="P720" i="1" s="1"/>
  <c r="O565" i="1"/>
  <c r="P565" i="1" s="1"/>
  <c r="O580" i="1"/>
  <c r="P580" i="1" s="1"/>
  <c r="O702" i="1"/>
  <c r="P702" i="1" s="1"/>
  <c r="O672" i="1"/>
  <c r="P672" i="1" s="1"/>
  <c r="O699" i="1"/>
  <c r="P699" i="1" s="1"/>
  <c r="O747" i="1"/>
  <c r="P747" i="1" s="1"/>
  <c r="O771" i="1"/>
  <c r="P771" i="1" s="1"/>
  <c r="O655" i="1"/>
  <c r="P655" i="1" s="1"/>
  <c r="O77" i="1"/>
  <c r="P77" i="1" s="1"/>
  <c r="O112" i="1"/>
  <c r="P112" i="1" s="1"/>
  <c r="O35" i="1"/>
  <c r="P35" i="1" s="1"/>
  <c r="O189" i="1"/>
  <c r="P189" i="1" s="1"/>
  <c r="O214" i="1"/>
  <c r="P214" i="1" s="1"/>
  <c r="O27" i="1"/>
  <c r="P27" i="1" s="1"/>
  <c r="O149" i="1"/>
  <c r="P149" i="1" s="1"/>
  <c r="O210" i="1"/>
  <c r="P210" i="1" s="1"/>
  <c r="O217" i="1"/>
  <c r="P217" i="1" s="1"/>
  <c r="O20" i="1"/>
  <c r="P20" i="1" s="1"/>
  <c r="O56" i="1"/>
  <c r="P56" i="1" s="1"/>
  <c r="O194" i="1"/>
  <c r="P194" i="1" s="1"/>
  <c r="O87" i="1"/>
  <c r="P87" i="1" s="1"/>
  <c r="O135" i="1"/>
  <c r="P135" i="1" s="1"/>
  <c r="O296" i="1"/>
  <c r="P296" i="1" s="1"/>
  <c r="O312" i="1"/>
  <c r="P312" i="1" s="1"/>
  <c r="O277" i="1"/>
  <c r="P277" i="1" s="1"/>
  <c r="O58" i="1"/>
  <c r="P58" i="1" s="1"/>
  <c r="O106" i="1"/>
  <c r="P106" i="1" s="1"/>
  <c r="O154" i="1"/>
  <c r="P154" i="1" s="1"/>
  <c r="O471" i="1"/>
  <c r="P471" i="1" s="1"/>
  <c r="O273" i="1"/>
  <c r="P273" i="1" s="1"/>
  <c r="O360" i="1"/>
  <c r="P360" i="1" s="1"/>
  <c r="O363" i="1"/>
  <c r="P363" i="1" s="1"/>
  <c r="O411" i="1"/>
  <c r="P411" i="1" s="1"/>
  <c r="O183" i="1"/>
  <c r="P183" i="1" s="1"/>
  <c r="O231" i="1"/>
  <c r="P231" i="1" s="1"/>
  <c r="O279" i="1"/>
  <c r="P279" i="1" s="1"/>
  <c r="O630" i="1"/>
  <c r="P630" i="1" s="1"/>
  <c r="O342" i="1"/>
  <c r="P342" i="1" s="1"/>
  <c r="O390" i="1"/>
  <c r="P390" i="1" s="1"/>
  <c r="O438" i="1"/>
  <c r="P438" i="1" s="1"/>
  <c r="O526" i="1"/>
  <c r="P526" i="1" s="1"/>
  <c r="O558" i="1"/>
  <c r="P558" i="1" s="1"/>
  <c r="O341" i="1"/>
  <c r="P341" i="1" s="1"/>
  <c r="O389" i="1"/>
  <c r="P389" i="1" s="1"/>
  <c r="O437" i="1"/>
  <c r="P437" i="1" s="1"/>
  <c r="O505" i="1"/>
  <c r="P505" i="1" s="1"/>
  <c r="O546" i="1"/>
  <c r="P546" i="1" s="1"/>
  <c r="O500" i="1"/>
  <c r="P500" i="1" s="1"/>
  <c r="O548" i="1"/>
  <c r="P548" i="1" s="1"/>
  <c r="O708" i="1"/>
  <c r="P708" i="1" s="1"/>
  <c r="O495" i="1"/>
  <c r="P495" i="1" s="1"/>
  <c r="O543" i="1"/>
  <c r="P543" i="1" s="1"/>
  <c r="O768" i="1"/>
  <c r="P768" i="1" s="1"/>
  <c r="O623" i="1"/>
  <c r="P623" i="1" s="1"/>
  <c r="O577" i="1"/>
  <c r="P577" i="1" s="1"/>
  <c r="O625" i="1"/>
  <c r="P625" i="1" s="1"/>
  <c r="O592" i="1"/>
  <c r="P592" i="1" s="1"/>
  <c r="O674" i="1"/>
  <c r="P674" i="1" s="1"/>
  <c r="O714" i="1"/>
  <c r="P714" i="1" s="1"/>
  <c r="O762" i="1"/>
  <c r="P762" i="1" s="1"/>
  <c r="O729" i="1"/>
  <c r="P729" i="1" s="1"/>
  <c r="O753" i="1"/>
  <c r="P753" i="1" s="1"/>
  <c r="O667" i="1"/>
  <c r="P667" i="1" s="1"/>
  <c r="O48" i="1"/>
  <c r="P48" i="1" s="1"/>
  <c r="O92" i="1"/>
  <c r="P92" i="1" s="1"/>
  <c r="O157" i="1"/>
  <c r="P157" i="1" s="1"/>
  <c r="O68" i="1"/>
  <c r="P68" i="1" s="1"/>
  <c r="O72" i="1"/>
  <c r="P72" i="1" s="1"/>
  <c r="O260" i="1"/>
  <c r="P260" i="1" s="1"/>
  <c r="O250" i="1"/>
  <c r="P250" i="1" s="1"/>
  <c r="O89" i="1"/>
  <c r="P89" i="1" s="1"/>
  <c r="O161" i="1"/>
  <c r="P161" i="1" s="1"/>
  <c r="O26" i="1"/>
  <c r="P26" i="1" s="1"/>
  <c r="O65" i="1"/>
  <c r="P65" i="1" s="1"/>
  <c r="O232" i="1"/>
  <c r="P232" i="1" s="1"/>
  <c r="O208" i="1"/>
  <c r="P208" i="1" s="1"/>
  <c r="O316" i="1"/>
  <c r="P316" i="1" s="1"/>
  <c r="O328" i="1"/>
  <c r="P328" i="1" s="1"/>
  <c r="O290" i="1"/>
  <c r="P290" i="1" s="1"/>
  <c r="O62" i="1"/>
  <c r="P62" i="1" s="1"/>
  <c r="O110" i="1"/>
  <c r="P110" i="1" s="1"/>
  <c r="O158" i="1"/>
  <c r="P158" i="1" s="1"/>
  <c r="O479" i="1"/>
  <c r="P479" i="1" s="1"/>
  <c r="O286" i="1"/>
  <c r="P286" i="1" s="1"/>
  <c r="O493" i="1"/>
  <c r="P493" i="1" s="1"/>
  <c r="O379" i="1"/>
  <c r="P379" i="1" s="1"/>
  <c r="O187" i="1"/>
  <c r="P187" i="1" s="1"/>
  <c r="O235" i="1"/>
  <c r="P235" i="1" s="1"/>
  <c r="O283" i="1"/>
  <c r="P283" i="1" s="1"/>
  <c r="O680" i="1"/>
  <c r="P680" i="1" s="1"/>
  <c r="O371" i="1"/>
  <c r="P371" i="1" s="1"/>
  <c r="O622" i="1"/>
  <c r="P622" i="1" s="1"/>
  <c r="O346" i="1"/>
  <c r="P346" i="1" s="1"/>
  <c r="O394" i="1"/>
  <c r="P394" i="1" s="1"/>
  <c r="O442" i="1"/>
  <c r="P442" i="1" s="1"/>
  <c r="O533" i="1"/>
  <c r="P533" i="1" s="1"/>
  <c r="O696" i="1"/>
  <c r="P696" i="1" s="1"/>
  <c r="O345" i="1"/>
  <c r="P345" i="1" s="1"/>
  <c r="O393" i="1"/>
  <c r="P393" i="1" s="1"/>
  <c r="O441" i="1"/>
  <c r="P441" i="1" s="1"/>
  <c r="O517" i="1"/>
  <c r="P517" i="1" s="1"/>
  <c r="O598" i="1"/>
  <c r="P598" i="1" s="1"/>
  <c r="O504" i="1"/>
  <c r="P504" i="1" s="1"/>
  <c r="O552" i="1"/>
  <c r="P552" i="1" s="1"/>
  <c r="O724" i="1"/>
  <c r="P724" i="1" s="1"/>
  <c r="O499" i="1"/>
  <c r="P499" i="1" s="1"/>
  <c r="O547" i="1"/>
  <c r="P547" i="1" s="1"/>
  <c r="O784" i="1"/>
  <c r="P784" i="1" s="1"/>
  <c r="O627" i="1"/>
  <c r="P627" i="1" s="1"/>
  <c r="O581" i="1"/>
  <c r="P581" i="1" s="1"/>
  <c r="O629" i="1"/>
  <c r="P629" i="1" s="1"/>
  <c r="O596" i="1"/>
  <c r="P596" i="1" s="1"/>
  <c r="O645" i="1"/>
  <c r="P645" i="1" s="1"/>
  <c r="O718" i="1"/>
  <c r="P718" i="1" s="1"/>
  <c r="O766" i="1"/>
  <c r="P766" i="1" s="1"/>
  <c r="O640" i="1"/>
  <c r="P640" i="1" s="1"/>
  <c r="O683" i="1"/>
  <c r="P683" i="1" s="1"/>
  <c r="O707" i="1"/>
  <c r="P707" i="1" s="1"/>
  <c r="O731" i="1"/>
  <c r="P731" i="1" s="1"/>
  <c r="O755" i="1"/>
  <c r="P755" i="1" s="1"/>
  <c r="O779" i="1"/>
  <c r="P779" i="1" s="1"/>
  <c r="O671" i="1"/>
  <c r="P671" i="1" s="1"/>
  <c r="O152" i="1"/>
  <c r="P152" i="1" s="1"/>
  <c r="O245" i="1"/>
  <c r="P245" i="1" s="1"/>
  <c r="S16" i="1"/>
  <c r="S33" i="1" s="1"/>
  <c r="S17" i="1"/>
  <c r="O36" i="1"/>
  <c r="P36" i="1" s="1"/>
  <c r="S35" i="1" l="1"/>
  <c r="P3" i="1"/>
  <c r="S36" i="1" s="1"/>
  <c r="S37" i="1" s="1"/>
</calcChain>
</file>

<file path=xl/sharedStrings.xml><?xml version="1.0" encoding="utf-8"?>
<sst xmlns="http://schemas.openxmlformats.org/spreadsheetml/2006/main" count="942" uniqueCount="652">
  <si>
    <t xml:space="preserve">
    INDUSTRY-STOCK MOMENTUM execution history
</t>
  </si>
  <si>
    <t>Stock</t>
  </si>
  <si>
    <t>Entry Date</t>
  </si>
  <si>
    <t>Entry Price</t>
  </si>
  <si>
    <t>Exit Date</t>
  </si>
  <si>
    <t>Close Price</t>
  </si>
  <si>
    <t>Returns delivered (%)</t>
  </si>
  <si>
    <t>Calc Return %</t>
  </si>
  <si>
    <t>Trade Net P&amp;L (₹)</t>
  </si>
  <si>
    <t>Win P&amp;L (₹)</t>
  </si>
  <si>
    <t>Loss P&amp;L (₹)</t>
  </si>
  <si>
    <t>Cumulative P&amp;L (₹)</t>
  </si>
  <si>
    <t>Portfolio Equity (₹)</t>
  </si>
  <si>
    <t>Peak Equity (₹)</t>
  </si>
  <si>
    <t>Drawdown (₹)</t>
  </si>
  <si>
    <t>Drawdown %</t>
  </si>
  <si>
    <t>QUANTITATIVE PERFORMANCE METRICS AUDIT</t>
  </si>
  <si>
    <t>Alembic Ltd.</t>
  </si>
  <si>
    <t>Active(on Jul 31, 2024)</t>
  </si>
  <si>
    <t>1. CAPITAL &amp; PORTFOLIO CONFIGURATION</t>
  </si>
  <si>
    <t>Vinati Organics Ltd.</t>
  </si>
  <si>
    <t>Initial Capital (₹)</t>
  </si>
  <si>
    <t>Hindustan Composites..</t>
  </si>
  <si>
    <t>Capital Allocation per Trade</t>
  </si>
  <si>
    <t>Sasken Technologies ..</t>
  </si>
  <si>
    <t>Risk-Free Rate (Annual)</t>
  </si>
  <si>
    <t>EIH Associated Hotel..</t>
  </si>
  <si>
    <t>2. TRADE STATISTICS</t>
  </si>
  <si>
    <t>Nahar Industrial Ent..</t>
  </si>
  <si>
    <t>Total Trades</t>
  </si>
  <si>
    <t>Rajapalayam Mills Ltd.</t>
  </si>
  <si>
    <t>Winning Trades</t>
  </si>
  <si>
    <t>RPG Life Sciences Ltd.</t>
  </si>
  <si>
    <t>Losing Trades</t>
  </si>
  <si>
    <t>Hester Biosciences L..</t>
  </si>
  <si>
    <t>Even Trades</t>
  </si>
  <si>
    <t>Ultramarine &amp; Pigmen..</t>
  </si>
  <si>
    <t>Win Rate %</t>
  </si>
  <si>
    <t>TCPL Packaging Ltd.</t>
  </si>
  <si>
    <t>Loss Rate %</t>
  </si>
  <si>
    <t>GeeCee Ventures Ltd.</t>
  </si>
  <si>
    <t>3. RETURNS &amp; PROFITABILITY</t>
  </si>
  <si>
    <t>Cera Sanitaryware Ltd.</t>
  </si>
  <si>
    <t>Total Net P&amp;L (₹)</t>
  </si>
  <si>
    <t>Privi Speciality Che..</t>
  </si>
  <si>
    <t>Final Portfolio Equity (₹)</t>
  </si>
  <si>
    <t>Murudeshwar Ceramics..</t>
  </si>
  <si>
    <t>Total Cumulative Return %</t>
  </si>
  <si>
    <t>Oriental Aromatics L..</t>
  </si>
  <si>
    <t>Average P&amp;L per Trade (₹)</t>
  </si>
  <si>
    <t>Fermenta Biotech Ltd.</t>
  </si>
  <si>
    <t>Median P&amp;L per Trade (₹)</t>
  </si>
  <si>
    <t>Sun TV Network Ltd.</t>
  </si>
  <si>
    <t>Gross Profit (₹)</t>
  </si>
  <si>
    <t>Kirloskar Pneumatic ..</t>
  </si>
  <si>
    <t>Gross Loss (₹)</t>
  </si>
  <si>
    <t>Polson Ltd.</t>
  </si>
  <si>
    <t>Profit Factor</t>
  </si>
  <si>
    <t>Welspun Enterprises ..</t>
  </si>
  <si>
    <t>Average Winning Trade (₹)</t>
  </si>
  <si>
    <t>KNR Constructions Ltd.</t>
  </si>
  <si>
    <t>Average Losing Trade (₹)</t>
  </si>
  <si>
    <t>AMJ Land Holdings Ltd.</t>
  </si>
  <si>
    <t>Risk / Reward Ratio</t>
  </si>
  <si>
    <t>Sandesh Ltd.</t>
  </si>
  <si>
    <t>Expectancy Value (EV) per Trade (₹)</t>
  </si>
  <si>
    <t>RDB Rasayans Ltd.</t>
  </si>
  <si>
    <t>Expectancy %</t>
  </si>
  <si>
    <t>Colgate-Palmolive (I..</t>
  </si>
  <si>
    <t>4. PERIOD &amp; TIME HORIZON</t>
  </si>
  <si>
    <t>JK Paper Ltd.</t>
  </si>
  <si>
    <t>Trading Period Start</t>
  </si>
  <si>
    <t>Snowman Logistics Ltd.</t>
  </si>
  <si>
    <t>Trading Period End</t>
  </si>
  <si>
    <t>Roto Pumps Ltd.</t>
  </si>
  <si>
    <t>Calendar Days</t>
  </si>
  <si>
    <t>Bayer Cropscience Ltd.</t>
  </si>
  <si>
    <t>Trading Years</t>
  </si>
  <si>
    <t>Cantabil Retail Indi..</t>
  </si>
  <si>
    <t>CAGR %</t>
  </si>
  <si>
    <t>VST Tillers Tractors..</t>
  </si>
  <si>
    <t>5. RISK &amp; DRAWDOWN METRICS</t>
  </si>
  <si>
    <t>Natco Pharma Ltd.</t>
  </si>
  <si>
    <t>Maximum Drawdown (₹)</t>
  </si>
  <si>
    <t>Orient Cement Ltd.</t>
  </si>
  <si>
    <t>Maximum Drawdown %</t>
  </si>
  <si>
    <t>Endurance Technologi..</t>
  </si>
  <si>
    <t>Calmar Ratio</t>
  </si>
  <si>
    <t>Finolex Cables Ltd.</t>
  </si>
  <si>
    <t>Trade Return Volatility (Std Dev)</t>
  </si>
  <si>
    <t>Honda India Power Pr..</t>
  </si>
  <si>
    <t>Annualized Return (Trade-based)</t>
  </si>
  <si>
    <t>Jindal Saw Ltd.</t>
  </si>
  <si>
    <t>Annualized Volatility (Trade-based)</t>
  </si>
  <si>
    <t>Prime Securities Ltd.</t>
  </si>
  <si>
    <t>Sharpe Ratio</t>
  </si>
  <si>
    <t>Technocraft Industri..</t>
  </si>
  <si>
    <t>6. STATISTICAL DISTRIBUTION</t>
  </si>
  <si>
    <t>Disa India Ltd.</t>
  </si>
  <si>
    <t>Fisher-Pearson Skewness</t>
  </si>
  <si>
    <t>Marathon Nextgen Rea..</t>
  </si>
  <si>
    <t>Kurtosis</t>
  </si>
  <si>
    <t>Bannari Amman Spinni..</t>
  </si>
  <si>
    <t>Aries Agro Ltd.</t>
  </si>
  <si>
    <t>KCP Sugar &amp; Industri..</t>
  </si>
  <si>
    <t>Rashtriya Chemicals ..</t>
  </si>
  <si>
    <t>Saregama India Ltd.</t>
  </si>
  <si>
    <t>Shree Ganesh Remedie..</t>
  </si>
  <si>
    <t>Tega Industries Ltd.</t>
  </si>
  <si>
    <t>Dhanuka Agritech Ltd.</t>
  </si>
  <si>
    <t>Affle 3I Ltd.</t>
  </si>
  <si>
    <t>Alldigi Tech Ltd.</t>
  </si>
  <si>
    <t>Bannari Amman Sugars..</t>
  </si>
  <si>
    <t>The Bombay Burmah Tr..</t>
  </si>
  <si>
    <t>Bhansali Engineering..</t>
  </si>
  <si>
    <t>Emami Ltd.</t>
  </si>
  <si>
    <t>Gujarat Industries P..</t>
  </si>
  <si>
    <t>Hexa Tradex Ltd.</t>
  </si>
  <si>
    <t>Jindal Poly Investme..</t>
  </si>
  <si>
    <t>Mawana Sugars Ltd.</t>
  </si>
  <si>
    <t>Nalwa Sons Investmen..</t>
  </si>
  <si>
    <t>The Peria Karamalai ..</t>
  </si>
  <si>
    <t>Persistent Systems L..</t>
  </si>
  <si>
    <t>Raymond Ltd.</t>
  </si>
  <si>
    <t>Ramkrishna Forgings ..</t>
  </si>
  <si>
    <t>Seamec Ltd.</t>
  </si>
  <si>
    <t>Somany Ceramics Ltd.</t>
  </si>
  <si>
    <t>Sudarshan Chemical I..</t>
  </si>
  <si>
    <t>V-Mart Retail Ltd.</t>
  </si>
  <si>
    <t>Zensar Technologies ..</t>
  </si>
  <si>
    <t>Duncan Engineering L..</t>
  </si>
  <si>
    <t>Bajaj Steel Industri..</t>
  </si>
  <si>
    <t>Nitin Castings Ltd.</t>
  </si>
  <si>
    <t>Stylam Industries Ltd.</t>
  </si>
  <si>
    <t>Premco Global Ltd.</t>
  </si>
  <si>
    <t>Sunshield Chemicals ..</t>
  </si>
  <si>
    <t>Prerna Infrabuild Ltd.</t>
  </si>
  <si>
    <t>Pokarna Ltd.</t>
  </si>
  <si>
    <t>HBG Hotels Ltd.</t>
  </si>
  <si>
    <t>Mercantile Ventures ..</t>
  </si>
  <si>
    <t>Beekay Steel Industr..</t>
  </si>
  <si>
    <t>SunRakshakk Industri..</t>
  </si>
  <si>
    <t>Mahindra Logistics L..</t>
  </si>
  <si>
    <t>NBI Industrial Finan..</t>
  </si>
  <si>
    <t>Naga Dhunseri Group ..</t>
  </si>
  <si>
    <t>Amber Enterprises In..</t>
  </si>
  <si>
    <t>Likhitha Infrastruct..</t>
  </si>
  <si>
    <t>Craftsman Automation..</t>
  </si>
  <si>
    <t>Windlas Biotech Ltd.</t>
  </si>
  <si>
    <t>Sansera Engineering ..</t>
  </si>
  <si>
    <t>Shri Venkatesh Refin..</t>
  </si>
  <si>
    <t>Paradeep Phosphates ..</t>
  </si>
  <si>
    <t>Bikaji Foods Interna..</t>
  </si>
  <si>
    <t>Alembic Pharmaceutic..</t>
  </si>
  <si>
    <t>Atul Ltd.</t>
  </si>
  <si>
    <t>Banco Products (Indi..</t>
  </si>
  <si>
    <t>BSL Ltd.</t>
  </si>
  <si>
    <t>Castrol India Ltd.</t>
  </si>
  <si>
    <t>DCW Ltd.</t>
  </si>
  <si>
    <t>Deepak Nitrite Ltd.</t>
  </si>
  <si>
    <t>Dhunseri Investments..</t>
  </si>
  <si>
    <t>DIC India Ltd.</t>
  </si>
  <si>
    <t>Eveready Industries ..</t>
  </si>
  <si>
    <t>Foseco India Ltd.</t>
  </si>
  <si>
    <t>Firstsource Solution..</t>
  </si>
  <si>
    <t>Granules India Ltd.</t>
  </si>
  <si>
    <t>India Motor Parts &amp; ..</t>
  </si>
  <si>
    <t>India Glycols Ltd.</t>
  </si>
  <si>
    <t>Infosys Ltd.</t>
  </si>
  <si>
    <t>Just Dial Ltd.</t>
  </si>
  <si>
    <t>Kothari Petrochemica..</t>
  </si>
  <si>
    <t>Marksans Pharma Ltd.</t>
  </si>
  <si>
    <t>NOCIL Ltd.</t>
  </si>
  <si>
    <t>Pfizer Ltd.</t>
  </si>
  <si>
    <t>PCBL Chemical Ltd.</t>
  </si>
  <si>
    <t>PI Industries Ltd.</t>
  </si>
  <si>
    <t>Savera Industries Ltd.</t>
  </si>
  <si>
    <t>Tainwala Chemicals &amp;..</t>
  </si>
  <si>
    <t>Talbros Automotive C..</t>
  </si>
  <si>
    <t>Tata Motors Passenge..</t>
  </si>
  <si>
    <t>Thirumalai Chemicals..</t>
  </si>
  <si>
    <t>TTK Prestige Ltd.</t>
  </si>
  <si>
    <t>Uflex Ltd.</t>
  </si>
  <si>
    <t>Vindhya Telelinks Ltd.</t>
  </si>
  <si>
    <t>Zydus Wellness Ltd.</t>
  </si>
  <si>
    <t>Arrow Greentech Ltd.</t>
  </si>
  <si>
    <t>Lux Industries Ltd.</t>
  </si>
  <si>
    <t>Automobile Corporati..</t>
  </si>
  <si>
    <t>Modison Ltd.</t>
  </si>
  <si>
    <t>TGV SRAAC Ltd.</t>
  </si>
  <si>
    <t>Graviss Hospitality ..</t>
  </si>
  <si>
    <t>Capital Trust Ltd.</t>
  </si>
  <si>
    <t>Shri Jagdamba Polyme..</t>
  </si>
  <si>
    <t>Mangalam Organics Ltd.</t>
  </si>
  <si>
    <t>Ansal Buildwell Ltd.</t>
  </si>
  <si>
    <t>Binayak Tex Processo..</t>
  </si>
  <si>
    <t>Dai Ichi Karkaria Ltd.</t>
  </si>
  <si>
    <t>Sportking India Ltd.</t>
  </si>
  <si>
    <t>ICICI Prudential Lif..</t>
  </si>
  <si>
    <t>SBI Life Insurance C..</t>
  </si>
  <si>
    <t>HDFC Life Insurance ..</t>
  </si>
  <si>
    <t>Pansari Developers L..</t>
  </si>
  <si>
    <t>Hi-Tech Pipes Ltd.</t>
  </si>
  <si>
    <t>Artemis Medicare Ser..</t>
  </si>
  <si>
    <t>Computer Age Managem..</t>
  </si>
  <si>
    <t>Prudent Corporate Ad..</t>
  </si>
  <si>
    <t>Triveni Turbine Ltd.</t>
  </si>
  <si>
    <t>Vadilal Industries L..</t>
  </si>
  <si>
    <t>Wealth First Portfol..</t>
  </si>
  <si>
    <t>ABB India Ltd.</t>
  </si>
  <si>
    <t>CG Power and Industr..</t>
  </si>
  <si>
    <t>Cummins India Ltd.</t>
  </si>
  <si>
    <t>Sam Industries Ltd.</t>
  </si>
  <si>
    <t>Taj GVK Hotels &amp; Res..</t>
  </si>
  <si>
    <t>Saraswati Commercial..</t>
  </si>
  <si>
    <t>Emerald Finance Ltd.</t>
  </si>
  <si>
    <t>DLF Ltd.</t>
  </si>
  <si>
    <t>Jubilant Pharmova Ltd.</t>
  </si>
  <si>
    <t>Brigade Enterprises ..</t>
  </si>
  <si>
    <t>Oil India Ltd.</t>
  </si>
  <si>
    <t>3M India Ltd.</t>
  </si>
  <si>
    <t>Nila Infrastructures..</t>
  </si>
  <si>
    <t>NMDC Ltd.</t>
  </si>
  <si>
    <t>Geojit Financial Ser..</t>
  </si>
  <si>
    <t>Mphasis Ltd.</t>
  </si>
  <si>
    <t>Arihant Superstructu..</t>
  </si>
  <si>
    <t>Sreeleathers Ltd.</t>
  </si>
  <si>
    <t>Sinclairs Hotels Ltd.</t>
  </si>
  <si>
    <t>NTPC Ltd.</t>
  </si>
  <si>
    <t>Intellect Design Are..</t>
  </si>
  <si>
    <t>Autoline Industries ..</t>
  </si>
  <si>
    <t>Hindustan Aeronautic..</t>
  </si>
  <si>
    <t>W H Brady &amp; Company ..</t>
  </si>
  <si>
    <t>AstraZeneca Pharma I..</t>
  </si>
  <si>
    <t>Bajaj Auto Ltd.</t>
  </si>
  <si>
    <t>CESC Ltd.</t>
  </si>
  <si>
    <t>Dredging Corporation..</t>
  </si>
  <si>
    <t>Engineers India Ltd.</t>
  </si>
  <si>
    <t>FCS Software Solutio..</t>
  </si>
  <si>
    <t>GlaxoSmithKline Phar..</t>
  </si>
  <si>
    <t>Pilani Investment an..</t>
  </si>
  <si>
    <t>Steel Authority of I..</t>
  </si>
  <si>
    <t>Surana Telecom and P..</t>
  </si>
  <si>
    <t>Tata Consumer Produc..</t>
  </si>
  <si>
    <t>Tata Power Company L..</t>
  </si>
  <si>
    <t>Wipro Ltd.</t>
  </si>
  <si>
    <t>Alkem Laboratories L..</t>
  </si>
  <si>
    <t>Quest Capital Market..</t>
  </si>
  <si>
    <t>Shardul Securities L..</t>
  </si>
  <si>
    <t>Apollo Finvest (Indi..</t>
  </si>
  <si>
    <t>Elnet Technologies L..</t>
  </si>
  <si>
    <t>BDH Industries Ltd.</t>
  </si>
  <si>
    <t>The Investment Trust..</t>
  </si>
  <si>
    <t>Available Finance Ltd.</t>
  </si>
  <si>
    <t>Coral India Finance ..</t>
  </si>
  <si>
    <t>East West Freight Ca..</t>
  </si>
  <si>
    <t>Varun Beverages Ltd.</t>
  </si>
  <si>
    <t>Salasar Techno Engin..</t>
  </si>
  <si>
    <t>5Paisa Capital Ltd.</t>
  </si>
  <si>
    <t>Bharat Dynamics Ltd.</t>
  </si>
  <si>
    <t>Shradha Realty Ltd.</t>
  </si>
  <si>
    <t>Zodiac Energy Ltd.</t>
  </si>
  <si>
    <t>Banka Bioloo Ltd.</t>
  </si>
  <si>
    <t>Shree Vasu Logistics..</t>
  </si>
  <si>
    <t>Spandana Sphoorty Fi..</t>
  </si>
  <si>
    <t>Indian Railway Cater..</t>
  </si>
  <si>
    <t>Cohance Lifesciences..</t>
  </si>
  <si>
    <t>Supriya Lifescience ..</t>
  </si>
  <si>
    <t>Wim Plast Ltd.</t>
  </si>
  <si>
    <t>Empire Industries Ltd.</t>
  </si>
  <si>
    <t>AK Capital Services ..</t>
  </si>
  <si>
    <t>West Coast Paper Mil..</t>
  </si>
  <si>
    <t>G M Breweries Ltd.</t>
  </si>
  <si>
    <t>Seshasayee Paper &amp; B..</t>
  </si>
  <si>
    <t>Gujarat Themis Biosy..</t>
  </si>
  <si>
    <t>Coal India Ltd.</t>
  </si>
  <si>
    <t>Indbank Merchant Ban..</t>
  </si>
  <si>
    <t>Edelweiss Financial ..</t>
  </si>
  <si>
    <t>GFL Ltd.</t>
  </si>
  <si>
    <t>Andhra Paper Ltd.</t>
  </si>
  <si>
    <t>JSW Energy Ltd.</t>
  </si>
  <si>
    <t>Maharashtra Seamless..</t>
  </si>
  <si>
    <t>Ruchi Infrastructure..</t>
  </si>
  <si>
    <t>Shipping Corporation..</t>
  </si>
  <si>
    <t>SJVN Ltd.</t>
  </si>
  <si>
    <t>Tata Investment Corp..</t>
  </si>
  <si>
    <t>Veljan Denison Ltd.</t>
  </si>
  <si>
    <t>Menon Pistons Ltd.</t>
  </si>
  <si>
    <t>Bhilwara Technical T..</t>
  </si>
  <si>
    <t>Creative Castings Ltd.</t>
  </si>
  <si>
    <t>Madhav Infra Project..</t>
  </si>
  <si>
    <t>IIFL Capital Service..</t>
  </si>
  <si>
    <t>Krsnaa Diagnostics L..</t>
  </si>
  <si>
    <t>C.E. Info Systems Ltd.</t>
  </si>
  <si>
    <t>Fidel Softech Ltd.</t>
  </si>
  <si>
    <t>Himatsingka Seide Ltd.</t>
  </si>
  <si>
    <t>Dhunseri Ventures Ltd.</t>
  </si>
  <si>
    <t>Sarla Performance Fi..</t>
  </si>
  <si>
    <t>Pearl Global Industr..</t>
  </si>
  <si>
    <t>LG Balakrishnan &amp; Br..</t>
  </si>
  <si>
    <t>Godawari Power &amp; Isp..</t>
  </si>
  <si>
    <t>Century Plyboards (I..</t>
  </si>
  <si>
    <t>Cambridge Technology..</t>
  </si>
  <si>
    <t>Datamatics Global Se..</t>
  </si>
  <si>
    <t>63 Moons Technologie..</t>
  </si>
  <si>
    <t>GKW Ltd.</t>
  </si>
  <si>
    <t>HEG Advanced Materia..</t>
  </si>
  <si>
    <t>Hirect Ltd.</t>
  </si>
  <si>
    <t>Hitech Corporation L..</t>
  </si>
  <si>
    <t>Indo Count Industrie..</t>
  </si>
  <si>
    <t>L&amp;T Finance Ltd.</t>
  </si>
  <si>
    <t>Mahindra &amp; Mahindra ..</t>
  </si>
  <si>
    <t>Man Infraconstructio..</t>
  </si>
  <si>
    <t>NLC India Ltd.</t>
  </si>
  <si>
    <t>Power Finance Corpor..</t>
  </si>
  <si>
    <t>PTC India Financial ..</t>
  </si>
  <si>
    <t>Repco Home Finance L..</t>
  </si>
  <si>
    <t>Sarda Energy &amp; Miner..</t>
  </si>
  <si>
    <t>Tanla Platforms Ltd.</t>
  </si>
  <si>
    <t>Tips Music Ltd.</t>
  </si>
  <si>
    <t>V2 Retail Ltd.</t>
  </si>
  <si>
    <t>Xchanging Solutions ..</t>
  </si>
  <si>
    <t>Muthoot Capital Serv..</t>
  </si>
  <si>
    <t>Welspun Specialty So..</t>
  </si>
  <si>
    <t>Garware Hi-Tech Film..</t>
  </si>
  <si>
    <t>High Energy Batterie..</t>
  </si>
  <si>
    <t>SNL Bearings Ltd.</t>
  </si>
  <si>
    <t>Lancor Holdings Ltd.</t>
  </si>
  <si>
    <t>International Convey..</t>
  </si>
  <si>
    <t>Avonmore Capital &amp; M..</t>
  </si>
  <si>
    <t>Starteck Finance Ltd.</t>
  </si>
  <si>
    <t>Tasty Bite Eatables ..</t>
  </si>
  <si>
    <t>Taneja Aerospace &amp; A..</t>
  </si>
  <si>
    <t>Rajoo Engineers Ltd.</t>
  </si>
  <si>
    <t>Eldeco Housing &amp; Ind..</t>
  </si>
  <si>
    <t>Fortis Malar Hospita..</t>
  </si>
  <si>
    <t>Carysil Ltd.</t>
  </si>
  <si>
    <t>Alufluoride Ltd.</t>
  </si>
  <si>
    <t>M K Exim (India) Ltd.</t>
  </si>
  <si>
    <t>Dilip Buildcon Ltd.</t>
  </si>
  <si>
    <t>S P Apparels Ltd.</t>
  </si>
  <si>
    <t>Nippon Life India As..</t>
  </si>
  <si>
    <t>Sandhar Technologies..</t>
  </si>
  <si>
    <t>Max India Ltd.</t>
  </si>
  <si>
    <t>Sigma Solve Ltd.</t>
  </si>
  <si>
    <t>Vijaya Diagnostic Ce..</t>
  </si>
  <si>
    <t>Sigachi Industries L..</t>
  </si>
  <si>
    <t>CMS Info Systems Ltd.</t>
  </si>
  <si>
    <t>Nucleus Software Exp..</t>
  </si>
  <si>
    <t>Ingersoll-Rand (Indi..</t>
  </si>
  <si>
    <t>Shivalik Bimetal Con..</t>
  </si>
  <si>
    <t>Vibrant Global Capit..</t>
  </si>
  <si>
    <t>Anupam Rasayan India..</t>
  </si>
  <si>
    <t>NAVA Ltd.</t>
  </si>
  <si>
    <t>Sunflag Iron &amp; Steel..</t>
  </si>
  <si>
    <t>GIC Housing Finance ..</t>
  </si>
  <si>
    <t>SPR Auto Technologie..</t>
  </si>
  <si>
    <t>Sanghvi Movers Ltd.</t>
  </si>
  <si>
    <t>Donear Industries Ltd.</t>
  </si>
  <si>
    <t>Jindal Worldwide Ltd.</t>
  </si>
  <si>
    <t>NACL Industries Ltd.</t>
  </si>
  <si>
    <t>Mold-Tek Technologie..</t>
  </si>
  <si>
    <t>Denis Chem Lab Ltd.</t>
  </si>
  <si>
    <t>RHI Magnesita India ..</t>
  </si>
  <si>
    <t>Garden Reach Shipbui..</t>
  </si>
  <si>
    <t>TSF Investments Ltd.</t>
  </si>
  <si>
    <t>Hercules Investments..</t>
  </si>
  <si>
    <t>Jai Corp Ltd.</t>
  </si>
  <si>
    <t>Antelopus Selan Ener..</t>
  </si>
  <si>
    <t>Anant Raj Ltd.</t>
  </si>
  <si>
    <t>DB Corp Ltd.</t>
  </si>
  <si>
    <t>KRBL Ltd.</t>
  </si>
  <si>
    <t>Aditya Birla Fashion..</t>
  </si>
  <si>
    <t>Pricol Ltd.</t>
  </si>
  <si>
    <t>Semac Construction L..</t>
  </si>
  <si>
    <t>Apollo Sindoori Hote..</t>
  </si>
  <si>
    <t>Diamines &amp; Chemicals..</t>
  </si>
  <si>
    <t>Timex Group India Ltd.</t>
  </si>
  <si>
    <t>Hampton Sky Realty L..</t>
  </si>
  <si>
    <t>Vikram Thermo (India..</t>
  </si>
  <si>
    <t>Best Agrolife Ltd.</t>
  </si>
  <si>
    <t>Cochin Shipyard Ltd.</t>
  </si>
  <si>
    <t>Praveg Ltd.</t>
  </si>
  <si>
    <t>KPIT Technologies Ltd.</t>
  </si>
  <si>
    <t>Mazagon Dock Shipbui..</t>
  </si>
  <si>
    <t>Wendt (India) Ltd.</t>
  </si>
  <si>
    <t>Voltamp Transformers..</t>
  </si>
  <si>
    <t>Monte Carlo Fashions..</t>
  </si>
  <si>
    <t>Asahi India Glass Ltd.</t>
  </si>
  <si>
    <t>J Kumar Infraproject..</t>
  </si>
  <si>
    <t>Thakker's Developers..</t>
  </si>
  <si>
    <t>Swelect Energy Syste..</t>
  </si>
  <si>
    <t>Maithan Alloys Ltd.</t>
  </si>
  <si>
    <t>Shree Pushkar Chemic..</t>
  </si>
  <si>
    <t>Gujarat State Fertil..</t>
  </si>
  <si>
    <t>Linde India Ltd.</t>
  </si>
  <si>
    <t>TVS Electronics Ltd.</t>
  </si>
  <si>
    <t>Sumitomo Chemical In..</t>
  </si>
  <si>
    <t>Manaksia Ltd.</t>
  </si>
  <si>
    <t>D-Link (India) Ltd.</t>
  </si>
  <si>
    <t>Emami Realty Ltd.</t>
  </si>
  <si>
    <t>PTL Enterprises Ltd.</t>
  </si>
  <si>
    <t>Ausom Enterprise Ltd.</t>
  </si>
  <si>
    <t>Elgi Equipments Ltd.</t>
  </si>
  <si>
    <t>Esab India Ltd.</t>
  </si>
  <si>
    <t>Gufic BioSciences Ltd.</t>
  </si>
  <si>
    <t>La Opala RG Ltd.</t>
  </si>
  <si>
    <t>Kennametal India Ltd.</t>
  </si>
  <si>
    <t>Saint-Gobain Sekurit..</t>
  </si>
  <si>
    <t>Aarvi Encon Ltd.</t>
  </si>
  <si>
    <t>Gujarat Alkalies &amp; C..</t>
  </si>
  <si>
    <t>Godfrey Phillips Ind..</t>
  </si>
  <si>
    <t>IRB Infrastructure D..</t>
  </si>
  <si>
    <t>Finolex Industries L..</t>
  </si>
  <si>
    <t>Gujarat Narmada Vall..</t>
  </si>
  <si>
    <t>United Spirits Ltd.</t>
  </si>
  <si>
    <t>Solar Industries Ind..</t>
  </si>
  <si>
    <t>Zee Entertainment En..</t>
  </si>
  <si>
    <t>Neogen Chemicals Ltd.</t>
  </si>
  <si>
    <t>FIEM Industries Ltd.</t>
  </si>
  <si>
    <t>Deccan Cements Ltd.</t>
  </si>
  <si>
    <t>Premier Explosives L..</t>
  </si>
  <si>
    <t>Cineline India Ltd.</t>
  </si>
  <si>
    <t>NRB Bearings Ltd.</t>
  </si>
  <si>
    <t>Crisil Ltd.</t>
  </si>
  <si>
    <t>Sudarshan Colorants ..</t>
  </si>
  <si>
    <t>Andhra Sugars Ltd.</t>
  </si>
  <si>
    <t>BF Utilities Ltd.</t>
  </si>
  <si>
    <t>Bharat Rasayan Ltd.</t>
  </si>
  <si>
    <t>Bhartiya Internation..</t>
  </si>
  <si>
    <t>Gandhi Special Tubes..</t>
  </si>
  <si>
    <t>GOCL Corporation Ltd.</t>
  </si>
  <si>
    <t>Sammaan Capital Ltd.</t>
  </si>
  <si>
    <t>Insecticides (India)..</t>
  </si>
  <si>
    <t>JK Lakshmi Cement Ltd.</t>
  </si>
  <si>
    <t>Piramal Enterprises ..</t>
  </si>
  <si>
    <t>Radico Khaitan Ltd.</t>
  </si>
  <si>
    <t>GP Petroleums Ltd.</t>
  </si>
  <si>
    <t>SIL Investments Ltd.</t>
  </si>
  <si>
    <t>Siyaram Silk Mills L..</t>
  </si>
  <si>
    <t>Smartlink Holdings L..</t>
  </si>
  <si>
    <t>Savita Oil Technolog..</t>
  </si>
  <si>
    <t>Summit Securities Ltd.</t>
  </si>
  <si>
    <t>Sundaram Brake Linin..</t>
  </si>
  <si>
    <t>Delphi World Money L..</t>
  </si>
  <si>
    <t>Zen Technologies Ltd.</t>
  </si>
  <si>
    <t>Lincoln Pharmaceutic..</t>
  </si>
  <si>
    <t>Bhageria Industries ..</t>
  </si>
  <si>
    <t>Majestic Auto Ltd.</t>
  </si>
  <si>
    <t>Steel Cast Ltd.</t>
  </si>
  <si>
    <t>Ram Ratna Wires Ltd.</t>
  </si>
  <si>
    <t>Sukhjit Starch &amp; Che..</t>
  </si>
  <si>
    <t>CSL Finance Ltd.</t>
  </si>
  <si>
    <t>DHP India Ltd.</t>
  </si>
  <si>
    <t>BLS International Se..</t>
  </si>
  <si>
    <t>TCI Express Ltd.</t>
  </si>
  <si>
    <t>Godrej Agrovet Ltd.</t>
  </si>
  <si>
    <t>The Indian Wood Prod..</t>
  </si>
  <si>
    <t>Polycab India Ltd.</t>
  </si>
  <si>
    <t>KSB Ltd.</t>
  </si>
  <si>
    <t>Sundaram Finance Ltd.</t>
  </si>
  <si>
    <t>Vipul Organics Ltd.</t>
  </si>
  <si>
    <t>AGI Infra Ltd.</t>
  </si>
  <si>
    <t>Madhya Bharat Agro P..</t>
  </si>
  <si>
    <t>Krishana Phoschem Ltd.</t>
  </si>
  <si>
    <t>Kovai Medical Center..</t>
  </si>
  <si>
    <t>Pradeep Metals Ltd.</t>
  </si>
  <si>
    <t>Astral Ltd.</t>
  </si>
  <si>
    <t>Alankit Ltd.</t>
  </si>
  <si>
    <t>Nahar Capital &amp; Fina..</t>
  </si>
  <si>
    <t>Honeywell Automation..</t>
  </si>
  <si>
    <t>Styrenix Performance..</t>
  </si>
  <si>
    <t>Asian Paints Ltd.</t>
  </si>
  <si>
    <t>Carborundum Universa..</t>
  </si>
  <si>
    <t>Gateway Distriparks ..</t>
  </si>
  <si>
    <t>Grindwell Norton Ltd.</t>
  </si>
  <si>
    <t>Oberoi Realty Ltd.</t>
  </si>
  <si>
    <t>Page Industries Ltd.</t>
  </si>
  <si>
    <t>Shiva Texyarn Ltd.</t>
  </si>
  <si>
    <t>TD Power Systems Ltd.</t>
  </si>
  <si>
    <t>AksharChem (India) L..</t>
  </si>
  <si>
    <t>Shanti Educational I..</t>
  </si>
  <si>
    <t>Aspinwall and Compan..</t>
  </si>
  <si>
    <t>Kabra Extrusion Tech..</t>
  </si>
  <si>
    <t>KPR Mill Ltd.</t>
  </si>
  <si>
    <t>Mazda Ltd.</t>
  </si>
  <si>
    <t>Transpek Industry Ltd.</t>
  </si>
  <si>
    <t>Anjani Portland Ceme..</t>
  </si>
  <si>
    <t>Racl Geartech Ltd.</t>
  </si>
  <si>
    <t>Sika Interplant Syst..</t>
  </si>
  <si>
    <t>Capital India Financ..</t>
  </si>
  <si>
    <t>Balkrishna Industrie..</t>
  </si>
  <si>
    <t>Trident Ltd.</t>
  </si>
  <si>
    <t>Swaraj Engines Ltd.</t>
  </si>
  <si>
    <t>Vaibhav Global Ltd.</t>
  </si>
  <si>
    <t>ICICI Securities Ltd.</t>
  </si>
  <si>
    <t>TruCap Finance Ltd.</t>
  </si>
  <si>
    <t>Balaji Amines Ltd.</t>
  </si>
  <si>
    <t>Coromandel Internati..</t>
  </si>
  <si>
    <t>Escorts Kubota Ltd.</t>
  </si>
  <si>
    <t>Godrej Consumer Prod..</t>
  </si>
  <si>
    <t>Indraprastha Medical..</t>
  </si>
  <si>
    <t>JBM Auto Ltd.</t>
  </si>
  <si>
    <t>Jindal Poly Films Ltd.</t>
  </si>
  <si>
    <t>JK Cement Ltd.</t>
  </si>
  <si>
    <t>Kaveri Seed Company ..</t>
  </si>
  <si>
    <t>Rallis India Ltd.</t>
  </si>
  <si>
    <t>Syngene Internationa..</t>
  </si>
  <si>
    <t>Anuh Pharma Ltd.</t>
  </si>
  <si>
    <t>N R Agarwal Industri..</t>
  </si>
  <si>
    <t>KMC Speciality Hospi..</t>
  </si>
  <si>
    <t>Dynemic Products Ltd.</t>
  </si>
  <si>
    <t>Bharat Parenterals L..</t>
  </si>
  <si>
    <t>Sakar Healthcare Ltd.</t>
  </si>
  <si>
    <t>Solara Active Pharma..</t>
  </si>
  <si>
    <t>Banswara Syntex Ltd.</t>
  </si>
  <si>
    <t>GMM Pfaudler Ltd.</t>
  </si>
  <si>
    <t>Dixon Technologies (..</t>
  </si>
  <si>
    <t>Balrampur Chini Mill..</t>
  </si>
  <si>
    <t>Dwarikesh Sugar Indu..</t>
  </si>
  <si>
    <t>EPL Ltd.</t>
  </si>
  <si>
    <t>Ponni Sugars (Erode)..</t>
  </si>
  <si>
    <t>Goldiam Internationa..</t>
  </si>
  <si>
    <t>Bata India Ltd.</t>
  </si>
  <si>
    <t>Container Corporatio..</t>
  </si>
  <si>
    <t>Poly Medicure Ltd.</t>
  </si>
  <si>
    <t>Dr. Lal Pathlabs Ltd.</t>
  </si>
  <si>
    <t>Fine Organic Industr..</t>
  </si>
  <si>
    <t>Caplin Point Laborat..</t>
  </si>
  <si>
    <t>LGB Forge Ltd.</t>
  </si>
  <si>
    <t>Bodal Chemicals Ltd.</t>
  </si>
  <si>
    <t>Ipca Laboratories Ltd.</t>
  </si>
  <si>
    <t>SML Mahindra Ltd.</t>
  </si>
  <si>
    <t>Sunteck Realty Ltd.</t>
  </si>
  <si>
    <t>Vimta Labs Ltd.</t>
  </si>
  <si>
    <t>Axtel Industries Ltd.</t>
  </si>
  <si>
    <t>Arnold Holdings Ltd.</t>
  </si>
  <si>
    <t>J L Morison (India) ..</t>
  </si>
  <si>
    <t>DCM Shriram Ltd.</t>
  </si>
  <si>
    <t>NHPC Ltd.</t>
  </si>
  <si>
    <t>Aarti Drugs Ltd.</t>
  </si>
  <si>
    <t>Pix Transmissions Ltd.</t>
  </si>
  <si>
    <t>BirlaNu Ltd.</t>
  </si>
  <si>
    <t>Sundrop Brands Ltd.</t>
  </si>
  <si>
    <t>FDC Ltd.</t>
  </si>
  <si>
    <t>Oswal Green Tech Ltd.</t>
  </si>
  <si>
    <t>Phoenix Mills Ltd.</t>
  </si>
  <si>
    <t>Vardhman Acrylics Ltd.</t>
  </si>
  <si>
    <t>Vinyl Chemicals (I) ..</t>
  </si>
  <si>
    <t>Greenlam Industries ..</t>
  </si>
  <si>
    <t>Goodyear India Ltd.</t>
  </si>
  <si>
    <t>Shri Dinesh Mills Ltd.</t>
  </si>
  <si>
    <t>Indo Borax &amp; Chemica..</t>
  </si>
  <si>
    <t>Tamboli Industries L..</t>
  </si>
  <si>
    <t>Kiran Vyapar Ltd.</t>
  </si>
  <si>
    <t>Om Infra Ltd.</t>
  </si>
  <si>
    <t>Meghmani Organics Lt..</t>
  </si>
  <si>
    <t>TV Today Network Ltd.</t>
  </si>
  <si>
    <t>VIP Industries Ltd.</t>
  </si>
  <si>
    <t>India Nippon Electri..</t>
  </si>
  <si>
    <t>Amrit Corp. Ltd.</t>
  </si>
  <si>
    <t>Kriti Nutrients Ltd.</t>
  </si>
  <si>
    <t>Himadri Speciality C..</t>
  </si>
  <si>
    <t>Indian Toners &amp; Deve..</t>
  </si>
  <si>
    <t>Graphite India Ltd.</t>
  </si>
  <si>
    <t>Orbit Exports Ltd.</t>
  </si>
  <si>
    <t>Suprajit Engineering..</t>
  </si>
  <si>
    <t>Alkyl Amines Chemica..</t>
  </si>
  <si>
    <t>Housing Development ..</t>
  </si>
  <si>
    <t>Navneet Education Ltd.</t>
  </si>
  <si>
    <t>Srikalahasthi Pipes ..</t>
  </si>
  <si>
    <t>Thomas Cook (India) ..</t>
  </si>
  <si>
    <t>Rupa &amp; Company Ltd.</t>
  </si>
  <si>
    <t>JK Tyre &amp; Industries..</t>
  </si>
  <si>
    <t>Deep Energy Resource..</t>
  </si>
  <si>
    <t>Cheviot Company Ltd.</t>
  </si>
  <si>
    <t>Super Sales India Ltd.</t>
  </si>
  <si>
    <t>Flex Foods Ltd.</t>
  </si>
  <si>
    <t>Entertainment Networ..</t>
  </si>
  <si>
    <t>MRF Ltd.</t>
  </si>
  <si>
    <t>AVT Natural Products..</t>
  </si>
  <si>
    <t>Hikal Ltd.</t>
  </si>
  <si>
    <t>Time Technoplast Ltd.</t>
  </si>
  <si>
    <t>TVS Srichakra Ltd.</t>
  </si>
  <si>
    <t>Samkrg Pistons &amp; Rin..</t>
  </si>
  <si>
    <t>Innovative Tech Pack..</t>
  </si>
  <si>
    <t>ABM Knowledgeware Ltd.</t>
  </si>
  <si>
    <t>Hindalco Industries ..</t>
  </si>
  <si>
    <t>PVR INOX Ltd.</t>
  </si>
  <si>
    <t>Apcotex Industries L..</t>
  </si>
  <si>
    <t>Asahi Songwon Colors..</t>
  </si>
  <si>
    <t>Huhtamaki India Ltd.</t>
  </si>
  <si>
    <t>Shilpa Medicare Ltd.</t>
  </si>
  <si>
    <t>South India Paper Mi..</t>
  </si>
  <si>
    <t>Bengal &amp; Assam Compa..</t>
  </si>
  <si>
    <t>Mac Charles (India) ..</t>
  </si>
  <si>
    <t>Ashok Leyland Ltd.</t>
  </si>
  <si>
    <t>DCM Shriram Industri..</t>
  </si>
  <si>
    <t>India Tourism Develo..</t>
  </si>
  <si>
    <t>RSWM Ltd.</t>
  </si>
  <si>
    <t>Morarjee Textiles Ltd.</t>
  </si>
  <si>
    <t>Asian Granito India ..</t>
  </si>
  <si>
    <t>Balaji Telefilms Ltd.</t>
  </si>
  <si>
    <t>Bhagyanagar India Ltd.</t>
  </si>
  <si>
    <t>Stovec Industries Ltd.</t>
  </si>
  <si>
    <t>Coromandel Engineeri..</t>
  </si>
  <si>
    <t>Manali Petrochemical..</t>
  </si>
  <si>
    <t>Haldyn Glass Ltd.</t>
  </si>
  <si>
    <t>Kohinoor Foods Ltd.</t>
  </si>
  <si>
    <t>Hexaware Technologie..</t>
  </si>
  <si>
    <t>TAKE Ltd.</t>
  </si>
  <si>
    <t>Venky's (India) Ltd.</t>
  </si>
  <si>
    <t>Fomento Resorts &amp; Ho..</t>
  </si>
  <si>
    <t>Reliance Power Ltd.</t>
  </si>
  <si>
    <t>Vedanta Ltd.</t>
  </si>
  <si>
    <t>Aksh Optifibre Ltd.</t>
  </si>
  <si>
    <t>Bimetal Bearings Ltd.</t>
  </si>
  <si>
    <t>Cosmo First Ltd.</t>
  </si>
  <si>
    <t>Indiabulls Ltd.</t>
  </si>
  <si>
    <t>Industrial Investmen..</t>
  </si>
  <si>
    <t>Nitin Spinners Ltd.</t>
  </si>
  <si>
    <t>Oil Country Tubular ..</t>
  </si>
  <si>
    <t>Ruby Mills Ltd.</t>
  </si>
  <si>
    <t>Sangam (India) Ltd.</t>
  </si>
  <si>
    <t>SMS Pharmaceuticals ..</t>
  </si>
  <si>
    <t>Sterling Tools Ltd.</t>
  </si>
  <si>
    <t>SORIL Infra Resource..</t>
  </si>
  <si>
    <t>Visaka Industries Ltd.</t>
  </si>
  <si>
    <t>Oswal Agro Mills Ltd.</t>
  </si>
  <si>
    <t>ABC Bearings Ltd.</t>
  </si>
  <si>
    <t>Emami Paper Mills Ltd.</t>
  </si>
  <si>
    <t>GPT Infraprojects Ltd.</t>
  </si>
  <si>
    <t>Kolte-Patil Develope..</t>
  </si>
  <si>
    <t>Metalyst Forgings Ltd.</t>
  </si>
  <si>
    <t>Tata Steel Long Prod..</t>
  </si>
  <si>
    <t>BF Investment Ltd.</t>
  </si>
  <si>
    <t>Leel Electricals Ltd.</t>
  </si>
  <si>
    <t>M M Forgings Ltd.</t>
  </si>
  <si>
    <t>Nectar Lifesciences ..</t>
  </si>
  <si>
    <t>Omkar Speciality Che..</t>
  </si>
  <si>
    <t>Rane Holdings Ltd.</t>
  </si>
  <si>
    <t>AG Ventures Ltd.</t>
  </si>
  <si>
    <t>ZF Steering Gear (In..</t>
  </si>
  <si>
    <t>Ashiana Housing Ltd.</t>
  </si>
  <si>
    <t>Igarashi Motors Indi..</t>
  </si>
  <si>
    <t>Mirza International ..</t>
  </si>
  <si>
    <t>RS Software (India) ..</t>
  </si>
  <si>
    <t>Country Club Hospita..</t>
  </si>
  <si>
    <t>Warren Tea Ltd.</t>
  </si>
  <si>
    <t>Suven Life Sciences ..</t>
  </si>
  <si>
    <t>CIE Automotive India..</t>
  </si>
  <si>
    <t>Rain Industries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</si>
</sst>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₹&quot;#,##0.00"/>
    <numFmt numFmtId="165" formatCode="mmm\ d\,\ yyyy"/>
    <numFmt numFmtId="166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Montserrat"/>
    </font>
    <font>
      <sz val="11"/>
      <color theme="1"/>
      <name val="Calibri"/>
    </font>
    <font>
      <sz val="10"/>
      <color rgb="FF1A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3">
    <border>
      <left/>
      <right/>
      <top/>
      <bottom/>
      <diagonal/>
    </border>
    <border>
      <left/>
      <right/>
      <top/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10" fontId="2" fillId="2" borderId="1" xfId="0" applyNumberFormat="1" applyFont="1" applyFill="1" applyBorder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 applyAlignment="1">
      <alignment horizontal="right"/>
    </xf>
    <xf numFmtId="10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0" fontId="2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0" fontId="3" fillId="0" borderId="0" xfId="0" applyFont="1" applyAlignment="1">
      <alignment horizontal="right"/>
    </xf>
    <xf numFmtId="10" fontId="4" fillId="0" borderId="2" xfId="0" applyNumberFormat="1" applyFont="1" applyBorder="1"/>
    <xf numFmtId="1" fontId="4" fillId="0" borderId="2" xfId="0" applyNumberFormat="1" applyFont="1" applyBorder="1"/>
    <xf numFmtId="2" fontId="4" fillId="0" borderId="2" xfId="0" applyNumberFormat="1" applyFont="1" applyBorder="1"/>
    <xf numFmtId="166" fontId="4" fillId="0" borderId="2" xfId="0" applyNumberFormat="1" applyFont="1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P791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zoomScale="85" zoomScaleNormal="85" workbookViewId="0">
      <selection activeCell="H7" sqref="H7"/>
    </sheetView>
  </sheetViews>
  <sheetFormatPr defaultColWidth="12.6640625" defaultRowHeight="15.75" customHeight="1" x14ac:dyDescent="0.25"/>
  <cols>
    <col min="1" max="1" width="38.21875" customWidth="1"/>
    <col min="2" max="2" width="21.5546875" customWidth="1"/>
    <col min="3" max="3" width="9.77734375" customWidth="1"/>
    <col min="4" max="4" width="8.109375" customWidth="1"/>
    <col min="5" max="5" width="10.109375" customWidth="1"/>
    <col min="6" max="6" width="18.109375" customWidth="1"/>
    <col min="7" max="7" width="14.44140625" customWidth="1"/>
    <col min="8" max="8" width="26" customWidth="1"/>
    <col min="9" max="9" width="21.109375" customWidth="1"/>
    <col min="10" max="10" width="10.33203125" customWidth="1"/>
    <col min="11" max="11" width="11.109375" customWidth="1"/>
    <col min="12" max="12" width="16.33203125" customWidth="1"/>
    <col min="13" max="13" width="16" customWidth="1"/>
    <col min="14" max="14" width="13" customWidth="1"/>
    <col min="15" max="15" width="12" customWidth="1"/>
    <col min="16" max="16" width="11.109375" customWidth="1"/>
    <col min="18" max="18" width="40.21875" customWidth="1"/>
    <col min="19" max="19" width="23.21875" customWidth="1"/>
  </cols>
  <sheetData>
    <row r="1" spans="1:19" x14ac:dyDescent="0.25">
      <c r="A1" s="1" t="s">
        <v>0</v>
      </c>
      <c r="C1" s="2"/>
      <c r="E1" s="2"/>
      <c r="F1" s="3"/>
      <c r="H1" s="3"/>
      <c r="I1" s="2"/>
      <c r="J1" s="2"/>
      <c r="K1" s="2"/>
      <c r="L1" s="2"/>
      <c r="M1" s="2"/>
      <c r="N1" s="2"/>
      <c r="O1" s="2"/>
      <c r="P1" s="3"/>
    </row>
    <row r="2" spans="1:19" ht="15.75" customHeight="1" x14ac:dyDescent="0.4">
      <c r="A2" s="4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6" t="s">
        <v>6</v>
      </c>
      <c r="G2" s="4"/>
      <c r="H2" s="6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6" t="s">
        <v>15</v>
      </c>
      <c r="R2" s="4" t="s">
        <v>16</v>
      </c>
      <c r="S2" s="4"/>
    </row>
    <row r="3" spans="1:19" ht="15.75" customHeight="1" x14ac:dyDescent="0.4">
      <c r="A3" s="7" t="s">
        <v>17</v>
      </c>
      <c r="B3" s="8">
        <v>45504</v>
      </c>
      <c r="C3" s="9">
        <v>142.24</v>
      </c>
      <c r="D3" s="7" t="s">
        <v>18</v>
      </c>
      <c r="E3" s="9">
        <v>142.24</v>
      </c>
      <c r="F3" s="10"/>
      <c r="G3" s="11"/>
      <c r="H3" s="12">
        <f t="shared" ref="H3:H257" si="0">(E3-C3)/C3</f>
        <v>0</v>
      </c>
      <c r="I3" s="13">
        <f t="shared" ref="I3:I257" si="1">10000000*0.02*H3</f>
        <v>0</v>
      </c>
      <c r="J3" s="13">
        <f t="shared" ref="J3:J257" si="2">IF(I3&gt;0, I3, 0)</f>
        <v>0</v>
      </c>
      <c r="K3" s="13">
        <f t="shared" ref="K3:K257" si="3">IF(I3&lt;0, I3, 0)</f>
        <v>0</v>
      </c>
      <c r="L3" s="13">
        <f t="shared" ref="L3:L257" si="4">SUM(I$3:I3)</f>
        <v>0</v>
      </c>
      <c r="M3" s="13">
        <f t="shared" ref="M3:M257" si="5">10000000+L3</f>
        <v>10000000</v>
      </c>
      <c r="N3" s="13">
        <f t="shared" ref="N3:N257" si="6">MAX(M$3:M3)</f>
        <v>10000000</v>
      </c>
      <c r="O3" s="13">
        <f t="shared" ref="O3:O257" si="7">M3-N3</f>
        <v>0</v>
      </c>
      <c r="P3" s="12">
        <f t="shared" ref="P3:P257" si="8">O3/N3</f>
        <v>0</v>
      </c>
      <c r="R3" s="14" t="s">
        <v>19</v>
      </c>
      <c r="S3" s="14"/>
    </row>
    <row r="4" spans="1:19" ht="15.75" customHeight="1" x14ac:dyDescent="0.3">
      <c r="A4" s="7" t="s">
        <v>20</v>
      </c>
      <c r="B4" s="8">
        <v>45504</v>
      </c>
      <c r="C4" s="9">
        <v>2206.35</v>
      </c>
      <c r="D4" s="7" t="s">
        <v>18</v>
      </c>
      <c r="E4" s="9">
        <v>2206.35</v>
      </c>
      <c r="F4" s="10"/>
      <c r="G4" s="11"/>
      <c r="H4" s="12">
        <f t="shared" si="0"/>
        <v>0</v>
      </c>
      <c r="I4" s="13">
        <f t="shared" si="1"/>
        <v>0</v>
      </c>
      <c r="J4" s="13">
        <f t="shared" si="2"/>
        <v>0</v>
      </c>
      <c r="K4" s="13">
        <f t="shared" si="3"/>
        <v>0</v>
      </c>
      <c r="L4" s="13">
        <f t="shared" si="4"/>
        <v>0</v>
      </c>
      <c r="M4" s="13">
        <f t="shared" si="5"/>
        <v>10000000</v>
      </c>
      <c r="N4" s="13">
        <f t="shared" si="6"/>
        <v>10000000</v>
      </c>
      <c r="O4" s="13">
        <f t="shared" si="7"/>
        <v>0</v>
      </c>
      <c r="P4" s="12">
        <f t="shared" si="8"/>
        <v>0</v>
      </c>
      <c r="R4" s="15" t="s">
        <v>21</v>
      </c>
      <c r="S4" s="16">
        <v>10000000</v>
      </c>
    </row>
    <row r="5" spans="1:19" ht="15.75" customHeight="1" x14ac:dyDescent="0.3">
      <c r="A5" s="7" t="s">
        <v>22</v>
      </c>
      <c r="B5" s="8">
        <v>45471</v>
      </c>
      <c r="C5" s="9">
        <v>517.1</v>
      </c>
      <c r="D5" s="7" t="s">
        <v>18</v>
      </c>
      <c r="E5" s="9">
        <v>603.04999999999995</v>
      </c>
      <c r="F5" s="17">
        <v>16.62</v>
      </c>
      <c r="G5" s="11"/>
      <c r="H5" s="12">
        <f t="shared" si="0"/>
        <v>0.16621543221813947</v>
      </c>
      <c r="I5" s="13">
        <f t="shared" si="1"/>
        <v>33243.086443627893</v>
      </c>
      <c r="J5" s="13">
        <f t="shared" si="2"/>
        <v>33243.086443627893</v>
      </c>
      <c r="K5" s="13">
        <f t="shared" si="3"/>
        <v>0</v>
      </c>
      <c r="L5" s="13">
        <f t="shared" si="4"/>
        <v>33243.086443627893</v>
      </c>
      <c r="M5" s="13">
        <f t="shared" si="5"/>
        <v>10033243.086443627</v>
      </c>
      <c r="N5" s="13">
        <f t="shared" si="6"/>
        <v>10033243.086443627</v>
      </c>
      <c r="O5" s="13">
        <f t="shared" si="7"/>
        <v>0</v>
      </c>
      <c r="P5" s="12">
        <f t="shared" si="8"/>
        <v>0</v>
      </c>
      <c r="R5" s="15" t="s">
        <v>23</v>
      </c>
      <c r="S5" s="18">
        <v>0.02</v>
      </c>
    </row>
    <row r="6" spans="1:19" ht="15.75" customHeight="1" x14ac:dyDescent="0.3">
      <c r="A6" s="7" t="s">
        <v>24</v>
      </c>
      <c r="B6" s="8">
        <v>45471</v>
      </c>
      <c r="C6" s="9">
        <v>1785.35</v>
      </c>
      <c r="D6" s="8">
        <v>45504</v>
      </c>
      <c r="E6" s="9">
        <v>1677.25</v>
      </c>
      <c r="F6" s="17">
        <v>-6.05</v>
      </c>
      <c r="G6" s="11"/>
      <c r="H6" s="12">
        <f t="shared" si="0"/>
        <v>-6.0548351863780166E-2</v>
      </c>
      <c r="I6" s="13">
        <f t="shared" si="1"/>
        <v>-12109.670372756033</v>
      </c>
      <c r="J6" s="13">
        <f t="shared" si="2"/>
        <v>0</v>
      </c>
      <c r="K6" s="13">
        <f t="shared" si="3"/>
        <v>-12109.670372756033</v>
      </c>
      <c r="L6" s="13">
        <f t="shared" si="4"/>
        <v>21133.416070871863</v>
      </c>
      <c r="M6" s="13">
        <f t="shared" si="5"/>
        <v>10021133.416070871</v>
      </c>
      <c r="N6" s="13">
        <f t="shared" si="6"/>
        <v>10033243.086443627</v>
      </c>
      <c r="O6" s="13">
        <f t="shared" si="7"/>
        <v>-12109.670372756198</v>
      </c>
      <c r="P6" s="12">
        <f t="shared" si="8"/>
        <v>-1.2069547471762272E-3</v>
      </c>
      <c r="R6" s="15" t="s">
        <v>25</v>
      </c>
      <c r="S6" s="18">
        <v>0.06</v>
      </c>
    </row>
    <row r="7" spans="1:19" ht="15.75" customHeight="1" x14ac:dyDescent="0.4">
      <c r="A7" s="7" t="s">
        <v>26</v>
      </c>
      <c r="B7" s="8">
        <v>45471</v>
      </c>
      <c r="C7" s="9">
        <v>459.88</v>
      </c>
      <c r="D7" s="8">
        <v>45504</v>
      </c>
      <c r="E7" s="9">
        <v>470.23</v>
      </c>
      <c r="F7" s="17">
        <v>2.25</v>
      </c>
      <c r="G7" s="11"/>
      <c r="H7" s="12">
        <f t="shared" si="0"/>
        <v>2.2505871096807913E-2</v>
      </c>
      <c r="I7" s="13">
        <f t="shared" si="1"/>
        <v>4501.1742193615828</v>
      </c>
      <c r="J7" s="13">
        <f t="shared" si="2"/>
        <v>4501.1742193615828</v>
      </c>
      <c r="K7" s="13">
        <f t="shared" si="3"/>
        <v>0</v>
      </c>
      <c r="L7" s="13">
        <f t="shared" si="4"/>
        <v>25634.590290233446</v>
      </c>
      <c r="M7" s="13">
        <f t="shared" si="5"/>
        <v>10025634.590290233</v>
      </c>
      <c r="N7" s="13">
        <f t="shared" si="6"/>
        <v>10033243.086443627</v>
      </c>
      <c r="O7" s="13">
        <f t="shared" si="7"/>
        <v>-7608.4961533937603</v>
      </c>
      <c r="P7" s="12">
        <f t="shared" si="8"/>
        <v>-7.5832869669767563E-4</v>
      </c>
      <c r="R7" s="14" t="s">
        <v>27</v>
      </c>
      <c r="S7" s="14"/>
    </row>
    <row r="8" spans="1:19" ht="15.75" customHeight="1" x14ac:dyDescent="0.3">
      <c r="A8" s="7" t="s">
        <v>28</v>
      </c>
      <c r="B8" s="8">
        <v>45504</v>
      </c>
      <c r="C8" s="9">
        <v>170.66</v>
      </c>
      <c r="D8" s="7" t="s">
        <v>18</v>
      </c>
      <c r="E8" s="9">
        <v>170.66</v>
      </c>
      <c r="F8" s="10"/>
      <c r="G8" s="11"/>
      <c r="H8" s="12">
        <f t="shared" si="0"/>
        <v>0</v>
      </c>
      <c r="I8" s="13">
        <f t="shared" si="1"/>
        <v>0</v>
      </c>
      <c r="J8" s="13">
        <f t="shared" si="2"/>
        <v>0</v>
      </c>
      <c r="K8" s="13">
        <f t="shared" si="3"/>
        <v>0</v>
      </c>
      <c r="L8" s="13">
        <f t="shared" si="4"/>
        <v>25634.590290233446</v>
      </c>
      <c r="M8" s="13">
        <f t="shared" si="5"/>
        <v>10025634.590290233</v>
      </c>
      <c r="N8" s="13">
        <f t="shared" si="6"/>
        <v>10033243.086443627</v>
      </c>
      <c r="O8" s="13">
        <f t="shared" si="7"/>
        <v>-7608.4961533937603</v>
      </c>
      <c r="P8" s="12">
        <f t="shared" si="8"/>
        <v>-7.5832869669767563E-4</v>
      </c>
      <c r="R8" s="15" t="s">
        <v>29</v>
      </c>
      <c r="S8" s="19">
        <f>COUNTA(A3:A791)</f>
        <v>789</v>
      </c>
    </row>
    <row r="9" spans="1:19" ht="15.75" customHeight="1" x14ac:dyDescent="0.3">
      <c r="A9" s="7" t="s">
        <v>30</v>
      </c>
      <c r="B9" s="8">
        <v>45471</v>
      </c>
      <c r="C9" s="9">
        <v>1104.8499999999999</v>
      </c>
      <c r="D9" s="7" t="s">
        <v>18</v>
      </c>
      <c r="E9" s="9">
        <v>1157.3</v>
      </c>
      <c r="F9" s="17">
        <v>4.75</v>
      </c>
      <c r="G9" s="11"/>
      <c r="H9" s="12">
        <f t="shared" si="0"/>
        <v>4.7472507580214554E-2</v>
      </c>
      <c r="I9" s="13">
        <f t="shared" si="1"/>
        <v>9494.5015160429102</v>
      </c>
      <c r="J9" s="13">
        <f t="shared" si="2"/>
        <v>9494.5015160429102</v>
      </c>
      <c r="K9" s="13">
        <f t="shared" si="3"/>
        <v>0</v>
      </c>
      <c r="L9" s="13">
        <f t="shared" si="4"/>
        <v>35129.091806276352</v>
      </c>
      <c r="M9" s="13">
        <f t="shared" si="5"/>
        <v>10035129.091806276</v>
      </c>
      <c r="N9" s="13">
        <f t="shared" si="6"/>
        <v>10035129.091806276</v>
      </c>
      <c r="O9" s="13">
        <f t="shared" si="7"/>
        <v>0</v>
      </c>
      <c r="P9" s="12">
        <f t="shared" si="8"/>
        <v>0</v>
      </c>
      <c r="R9" s="15" t="s">
        <v>31</v>
      </c>
      <c r="S9" s="19">
        <f>COUNTIF(I3:I791, "&gt;0")</f>
        <v>403</v>
      </c>
    </row>
    <row r="10" spans="1:19" ht="15.75" customHeight="1" x14ac:dyDescent="0.3">
      <c r="A10" s="7" t="s">
        <v>32</v>
      </c>
      <c r="B10" s="8">
        <v>45504</v>
      </c>
      <c r="C10" s="9">
        <v>1960.35</v>
      </c>
      <c r="D10" s="7" t="s">
        <v>18</v>
      </c>
      <c r="E10" s="9">
        <v>1960.35</v>
      </c>
      <c r="F10" s="10"/>
      <c r="G10" s="11"/>
      <c r="H10" s="12">
        <f t="shared" si="0"/>
        <v>0</v>
      </c>
      <c r="I10" s="13">
        <f t="shared" si="1"/>
        <v>0</v>
      </c>
      <c r="J10" s="13">
        <f t="shared" si="2"/>
        <v>0</v>
      </c>
      <c r="K10" s="13">
        <f t="shared" si="3"/>
        <v>0</v>
      </c>
      <c r="L10" s="13">
        <f t="shared" si="4"/>
        <v>35129.091806276352</v>
      </c>
      <c r="M10" s="13">
        <f t="shared" si="5"/>
        <v>10035129.091806276</v>
      </c>
      <c r="N10" s="13">
        <f t="shared" si="6"/>
        <v>10035129.091806276</v>
      </c>
      <c r="O10" s="13">
        <f t="shared" si="7"/>
        <v>0</v>
      </c>
      <c r="P10" s="12">
        <f t="shared" si="8"/>
        <v>0</v>
      </c>
      <c r="R10" s="15" t="s">
        <v>33</v>
      </c>
      <c r="S10" s="19">
        <f>COUNTIF(I3:I791, "&lt;0")</f>
        <v>309</v>
      </c>
    </row>
    <row r="11" spans="1:19" ht="15.75" customHeight="1" x14ac:dyDescent="0.3">
      <c r="A11" s="7" t="s">
        <v>34</v>
      </c>
      <c r="B11" s="8">
        <v>45471</v>
      </c>
      <c r="C11" s="9">
        <v>2400.4499999999998</v>
      </c>
      <c r="D11" s="7" t="s">
        <v>18</v>
      </c>
      <c r="E11" s="9">
        <v>3116.2</v>
      </c>
      <c r="F11" s="17">
        <v>29.82</v>
      </c>
      <c r="G11" s="11"/>
      <c r="H11" s="12">
        <f t="shared" si="0"/>
        <v>0.2981732591805703</v>
      </c>
      <c r="I11" s="13">
        <f t="shared" si="1"/>
        <v>59634.651836114062</v>
      </c>
      <c r="J11" s="13">
        <f t="shared" si="2"/>
        <v>59634.651836114062</v>
      </c>
      <c r="K11" s="13">
        <f t="shared" si="3"/>
        <v>0</v>
      </c>
      <c r="L11" s="13">
        <f t="shared" si="4"/>
        <v>94763.743642390415</v>
      </c>
      <c r="M11" s="13">
        <f t="shared" si="5"/>
        <v>10094763.74364239</v>
      </c>
      <c r="N11" s="13">
        <f t="shared" si="6"/>
        <v>10094763.74364239</v>
      </c>
      <c r="O11" s="13">
        <f t="shared" si="7"/>
        <v>0</v>
      </c>
      <c r="P11" s="12">
        <f t="shared" si="8"/>
        <v>0</v>
      </c>
      <c r="R11" s="15" t="s">
        <v>35</v>
      </c>
      <c r="S11" s="19">
        <f>COUNTIF(I3:I791, "=0")</f>
        <v>77</v>
      </c>
    </row>
    <row r="12" spans="1:19" ht="15.75" customHeight="1" x14ac:dyDescent="0.3">
      <c r="A12" s="7" t="s">
        <v>36</v>
      </c>
      <c r="B12" s="8">
        <v>45504</v>
      </c>
      <c r="C12" s="9">
        <v>532.29999999999995</v>
      </c>
      <c r="D12" s="7" t="s">
        <v>18</v>
      </c>
      <c r="E12" s="9">
        <v>532.29999999999995</v>
      </c>
      <c r="F12" s="10"/>
      <c r="G12" s="11"/>
      <c r="H12" s="12">
        <f t="shared" si="0"/>
        <v>0</v>
      </c>
      <c r="I12" s="13">
        <f t="shared" si="1"/>
        <v>0</v>
      </c>
      <c r="J12" s="13">
        <f t="shared" si="2"/>
        <v>0</v>
      </c>
      <c r="K12" s="13">
        <f t="shared" si="3"/>
        <v>0</v>
      </c>
      <c r="L12" s="13">
        <f t="shared" si="4"/>
        <v>94763.743642390415</v>
      </c>
      <c r="M12" s="13">
        <f t="shared" si="5"/>
        <v>10094763.74364239</v>
      </c>
      <c r="N12" s="13">
        <f t="shared" si="6"/>
        <v>10094763.74364239</v>
      </c>
      <c r="O12" s="13">
        <f t="shared" si="7"/>
        <v>0</v>
      </c>
      <c r="P12" s="12">
        <f t="shared" si="8"/>
        <v>0</v>
      </c>
      <c r="R12" s="15" t="s">
        <v>37</v>
      </c>
      <c r="S12" s="18">
        <f>S9/S8</f>
        <v>0.51077313054499363</v>
      </c>
    </row>
    <row r="13" spans="1:19" ht="15.75" customHeight="1" x14ac:dyDescent="0.3">
      <c r="A13" s="7" t="s">
        <v>38</v>
      </c>
      <c r="B13" s="8">
        <v>45504</v>
      </c>
      <c r="C13" s="9">
        <v>2992.05</v>
      </c>
      <c r="D13" s="7" t="s">
        <v>18</v>
      </c>
      <c r="E13" s="9">
        <v>2992.05</v>
      </c>
      <c r="F13" s="10"/>
      <c r="G13" s="11"/>
      <c r="H13" s="12">
        <f t="shared" si="0"/>
        <v>0</v>
      </c>
      <c r="I13" s="13">
        <f t="shared" si="1"/>
        <v>0</v>
      </c>
      <c r="J13" s="13">
        <f t="shared" si="2"/>
        <v>0</v>
      </c>
      <c r="K13" s="13">
        <f t="shared" si="3"/>
        <v>0</v>
      </c>
      <c r="L13" s="13">
        <f t="shared" si="4"/>
        <v>94763.743642390415</v>
      </c>
      <c r="M13" s="13">
        <f t="shared" si="5"/>
        <v>10094763.74364239</v>
      </c>
      <c r="N13" s="13">
        <f t="shared" si="6"/>
        <v>10094763.74364239</v>
      </c>
      <c r="O13" s="13">
        <f t="shared" si="7"/>
        <v>0</v>
      </c>
      <c r="P13" s="12">
        <f t="shared" si="8"/>
        <v>0</v>
      </c>
      <c r="R13" s="15" t="s">
        <v>39</v>
      </c>
      <c r="S13" s="18">
        <f>S10/S8</f>
        <v>0.39163498098859317</v>
      </c>
    </row>
    <row r="14" spans="1:19" ht="15.75" customHeight="1" x14ac:dyDescent="0.4">
      <c r="A14" s="7" t="s">
        <v>40</v>
      </c>
      <c r="B14" s="8">
        <v>45471</v>
      </c>
      <c r="C14" s="9">
        <v>381.35</v>
      </c>
      <c r="D14" s="8">
        <v>45504</v>
      </c>
      <c r="E14" s="9">
        <v>383.5</v>
      </c>
      <c r="F14" s="17">
        <v>0.56000000000000005</v>
      </c>
      <c r="G14" s="11"/>
      <c r="H14" s="12">
        <f t="shared" si="0"/>
        <v>5.637865477907374E-3</v>
      </c>
      <c r="I14" s="13">
        <f t="shared" si="1"/>
        <v>1127.5730955814747</v>
      </c>
      <c r="J14" s="13">
        <f t="shared" si="2"/>
        <v>1127.5730955814747</v>
      </c>
      <c r="K14" s="13">
        <f t="shared" si="3"/>
        <v>0</v>
      </c>
      <c r="L14" s="13">
        <f t="shared" si="4"/>
        <v>95891.316737971894</v>
      </c>
      <c r="M14" s="13">
        <f t="shared" si="5"/>
        <v>10095891.316737972</v>
      </c>
      <c r="N14" s="13">
        <f t="shared" si="6"/>
        <v>10095891.316737972</v>
      </c>
      <c r="O14" s="13">
        <f t="shared" si="7"/>
        <v>0</v>
      </c>
      <c r="P14" s="12">
        <f t="shared" si="8"/>
        <v>0</v>
      </c>
      <c r="R14" s="14" t="s">
        <v>41</v>
      </c>
      <c r="S14" s="14"/>
    </row>
    <row r="15" spans="1:19" ht="15.75" customHeight="1" x14ac:dyDescent="0.3">
      <c r="A15" s="7" t="s">
        <v>42</v>
      </c>
      <c r="B15" s="8">
        <v>45471</v>
      </c>
      <c r="C15" s="9">
        <v>8683.25</v>
      </c>
      <c r="D15" s="8">
        <v>45504</v>
      </c>
      <c r="E15" s="9">
        <v>8933.15</v>
      </c>
      <c r="F15" s="17">
        <v>2.88</v>
      </c>
      <c r="G15" s="11"/>
      <c r="H15" s="12">
        <f t="shared" si="0"/>
        <v>2.8779546828664342E-2</v>
      </c>
      <c r="I15" s="13">
        <f t="shared" si="1"/>
        <v>5755.9093657328685</v>
      </c>
      <c r="J15" s="13">
        <f t="shared" si="2"/>
        <v>5755.9093657328685</v>
      </c>
      <c r="K15" s="13">
        <f t="shared" si="3"/>
        <v>0</v>
      </c>
      <c r="L15" s="13">
        <f t="shared" si="4"/>
        <v>101647.22610370476</v>
      </c>
      <c r="M15" s="13">
        <f t="shared" si="5"/>
        <v>10101647.226103704</v>
      </c>
      <c r="N15" s="13">
        <f t="shared" si="6"/>
        <v>10101647.226103704</v>
      </c>
      <c r="O15" s="13">
        <f t="shared" si="7"/>
        <v>0</v>
      </c>
      <c r="P15" s="12">
        <f t="shared" si="8"/>
        <v>0</v>
      </c>
      <c r="R15" s="15" t="s">
        <v>43</v>
      </c>
      <c r="S15" s="16">
        <f>SUM(I3:I791)</f>
        <v>11395967.14647685</v>
      </c>
    </row>
    <row r="16" spans="1:19" ht="15.75" customHeight="1" x14ac:dyDescent="0.3">
      <c r="A16" s="7" t="s">
        <v>44</v>
      </c>
      <c r="B16" s="8">
        <v>45471</v>
      </c>
      <c r="C16" s="9">
        <v>1446.95</v>
      </c>
      <c r="D16" s="7" t="s">
        <v>18</v>
      </c>
      <c r="E16" s="9">
        <v>1596.1</v>
      </c>
      <c r="F16" s="17">
        <v>10.31</v>
      </c>
      <c r="G16" s="11"/>
      <c r="H16" s="12">
        <f t="shared" si="0"/>
        <v>0.10307889007913187</v>
      </c>
      <c r="I16" s="13">
        <f t="shared" si="1"/>
        <v>20615.778015826374</v>
      </c>
      <c r="J16" s="13">
        <f t="shared" si="2"/>
        <v>20615.778015826374</v>
      </c>
      <c r="K16" s="13">
        <f t="shared" si="3"/>
        <v>0</v>
      </c>
      <c r="L16" s="13">
        <f t="shared" si="4"/>
        <v>122263.00411953114</v>
      </c>
      <c r="M16" s="13">
        <f t="shared" si="5"/>
        <v>10122263.00411953</v>
      </c>
      <c r="N16" s="13">
        <f t="shared" si="6"/>
        <v>10122263.00411953</v>
      </c>
      <c r="O16" s="13">
        <f t="shared" si="7"/>
        <v>0</v>
      </c>
      <c r="P16" s="12">
        <f t="shared" si="8"/>
        <v>0</v>
      </c>
      <c r="R16" s="15" t="s">
        <v>45</v>
      </c>
      <c r="S16" s="16">
        <f>S4+S15</f>
        <v>21395967.14647685</v>
      </c>
    </row>
    <row r="17" spans="1:19" ht="15.75" customHeight="1" x14ac:dyDescent="0.3">
      <c r="A17" s="7" t="s">
        <v>46</v>
      </c>
      <c r="B17" s="8">
        <v>45504</v>
      </c>
      <c r="C17" s="9">
        <v>59.23</v>
      </c>
      <c r="D17" s="7" t="s">
        <v>18</v>
      </c>
      <c r="E17" s="9">
        <v>59.23</v>
      </c>
      <c r="F17" s="10"/>
      <c r="G17" s="11"/>
      <c r="H17" s="12">
        <f t="shared" si="0"/>
        <v>0</v>
      </c>
      <c r="I17" s="13">
        <f t="shared" si="1"/>
        <v>0</v>
      </c>
      <c r="J17" s="13">
        <f t="shared" si="2"/>
        <v>0</v>
      </c>
      <c r="K17" s="13">
        <f t="shared" si="3"/>
        <v>0</v>
      </c>
      <c r="L17" s="13">
        <f t="shared" si="4"/>
        <v>122263.00411953114</v>
      </c>
      <c r="M17" s="13">
        <f t="shared" si="5"/>
        <v>10122263.00411953</v>
      </c>
      <c r="N17" s="13">
        <f t="shared" si="6"/>
        <v>10122263.00411953</v>
      </c>
      <c r="O17" s="13">
        <f t="shared" si="7"/>
        <v>0</v>
      </c>
      <c r="P17" s="12">
        <f t="shared" si="8"/>
        <v>0</v>
      </c>
      <c r="R17" s="15" t="s">
        <v>47</v>
      </c>
      <c r="S17" s="18">
        <f>S15/S4</f>
        <v>1.1395967146476851</v>
      </c>
    </row>
    <row r="18" spans="1:19" ht="15.75" customHeight="1" x14ac:dyDescent="0.3">
      <c r="A18" s="7" t="s">
        <v>48</v>
      </c>
      <c r="B18" s="8">
        <v>45504</v>
      </c>
      <c r="C18" s="9">
        <v>461.3</v>
      </c>
      <c r="D18" s="7" t="s">
        <v>18</v>
      </c>
      <c r="E18" s="9">
        <v>461.3</v>
      </c>
      <c r="F18" s="10"/>
      <c r="G18" s="11"/>
      <c r="H18" s="12">
        <f t="shared" si="0"/>
        <v>0</v>
      </c>
      <c r="I18" s="13">
        <f t="shared" si="1"/>
        <v>0</v>
      </c>
      <c r="J18" s="13">
        <f t="shared" si="2"/>
        <v>0</v>
      </c>
      <c r="K18" s="13">
        <f t="shared" si="3"/>
        <v>0</v>
      </c>
      <c r="L18" s="13">
        <f t="shared" si="4"/>
        <v>122263.00411953114</v>
      </c>
      <c r="M18" s="13">
        <f t="shared" si="5"/>
        <v>10122263.00411953</v>
      </c>
      <c r="N18" s="13">
        <f t="shared" si="6"/>
        <v>10122263.00411953</v>
      </c>
      <c r="O18" s="13">
        <f t="shared" si="7"/>
        <v>0</v>
      </c>
      <c r="P18" s="12">
        <f t="shared" si="8"/>
        <v>0</v>
      </c>
      <c r="R18" s="15" t="s">
        <v>49</v>
      </c>
      <c r="S18" s="16">
        <f>AVERAGE(I3:I791)</f>
        <v>14443.557853582826</v>
      </c>
    </row>
    <row r="19" spans="1:19" ht="15.75" customHeight="1" x14ac:dyDescent="0.3">
      <c r="A19" s="7" t="s">
        <v>50</v>
      </c>
      <c r="B19" s="8">
        <v>45504</v>
      </c>
      <c r="C19" s="9">
        <v>253.9</v>
      </c>
      <c r="D19" s="7" t="s">
        <v>18</v>
      </c>
      <c r="E19" s="9">
        <v>253.9</v>
      </c>
      <c r="F19" s="10"/>
      <c r="G19" s="11"/>
      <c r="H19" s="12">
        <f t="shared" si="0"/>
        <v>0</v>
      </c>
      <c r="I19" s="13">
        <f t="shared" si="1"/>
        <v>0</v>
      </c>
      <c r="J19" s="13">
        <f t="shared" si="2"/>
        <v>0</v>
      </c>
      <c r="K19" s="13">
        <f t="shared" si="3"/>
        <v>0</v>
      </c>
      <c r="L19" s="13">
        <f t="shared" si="4"/>
        <v>122263.00411953114</v>
      </c>
      <c r="M19" s="13">
        <f t="shared" si="5"/>
        <v>10122263.00411953</v>
      </c>
      <c r="N19" s="13">
        <f t="shared" si="6"/>
        <v>10122263.00411953</v>
      </c>
      <c r="O19" s="13">
        <f t="shared" si="7"/>
        <v>0</v>
      </c>
      <c r="P19" s="12">
        <f t="shared" si="8"/>
        <v>0</v>
      </c>
      <c r="R19" s="15" t="s">
        <v>51</v>
      </c>
      <c r="S19" s="16">
        <f>MEDIAN(I3:I791)</f>
        <v>713.52122725651088</v>
      </c>
    </row>
    <row r="20" spans="1:19" ht="15.75" customHeight="1" x14ac:dyDescent="0.3">
      <c r="A20" s="7" t="s">
        <v>52</v>
      </c>
      <c r="B20" s="8">
        <v>45504</v>
      </c>
      <c r="C20" s="9">
        <v>901.2</v>
      </c>
      <c r="D20" s="7" t="s">
        <v>18</v>
      </c>
      <c r="E20" s="9">
        <v>901.2</v>
      </c>
      <c r="F20" s="10"/>
      <c r="G20" s="11"/>
      <c r="H20" s="12">
        <f t="shared" si="0"/>
        <v>0</v>
      </c>
      <c r="I20" s="13">
        <f t="shared" si="1"/>
        <v>0</v>
      </c>
      <c r="J20" s="13">
        <f t="shared" si="2"/>
        <v>0</v>
      </c>
      <c r="K20" s="13">
        <f t="shared" si="3"/>
        <v>0</v>
      </c>
      <c r="L20" s="13">
        <f t="shared" si="4"/>
        <v>122263.00411953114</v>
      </c>
      <c r="M20" s="13">
        <f t="shared" si="5"/>
        <v>10122263.00411953</v>
      </c>
      <c r="N20" s="13">
        <f t="shared" si="6"/>
        <v>10122263.00411953</v>
      </c>
      <c r="O20" s="13">
        <f t="shared" si="7"/>
        <v>0</v>
      </c>
      <c r="P20" s="12">
        <f t="shared" si="8"/>
        <v>0</v>
      </c>
      <c r="R20" s="15" t="s">
        <v>53</v>
      </c>
      <c r="S20" s="16">
        <f>SUM(J3:J791)</f>
        <v>19981765.807794422</v>
      </c>
    </row>
    <row r="21" spans="1:19" ht="15.75" customHeight="1" x14ac:dyDescent="0.3">
      <c r="A21" s="7" t="s">
        <v>54</v>
      </c>
      <c r="B21" s="8">
        <v>45471</v>
      </c>
      <c r="C21" s="9">
        <v>672.78</v>
      </c>
      <c r="D21" s="8">
        <v>45504</v>
      </c>
      <c r="E21" s="9">
        <v>677.48</v>
      </c>
      <c r="F21" s="17">
        <v>0.7</v>
      </c>
      <c r="G21" s="11"/>
      <c r="H21" s="12">
        <f t="shared" si="0"/>
        <v>6.9859389399209932E-3</v>
      </c>
      <c r="I21" s="13">
        <f t="shared" si="1"/>
        <v>1397.1877879841986</v>
      </c>
      <c r="J21" s="13">
        <f t="shared" si="2"/>
        <v>1397.1877879841986</v>
      </c>
      <c r="K21" s="13">
        <f t="shared" si="3"/>
        <v>0</v>
      </c>
      <c r="L21" s="13">
        <f t="shared" si="4"/>
        <v>123660.19190751533</v>
      </c>
      <c r="M21" s="13">
        <f t="shared" si="5"/>
        <v>10123660.191907516</v>
      </c>
      <c r="N21" s="13">
        <f t="shared" si="6"/>
        <v>10123660.191907516</v>
      </c>
      <c r="O21" s="13">
        <f t="shared" si="7"/>
        <v>0</v>
      </c>
      <c r="P21" s="12">
        <f t="shared" si="8"/>
        <v>0</v>
      </c>
      <c r="R21" s="15" t="s">
        <v>55</v>
      </c>
      <c r="S21" s="16">
        <f>SUM(K3:K791)</f>
        <v>-8585798.6613175645</v>
      </c>
    </row>
    <row r="22" spans="1:19" ht="15.75" customHeight="1" x14ac:dyDescent="0.3">
      <c r="A22" s="7" t="s">
        <v>56</v>
      </c>
      <c r="B22" s="8">
        <v>45471</v>
      </c>
      <c r="C22" s="9">
        <v>15603.9</v>
      </c>
      <c r="D22" s="8">
        <v>45504</v>
      </c>
      <c r="E22" s="9">
        <v>15276.95</v>
      </c>
      <c r="F22" s="17">
        <v>-2.1</v>
      </c>
      <c r="G22" s="11"/>
      <c r="H22" s="12">
        <f t="shared" si="0"/>
        <v>-2.0953095059568373E-2</v>
      </c>
      <c r="I22" s="13">
        <f t="shared" si="1"/>
        <v>-4190.6190119136745</v>
      </c>
      <c r="J22" s="13">
        <f t="shared" si="2"/>
        <v>0</v>
      </c>
      <c r="K22" s="13">
        <f t="shared" si="3"/>
        <v>-4190.6190119136745</v>
      </c>
      <c r="L22" s="13">
        <f t="shared" si="4"/>
        <v>119469.57289560165</v>
      </c>
      <c r="M22" s="13">
        <f t="shared" si="5"/>
        <v>10119469.572895601</v>
      </c>
      <c r="N22" s="13">
        <f t="shared" si="6"/>
        <v>10123660.191907516</v>
      </c>
      <c r="O22" s="13">
        <f t="shared" si="7"/>
        <v>-4190.6190119143575</v>
      </c>
      <c r="P22" s="12">
        <f t="shared" si="8"/>
        <v>-4.1394307320431252E-4</v>
      </c>
      <c r="R22" s="15" t="s">
        <v>57</v>
      </c>
      <c r="S22" s="20">
        <f>S20/ABS(S21)</f>
        <v>2.3273042609093806</v>
      </c>
    </row>
    <row r="23" spans="1:19" ht="15.75" customHeight="1" x14ac:dyDescent="0.3">
      <c r="A23" s="7" t="s">
        <v>58</v>
      </c>
      <c r="B23" s="8">
        <v>45504</v>
      </c>
      <c r="C23" s="9">
        <v>556.4</v>
      </c>
      <c r="D23" s="7" t="s">
        <v>18</v>
      </c>
      <c r="E23" s="9">
        <v>556.4</v>
      </c>
      <c r="F23" s="10"/>
      <c r="G23" s="11"/>
      <c r="H23" s="12">
        <f t="shared" si="0"/>
        <v>0</v>
      </c>
      <c r="I23" s="13">
        <f t="shared" si="1"/>
        <v>0</v>
      </c>
      <c r="J23" s="13">
        <f t="shared" si="2"/>
        <v>0</v>
      </c>
      <c r="K23" s="13">
        <f t="shared" si="3"/>
        <v>0</v>
      </c>
      <c r="L23" s="13">
        <f t="shared" si="4"/>
        <v>119469.57289560165</v>
      </c>
      <c r="M23" s="13">
        <f t="shared" si="5"/>
        <v>10119469.572895601</v>
      </c>
      <c r="N23" s="13">
        <f t="shared" si="6"/>
        <v>10123660.191907516</v>
      </c>
      <c r="O23" s="13">
        <f t="shared" si="7"/>
        <v>-4190.6190119143575</v>
      </c>
      <c r="P23" s="12">
        <f t="shared" si="8"/>
        <v>-4.1394307320431252E-4</v>
      </c>
      <c r="R23" s="15" t="s">
        <v>59</v>
      </c>
      <c r="S23" s="16">
        <f>AVERAGEIF(I3:I791, "&gt;0")</f>
        <v>49582.545428770274</v>
      </c>
    </row>
    <row r="24" spans="1:19" ht="15.75" customHeight="1" x14ac:dyDescent="0.3">
      <c r="A24" s="7" t="s">
        <v>60</v>
      </c>
      <c r="B24" s="8">
        <v>45471</v>
      </c>
      <c r="C24" s="9">
        <v>348.7</v>
      </c>
      <c r="D24" s="7" t="s">
        <v>18</v>
      </c>
      <c r="E24" s="9">
        <v>405</v>
      </c>
      <c r="F24" s="17">
        <v>16.149999999999999</v>
      </c>
      <c r="G24" s="11"/>
      <c r="H24" s="12">
        <f t="shared" si="0"/>
        <v>0.16145683969027821</v>
      </c>
      <c r="I24" s="13">
        <f t="shared" si="1"/>
        <v>32291.367938055642</v>
      </c>
      <c r="J24" s="13">
        <f t="shared" si="2"/>
        <v>32291.367938055642</v>
      </c>
      <c r="K24" s="13">
        <f t="shared" si="3"/>
        <v>0</v>
      </c>
      <c r="L24" s="13">
        <f t="shared" si="4"/>
        <v>151760.94083365728</v>
      </c>
      <c r="M24" s="13">
        <f t="shared" si="5"/>
        <v>10151760.940833658</v>
      </c>
      <c r="N24" s="13">
        <f t="shared" si="6"/>
        <v>10151760.940833658</v>
      </c>
      <c r="O24" s="13">
        <f t="shared" si="7"/>
        <v>0</v>
      </c>
      <c r="P24" s="12">
        <f t="shared" si="8"/>
        <v>0</v>
      </c>
      <c r="R24" s="15" t="s">
        <v>61</v>
      </c>
      <c r="S24" s="16">
        <f>AVERAGEIF(I3:I791, "&lt;0")</f>
        <v>-27785.756185493738</v>
      </c>
    </row>
    <row r="25" spans="1:19" ht="15.75" customHeight="1" x14ac:dyDescent="0.3">
      <c r="A25" s="7" t="s">
        <v>62</v>
      </c>
      <c r="B25" s="8">
        <v>45504</v>
      </c>
      <c r="C25" s="9">
        <v>56.98</v>
      </c>
      <c r="D25" s="7" t="s">
        <v>18</v>
      </c>
      <c r="E25" s="9">
        <v>56.98</v>
      </c>
      <c r="F25" s="10"/>
      <c r="G25" s="11"/>
      <c r="H25" s="12">
        <f t="shared" si="0"/>
        <v>0</v>
      </c>
      <c r="I25" s="13">
        <f t="shared" si="1"/>
        <v>0</v>
      </c>
      <c r="J25" s="13">
        <f t="shared" si="2"/>
        <v>0</v>
      </c>
      <c r="K25" s="13">
        <f t="shared" si="3"/>
        <v>0</v>
      </c>
      <c r="L25" s="13">
        <f t="shared" si="4"/>
        <v>151760.94083365728</v>
      </c>
      <c r="M25" s="13">
        <f t="shared" si="5"/>
        <v>10151760.940833658</v>
      </c>
      <c r="N25" s="13">
        <f t="shared" si="6"/>
        <v>10151760.940833658</v>
      </c>
      <c r="O25" s="13">
        <f t="shared" si="7"/>
        <v>0</v>
      </c>
      <c r="P25" s="12">
        <f t="shared" si="8"/>
        <v>0</v>
      </c>
      <c r="R25" s="15" t="s">
        <v>63</v>
      </c>
      <c r="S25" s="20">
        <f>S23/ABS(S24)</f>
        <v>1.7844590983151327</v>
      </c>
    </row>
    <row r="26" spans="1:19" ht="15.75" customHeight="1" x14ac:dyDescent="0.3">
      <c r="A26" s="7" t="s">
        <v>64</v>
      </c>
      <c r="B26" s="8">
        <v>45471</v>
      </c>
      <c r="C26" s="9">
        <v>1549.8</v>
      </c>
      <c r="D26" s="8">
        <v>45504</v>
      </c>
      <c r="E26" s="9">
        <v>1651.1</v>
      </c>
      <c r="F26" s="17">
        <v>6.54</v>
      </c>
      <c r="G26" s="11"/>
      <c r="H26" s="12">
        <f t="shared" si="0"/>
        <v>6.5363272680345821E-2</v>
      </c>
      <c r="I26" s="13">
        <f t="shared" si="1"/>
        <v>13072.654536069163</v>
      </c>
      <c r="J26" s="13">
        <f t="shared" si="2"/>
        <v>13072.654536069163</v>
      </c>
      <c r="K26" s="13">
        <f t="shared" si="3"/>
        <v>0</v>
      </c>
      <c r="L26" s="13">
        <f t="shared" si="4"/>
        <v>164833.59536972645</v>
      </c>
      <c r="M26" s="13">
        <f t="shared" si="5"/>
        <v>10164833.595369726</v>
      </c>
      <c r="N26" s="13">
        <f t="shared" si="6"/>
        <v>10164833.595369726</v>
      </c>
      <c r="O26" s="13">
        <f t="shared" si="7"/>
        <v>0</v>
      </c>
      <c r="P26" s="12">
        <f t="shared" si="8"/>
        <v>0</v>
      </c>
      <c r="R26" s="15" t="s">
        <v>65</v>
      </c>
      <c r="S26" s="16">
        <f>(S12*S23)+(S13*S24)</f>
        <v>14443.55785358283</v>
      </c>
    </row>
    <row r="27" spans="1:19" ht="14.4" x14ac:dyDescent="0.3">
      <c r="A27" s="7" t="s">
        <v>66</v>
      </c>
      <c r="B27" s="8">
        <v>45504</v>
      </c>
      <c r="C27" s="9">
        <v>171.7</v>
      </c>
      <c r="D27" s="7" t="s">
        <v>18</v>
      </c>
      <c r="E27" s="9">
        <v>171.7</v>
      </c>
      <c r="F27" s="10"/>
      <c r="G27" s="11"/>
      <c r="H27" s="12">
        <f t="shared" si="0"/>
        <v>0</v>
      </c>
      <c r="I27" s="13">
        <f t="shared" si="1"/>
        <v>0</v>
      </c>
      <c r="J27" s="13">
        <f t="shared" si="2"/>
        <v>0</v>
      </c>
      <c r="K27" s="13">
        <f t="shared" si="3"/>
        <v>0</v>
      </c>
      <c r="L27" s="13">
        <f t="shared" si="4"/>
        <v>164833.59536972645</v>
      </c>
      <c r="M27" s="13">
        <f t="shared" si="5"/>
        <v>10164833.595369726</v>
      </c>
      <c r="N27" s="13">
        <f t="shared" si="6"/>
        <v>10164833.595369726</v>
      </c>
      <c r="O27" s="13">
        <f t="shared" si="7"/>
        <v>0</v>
      </c>
      <c r="P27" s="12">
        <f t="shared" si="8"/>
        <v>0</v>
      </c>
      <c r="R27" s="15" t="s">
        <v>67</v>
      </c>
      <c r="S27" s="18">
        <f>AVERAGE(H3:H791)</f>
        <v>7.2217789267914195E-2</v>
      </c>
    </row>
    <row r="28" spans="1:19" ht="16.8" x14ac:dyDescent="0.4">
      <c r="A28" s="7" t="s">
        <v>68</v>
      </c>
      <c r="B28" s="8">
        <v>45504</v>
      </c>
      <c r="C28" s="9">
        <v>3412.1</v>
      </c>
      <c r="D28" s="7" t="s">
        <v>18</v>
      </c>
      <c r="E28" s="9">
        <v>3412.1</v>
      </c>
      <c r="F28" s="10"/>
      <c r="G28" s="11"/>
      <c r="H28" s="12">
        <f t="shared" si="0"/>
        <v>0</v>
      </c>
      <c r="I28" s="13">
        <f t="shared" si="1"/>
        <v>0</v>
      </c>
      <c r="J28" s="13">
        <f t="shared" si="2"/>
        <v>0</v>
      </c>
      <c r="K28" s="13">
        <f t="shared" si="3"/>
        <v>0</v>
      </c>
      <c r="L28" s="13">
        <f t="shared" si="4"/>
        <v>164833.59536972645</v>
      </c>
      <c r="M28" s="13">
        <f t="shared" si="5"/>
        <v>10164833.595369726</v>
      </c>
      <c r="N28" s="13">
        <f t="shared" si="6"/>
        <v>10164833.595369726</v>
      </c>
      <c r="O28" s="13">
        <f t="shared" si="7"/>
        <v>0</v>
      </c>
      <c r="P28" s="12">
        <f t="shared" si="8"/>
        <v>0</v>
      </c>
      <c r="R28" s="14" t="s">
        <v>69</v>
      </c>
      <c r="S28" s="14"/>
    </row>
    <row r="29" spans="1:19" ht="14.4" x14ac:dyDescent="0.3">
      <c r="A29" s="7" t="s">
        <v>70</v>
      </c>
      <c r="B29" s="8">
        <v>45471</v>
      </c>
      <c r="C29" s="9">
        <v>542.15</v>
      </c>
      <c r="D29" s="8">
        <v>45504</v>
      </c>
      <c r="E29" s="9">
        <v>505.9</v>
      </c>
      <c r="F29" s="17">
        <v>-6.69</v>
      </c>
      <c r="G29" s="11"/>
      <c r="H29" s="12">
        <f t="shared" si="0"/>
        <v>-6.6863414184266348E-2</v>
      </c>
      <c r="I29" s="13">
        <f t="shared" si="1"/>
        <v>-13372.68283685327</v>
      </c>
      <c r="J29" s="13">
        <f t="shared" si="2"/>
        <v>0</v>
      </c>
      <c r="K29" s="13">
        <f t="shared" si="3"/>
        <v>-13372.68283685327</v>
      </c>
      <c r="L29" s="13">
        <f t="shared" si="4"/>
        <v>151460.91253287319</v>
      </c>
      <c r="M29" s="13">
        <f t="shared" si="5"/>
        <v>10151460.912532873</v>
      </c>
      <c r="N29" s="13">
        <f t="shared" si="6"/>
        <v>10164833.595369726</v>
      </c>
      <c r="O29" s="13">
        <f t="shared" si="7"/>
        <v>-13372.682836852968</v>
      </c>
      <c r="P29" s="12">
        <f t="shared" si="8"/>
        <v>-1.3155830551859183E-3</v>
      </c>
      <c r="R29" s="15" t="s">
        <v>71</v>
      </c>
      <c r="S29" s="21">
        <f>MIN(B3:B791)</f>
        <v>41361</v>
      </c>
    </row>
    <row r="30" spans="1:19" ht="14.4" x14ac:dyDescent="0.3">
      <c r="A30" s="7" t="s">
        <v>72</v>
      </c>
      <c r="B30" s="8">
        <v>45504</v>
      </c>
      <c r="C30" s="9">
        <v>84.31</v>
      </c>
      <c r="D30" s="7" t="s">
        <v>18</v>
      </c>
      <c r="E30" s="9">
        <v>84.31</v>
      </c>
      <c r="F30" s="10"/>
      <c r="G30" s="11"/>
      <c r="H30" s="12">
        <f t="shared" si="0"/>
        <v>0</v>
      </c>
      <c r="I30" s="13">
        <f t="shared" si="1"/>
        <v>0</v>
      </c>
      <c r="J30" s="13">
        <f t="shared" si="2"/>
        <v>0</v>
      </c>
      <c r="K30" s="13">
        <f t="shared" si="3"/>
        <v>0</v>
      </c>
      <c r="L30" s="13">
        <f t="shared" si="4"/>
        <v>151460.91253287319</v>
      </c>
      <c r="M30" s="13">
        <f t="shared" si="5"/>
        <v>10151460.912532873</v>
      </c>
      <c r="N30" s="13">
        <f t="shared" si="6"/>
        <v>10164833.595369726</v>
      </c>
      <c r="O30" s="13">
        <f t="shared" si="7"/>
        <v>-13372.682836852968</v>
      </c>
      <c r="P30" s="12">
        <f t="shared" si="8"/>
        <v>-1.3155830551859183E-3</v>
      </c>
      <c r="R30" s="15" t="s">
        <v>73</v>
      </c>
      <c r="S30" s="21">
        <f>MAX(B3:B791)</f>
        <v>45504</v>
      </c>
    </row>
    <row r="31" spans="1:19" ht="14.4" x14ac:dyDescent="0.3">
      <c r="A31" s="7" t="s">
        <v>74</v>
      </c>
      <c r="B31" s="8">
        <v>45471</v>
      </c>
      <c r="C31" s="9">
        <v>87.84</v>
      </c>
      <c r="D31" s="7" t="s">
        <v>18</v>
      </c>
      <c r="E31" s="9">
        <v>114.42</v>
      </c>
      <c r="F31" s="17">
        <v>30.26</v>
      </c>
      <c r="G31" s="11"/>
      <c r="H31" s="12">
        <f t="shared" si="0"/>
        <v>0.30259562841530052</v>
      </c>
      <c r="I31" s="13">
        <f t="shared" si="1"/>
        <v>60519.125683060105</v>
      </c>
      <c r="J31" s="13">
        <f t="shared" si="2"/>
        <v>60519.125683060105</v>
      </c>
      <c r="K31" s="13">
        <f t="shared" si="3"/>
        <v>0</v>
      </c>
      <c r="L31" s="13">
        <f t="shared" si="4"/>
        <v>211980.03821593331</v>
      </c>
      <c r="M31" s="13">
        <f t="shared" si="5"/>
        <v>10211980.038215933</v>
      </c>
      <c r="N31" s="13">
        <f t="shared" si="6"/>
        <v>10211980.038215933</v>
      </c>
      <c r="O31" s="13">
        <f t="shared" si="7"/>
        <v>0</v>
      </c>
      <c r="P31" s="12">
        <f t="shared" si="8"/>
        <v>0</v>
      </c>
      <c r="R31" s="15" t="s">
        <v>75</v>
      </c>
      <c r="S31" s="19">
        <f>S30-S29</f>
        <v>4143</v>
      </c>
    </row>
    <row r="32" spans="1:19" ht="14.4" x14ac:dyDescent="0.3">
      <c r="A32" s="7" t="s">
        <v>76</v>
      </c>
      <c r="B32" s="8">
        <v>45471</v>
      </c>
      <c r="C32" s="9">
        <v>6712.4</v>
      </c>
      <c r="D32" s="8">
        <v>45504</v>
      </c>
      <c r="E32" s="9">
        <v>6956.5</v>
      </c>
      <c r="F32" s="17">
        <v>3.64</v>
      </c>
      <c r="G32" s="11"/>
      <c r="H32" s="12">
        <f t="shared" si="0"/>
        <v>3.6365532447410816E-2</v>
      </c>
      <c r="I32" s="13">
        <f t="shared" si="1"/>
        <v>7273.1064894821629</v>
      </c>
      <c r="J32" s="13">
        <f t="shared" si="2"/>
        <v>7273.1064894821629</v>
      </c>
      <c r="K32" s="13">
        <f t="shared" si="3"/>
        <v>0</v>
      </c>
      <c r="L32" s="13">
        <f t="shared" si="4"/>
        <v>219253.14470541547</v>
      </c>
      <c r="M32" s="13">
        <f t="shared" si="5"/>
        <v>10219253.144705415</v>
      </c>
      <c r="N32" s="13">
        <f t="shared" si="6"/>
        <v>10219253.144705415</v>
      </c>
      <c r="O32" s="13">
        <f t="shared" si="7"/>
        <v>0</v>
      </c>
      <c r="P32" s="12">
        <f t="shared" si="8"/>
        <v>0</v>
      </c>
      <c r="R32" s="15" t="s">
        <v>77</v>
      </c>
      <c r="S32" s="20">
        <f>S31/365.25</f>
        <v>11.342915811088295</v>
      </c>
    </row>
    <row r="33" spans="1:19" ht="14.4" x14ac:dyDescent="0.3">
      <c r="A33" s="7" t="s">
        <v>78</v>
      </c>
      <c r="B33" s="8">
        <v>45471</v>
      </c>
      <c r="C33" s="9">
        <v>248.43</v>
      </c>
      <c r="D33" s="7" t="s">
        <v>18</v>
      </c>
      <c r="E33" s="9">
        <v>282.25</v>
      </c>
      <c r="F33" s="17">
        <v>13.61</v>
      </c>
      <c r="G33" s="11"/>
      <c r="H33" s="12">
        <f t="shared" si="0"/>
        <v>0.13613492734371851</v>
      </c>
      <c r="I33" s="13">
        <f t="shared" si="1"/>
        <v>27226.985468743704</v>
      </c>
      <c r="J33" s="13">
        <f t="shared" si="2"/>
        <v>27226.985468743704</v>
      </c>
      <c r="K33" s="13">
        <f t="shared" si="3"/>
        <v>0</v>
      </c>
      <c r="L33" s="13">
        <f t="shared" si="4"/>
        <v>246480.13017415919</v>
      </c>
      <c r="M33" s="13">
        <f t="shared" si="5"/>
        <v>10246480.13017416</v>
      </c>
      <c r="N33" s="13">
        <f t="shared" si="6"/>
        <v>10246480.13017416</v>
      </c>
      <c r="O33" s="13">
        <f t="shared" si="7"/>
        <v>0</v>
      </c>
      <c r="P33" s="12">
        <f t="shared" si="8"/>
        <v>0</v>
      </c>
      <c r="R33" s="15" t="s">
        <v>79</v>
      </c>
      <c r="S33" s="18">
        <f>(S16/S4)^(1/S32)-1</f>
        <v>6.9356001238188636E-2</v>
      </c>
    </row>
    <row r="34" spans="1:19" ht="16.8" x14ac:dyDescent="0.4">
      <c r="A34" s="7" t="s">
        <v>80</v>
      </c>
      <c r="B34" s="8">
        <v>45471</v>
      </c>
      <c r="C34" s="9">
        <v>4171.95</v>
      </c>
      <c r="D34" s="8">
        <v>45504</v>
      </c>
      <c r="E34" s="9">
        <v>4248.7</v>
      </c>
      <c r="F34" s="17">
        <v>1.84</v>
      </c>
      <c r="G34" s="11"/>
      <c r="H34" s="12">
        <f t="shared" si="0"/>
        <v>1.8396673018612399E-2</v>
      </c>
      <c r="I34" s="13">
        <f t="shared" si="1"/>
        <v>3679.3346037224796</v>
      </c>
      <c r="J34" s="13">
        <f t="shared" si="2"/>
        <v>3679.3346037224796</v>
      </c>
      <c r="K34" s="13">
        <f t="shared" si="3"/>
        <v>0</v>
      </c>
      <c r="L34" s="13">
        <f t="shared" si="4"/>
        <v>250159.46477788166</v>
      </c>
      <c r="M34" s="13">
        <f t="shared" si="5"/>
        <v>10250159.464777881</v>
      </c>
      <c r="N34" s="13">
        <f t="shared" si="6"/>
        <v>10250159.464777881</v>
      </c>
      <c r="O34" s="13">
        <f t="shared" si="7"/>
        <v>0</v>
      </c>
      <c r="P34" s="12">
        <f t="shared" si="8"/>
        <v>0</v>
      </c>
      <c r="R34" s="14" t="s">
        <v>81</v>
      </c>
      <c r="S34" s="14"/>
    </row>
    <row r="35" spans="1:19" ht="14.4" x14ac:dyDescent="0.3">
      <c r="A35" s="7" t="s">
        <v>82</v>
      </c>
      <c r="B35" s="8">
        <v>45504</v>
      </c>
      <c r="C35" s="9">
        <v>1350.26</v>
      </c>
      <c r="D35" s="7" t="s">
        <v>18</v>
      </c>
      <c r="E35" s="9">
        <v>1350.26</v>
      </c>
      <c r="F35" s="10"/>
      <c r="G35" s="11"/>
      <c r="H35" s="12">
        <f t="shared" si="0"/>
        <v>0</v>
      </c>
      <c r="I35" s="13">
        <f t="shared" si="1"/>
        <v>0</v>
      </c>
      <c r="J35" s="13">
        <f t="shared" si="2"/>
        <v>0</v>
      </c>
      <c r="K35" s="13">
        <f t="shared" si="3"/>
        <v>0</v>
      </c>
      <c r="L35" s="13">
        <f t="shared" si="4"/>
        <v>250159.46477788166</v>
      </c>
      <c r="M35" s="13">
        <f t="shared" si="5"/>
        <v>10250159.464777881</v>
      </c>
      <c r="N35" s="13">
        <f t="shared" si="6"/>
        <v>10250159.464777881</v>
      </c>
      <c r="O35" s="13">
        <f t="shared" si="7"/>
        <v>0</v>
      </c>
      <c r="P35" s="12">
        <f t="shared" si="8"/>
        <v>0</v>
      </c>
      <c r="R35" s="15" t="s">
        <v>83</v>
      </c>
      <c r="S35" s="16">
        <f>MIN(O3:O791)</f>
        <v>-2200602.5323969051</v>
      </c>
    </row>
    <row r="36" spans="1:19" ht="14.4" x14ac:dyDescent="0.3">
      <c r="A36" s="7" t="s">
        <v>84</v>
      </c>
      <c r="B36" s="8">
        <v>45471</v>
      </c>
      <c r="C36" s="9">
        <v>275.25</v>
      </c>
      <c r="D36" s="8">
        <v>45504</v>
      </c>
      <c r="E36" s="9">
        <v>349.25</v>
      </c>
      <c r="F36" s="17">
        <v>26.88</v>
      </c>
      <c r="G36" s="11"/>
      <c r="H36" s="12">
        <f t="shared" si="0"/>
        <v>0.26884650317892822</v>
      </c>
      <c r="I36" s="13">
        <f t="shared" si="1"/>
        <v>53769.300635785643</v>
      </c>
      <c r="J36" s="13">
        <f t="shared" si="2"/>
        <v>53769.300635785643</v>
      </c>
      <c r="K36" s="13">
        <f t="shared" si="3"/>
        <v>0</v>
      </c>
      <c r="L36" s="13">
        <f t="shared" si="4"/>
        <v>303928.76541366731</v>
      </c>
      <c r="M36" s="13">
        <f t="shared" si="5"/>
        <v>10303928.765413668</v>
      </c>
      <c r="N36" s="13">
        <f t="shared" si="6"/>
        <v>10303928.765413668</v>
      </c>
      <c r="O36" s="13">
        <f t="shared" si="7"/>
        <v>0</v>
      </c>
      <c r="P36" s="12">
        <f t="shared" si="8"/>
        <v>0</v>
      </c>
      <c r="R36" s="15" t="s">
        <v>85</v>
      </c>
      <c r="S36" s="18">
        <f>MIN(P3:P791)</f>
        <v>-0.12657767557638741</v>
      </c>
    </row>
    <row r="37" spans="1:19" ht="14.4" x14ac:dyDescent="0.3">
      <c r="A37" s="7" t="s">
        <v>86</v>
      </c>
      <c r="B37" s="8">
        <v>45471</v>
      </c>
      <c r="C37" s="9">
        <v>2678.15</v>
      </c>
      <c r="D37" s="8">
        <v>45504</v>
      </c>
      <c r="E37" s="9">
        <v>2600.9</v>
      </c>
      <c r="F37" s="17">
        <v>-2.88</v>
      </c>
      <c r="G37" s="11"/>
      <c r="H37" s="12">
        <f t="shared" si="0"/>
        <v>-2.884453820734462E-2</v>
      </c>
      <c r="I37" s="13">
        <f t="shared" si="1"/>
        <v>-5768.9076414689243</v>
      </c>
      <c r="J37" s="13">
        <f t="shared" si="2"/>
        <v>0</v>
      </c>
      <c r="K37" s="13">
        <f t="shared" si="3"/>
        <v>-5768.9076414689243</v>
      </c>
      <c r="L37" s="13">
        <f t="shared" si="4"/>
        <v>298159.85777219839</v>
      </c>
      <c r="M37" s="13">
        <f t="shared" si="5"/>
        <v>10298159.857772198</v>
      </c>
      <c r="N37" s="13">
        <f t="shared" si="6"/>
        <v>10303928.765413668</v>
      </c>
      <c r="O37" s="13">
        <f t="shared" si="7"/>
        <v>-5768.9076414704323</v>
      </c>
      <c r="P37" s="12">
        <f t="shared" si="8"/>
        <v>-5.5987456559622581E-4</v>
      </c>
      <c r="R37" s="15" t="s">
        <v>87</v>
      </c>
      <c r="S37" s="20">
        <f>S33/ABS(S36)</f>
        <v>0.54793233421586651</v>
      </c>
    </row>
    <row r="38" spans="1:19" ht="14.4" x14ac:dyDescent="0.3">
      <c r="A38" s="7" t="s">
        <v>88</v>
      </c>
      <c r="B38" s="8">
        <v>45471</v>
      </c>
      <c r="C38" s="9">
        <v>1559.4</v>
      </c>
      <c r="D38" s="8">
        <v>45504</v>
      </c>
      <c r="E38" s="9">
        <v>1533.15</v>
      </c>
      <c r="F38" s="17">
        <v>-1.68</v>
      </c>
      <c r="G38" s="11"/>
      <c r="H38" s="12">
        <f t="shared" si="0"/>
        <v>-1.6833397460561752E-2</v>
      </c>
      <c r="I38" s="13">
        <f t="shared" si="1"/>
        <v>-3366.6794921123505</v>
      </c>
      <c r="J38" s="13">
        <f t="shared" si="2"/>
        <v>0</v>
      </c>
      <c r="K38" s="13">
        <f t="shared" si="3"/>
        <v>-3366.6794921123505</v>
      </c>
      <c r="L38" s="13">
        <f t="shared" si="4"/>
        <v>294793.17828008602</v>
      </c>
      <c r="M38" s="13">
        <f t="shared" si="5"/>
        <v>10294793.178280085</v>
      </c>
      <c r="N38" s="13">
        <f t="shared" si="6"/>
        <v>10303928.765413668</v>
      </c>
      <c r="O38" s="13">
        <f t="shared" si="7"/>
        <v>-9135.5871335826814</v>
      </c>
      <c r="P38" s="12">
        <f t="shared" si="8"/>
        <v>-8.8661202358534727E-4</v>
      </c>
      <c r="R38" s="15" t="s">
        <v>89</v>
      </c>
      <c r="S38" s="18">
        <f>_xlfn.STDEV.S(H3:H791)</f>
        <v>0.27819870903822708</v>
      </c>
    </row>
    <row r="39" spans="1:19" ht="14.4" x14ac:dyDescent="0.3">
      <c r="A39" s="7" t="s">
        <v>90</v>
      </c>
      <c r="B39" s="8">
        <v>45471</v>
      </c>
      <c r="C39" s="9">
        <v>3736.15</v>
      </c>
      <c r="D39" s="7" t="s">
        <v>18</v>
      </c>
      <c r="E39" s="9">
        <v>3997.7</v>
      </c>
      <c r="F39" s="17">
        <v>7</v>
      </c>
      <c r="G39" s="11"/>
      <c r="H39" s="12">
        <f t="shared" si="0"/>
        <v>7.0005219276527905E-2</v>
      </c>
      <c r="I39" s="13">
        <f t="shared" si="1"/>
        <v>14001.043855305581</v>
      </c>
      <c r="J39" s="13">
        <f t="shared" si="2"/>
        <v>14001.043855305581</v>
      </c>
      <c r="K39" s="13">
        <f t="shared" si="3"/>
        <v>0</v>
      </c>
      <c r="L39" s="13">
        <f t="shared" si="4"/>
        <v>308794.22213539161</v>
      </c>
      <c r="M39" s="13">
        <f t="shared" si="5"/>
        <v>10308794.222135391</v>
      </c>
      <c r="N39" s="13">
        <f t="shared" si="6"/>
        <v>10308794.222135391</v>
      </c>
      <c r="O39" s="13">
        <f t="shared" si="7"/>
        <v>0</v>
      </c>
      <c r="P39" s="12">
        <f t="shared" si="8"/>
        <v>0</v>
      </c>
      <c r="R39" s="15" t="s">
        <v>91</v>
      </c>
      <c r="S39" s="18">
        <f>AVERAGE(H3:H791)*(S8/S32)</f>
        <v>5.0233852283981086</v>
      </c>
    </row>
    <row r="40" spans="1:19" ht="14.4" x14ac:dyDescent="0.3">
      <c r="A40" s="7" t="s">
        <v>92</v>
      </c>
      <c r="B40" s="8">
        <v>45504</v>
      </c>
      <c r="C40" s="9">
        <v>324.18</v>
      </c>
      <c r="D40" s="7" t="s">
        <v>18</v>
      </c>
      <c r="E40" s="9">
        <v>324.18</v>
      </c>
      <c r="F40" s="10"/>
      <c r="G40" s="11"/>
      <c r="H40" s="12">
        <f t="shared" si="0"/>
        <v>0</v>
      </c>
      <c r="I40" s="13">
        <f t="shared" si="1"/>
        <v>0</v>
      </c>
      <c r="J40" s="13">
        <f t="shared" si="2"/>
        <v>0</v>
      </c>
      <c r="K40" s="13">
        <f t="shared" si="3"/>
        <v>0</v>
      </c>
      <c r="L40" s="13">
        <f t="shared" si="4"/>
        <v>308794.22213539161</v>
      </c>
      <c r="M40" s="13">
        <f t="shared" si="5"/>
        <v>10308794.222135391</v>
      </c>
      <c r="N40" s="13">
        <f t="shared" si="6"/>
        <v>10308794.222135391</v>
      </c>
      <c r="O40" s="13">
        <f t="shared" si="7"/>
        <v>0</v>
      </c>
      <c r="P40" s="12">
        <f t="shared" si="8"/>
        <v>0</v>
      </c>
      <c r="R40" s="15" t="s">
        <v>93</v>
      </c>
      <c r="S40" s="18">
        <f>_xlfn.STDEV.S(H3:H791)*SQRT(S8/S32)</f>
        <v>2.3202311742494546</v>
      </c>
    </row>
    <row r="41" spans="1:19" ht="14.4" x14ac:dyDescent="0.3">
      <c r="A41" s="7" t="s">
        <v>94</v>
      </c>
      <c r="B41" s="8">
        <v>45504</v>
      </c>
      <c r="C41" s="9">
        <v>262.39999999999998</v>
      </c>
      <c r="D41" s="7" t="s">
        <v>18</v>
      </c>
      <c r="E41" s="9">
        <v>262.39999999999998</v>
      </c>
      <c r="F41" s="10"/>
      <c r="G41" s="11"/>
      <c r="H41" s="12">
        <f t="shared" si="0"/>
        <v>0</v>
      </c>
      <c r="I41" s="13">
        <f t="shared" si="1"/>
        <v>0</v>
      </c>
      <c r="J41" s="13">
        <f t="shared" si="2"/>
        <v>0</v>
      </c>
      <c r="K41" s="13">
        <f t="shared" si="3"/>
        <v>0</v>
      </c>
      <c r="L41" s="13">
        <f t="shared" si="4"/>
        <v>308794.22213539161</v>
      </c>
      <c r="M41" s="13">
        <f t="shared" si="5"/>
        <v>10308794.222135391</v>
      </c>
      <c r="N41" s="13">
        <f t="shared" si="6"/>
        <v>10308794.222135391</v>
      </c>
      <c r="O41" s="13">
        <f t="shared" si="7"/>
        <v>0</v>
      </c>
      <c r="P41" s="12">
        <f t="shared" si="8"/>
        <v>0</v>
      </c>
      <c r="R41" s="15" t="s">
        <v>95</v>
      </c>
      <c r="S41" s="20">
        <f>(S39-S6)/S40</f>
        <v>2.1391770283422979</v>
      </c>
    </row>
    <row r="42" spans="1:19" ht="16.8" x14ac:dyDescent="0.4">
      <c r="A42" s="7" t="s">
        <v>96</v>
      </c>
      <c r="B42" s="8">
        <v>45471</v>
      </c>
      <c r="C42" s="9">
        <v>2887.4</v>
      </c>
      <c r="D42" s="7" t="s">
        <v>18</v>
      </c>
      <c r="E42" s="9">
        <v>3706.35</v>
      </c>
      <c r="F42" s="17">
        <v>28.36</v>
      </c>
      <c r="G42" s="11"/>
      <c r="H42" s="12">
        <f t="shared" si="0"/>
        <v>0.28362887026390515</v>
      </c>
      <c r="I42" s="13">
        <f t="shared" si="1"/>
        <v>56725.774052781031</v>
      </c>
      <c r="J42" s="13">
        <f t="shared" si="2"/>
        <v>56725.774052781031</v>
      </c>
      <c r="K42" s="13">
        <f t="shared" si="3"/>
        <v>0</v>
      </c>
      <c r="L42" s="13">
        <f t="shared" si="4"/>
        <v>365519.99618817266</v>
      </c>
      <c r="M42" s="13">
        <f t="shared" si="5"/>
        <v>10365519.996188173</v>
      </c>
      <c r="N42" s="13">
        <f t="shared" si="6"/>
        <v>10365519.996188173</v>
      </c>
      <c r="O42" s="13">
        <f t="shared" si="7"/>
        <v>0</v>
      </c>
      <c r="P42" s="12">
        <f t="shared" si="8"/>
        <v>0</v>
      </c>
      <c r="R42" s="14" t="s">
        <v>97</v>
      </c>
      <c r="S42" s="14"/>
    </row>
    <row r="43" spans="1:19" ht="14.4" x14ac:dyDescent="0.3">
      <c r="A43" s="7" t="s">
        <v>98</v>
      </c>
      <c r="B43" s="8">
        <v>45504</v>
      </c>
      <c r="C43" s="9">
        <v>20138.75</v>
      </c>
      <c r="D43" s="7" t="s">
        <v>18</v>
      </c>
      <c r="E43" s="9">
        <v>20138.75</v>
      </c>
      <c r="F43" s="10"/>
      <c r="G43" s="11"/>
      <c r="H43" s="12">
        <f t="shared" si="0"/>
        <v>0</v>
      </c>
      <c r="I43" s="13">
        <f t="shared" si="1"/>
        <v>0</v>
      </c>
      <c r="J43" s="13">
        <f t="shared" si="2"/>
        <v>0</v>
      </c>
      <c r="K43" s="13">
        <f t="shared" si="3"/>
        <v>0</v>
      </c>
      <c r="L43" s="13">
        <f t="shared" si="4"/>
        <v>365519.99618817266</v>
      </c>
      <c r="M43" s="13">
        <f t="shared" si="5"/>
        <v>10365519.996188173</v>
      </c>
      <c r="N43" s="13">
        <f t="shared" si="6"/>
        <v>10365519.996188173</v>
      </c>
      <c r="O43" s="13">
        <f t="shared" si="7"/>
        <v>0</v>
      </c>
      <c r="P43" s="12">
        <f t="shared" si="8"/>
        <v>0</v>
      </c>
      <c r="R43" s="15" t="s">
        <v>99</v>
      </c>
      <c r="S43" s="20">
        <f>SKEW(I3:I791)</f>
        <v>1.7825387969815245</v>
      </c>
    </row>
    <row r="44" spans="1:19" ht="14.4" x14ac:dyDescent="0.3">
      <c r="A44" s="7" t="s">
        <v>100</v>
      </c>
      <c r="B44" s="8">
        <v>45379</v>
      </c>
      <c r="C44" s="9">
        <v>512.5</v>
      </c>
      <c r="D44" s="8">
        <v>45504</v>
      </c>
      <c r="E44" s="9">
        <v>607.75</v>
      </c>
      <c r="F44" s="17">
        <v>18.59</v>
      </c>
      <c r="G44" s="11"/>
      <c r="H44" s="12">
        <f t="shared" si="0"/>
        <v>0.18585365853658536</v>
      </c>
      <c r="I44" s="13">
        <f t="shared" si="1"/>
        <v>37170.731707317071</v>
      </c>
      <c r="J44" s="13">
        <f t="shared" si="2"/>
        <v>37170.731707317071</v>
      </c>
      <c r="K44" s="13">
        <f t="shared" si="3"/>
        <v>0</v>
      </c>
      <c r="L44" s="13">
        <f t="shared" si="4"/>
        <v>402690.72789548972</v>
      </c>
      <c r="M44" s="13">
        <f t="shared" si="5"/>
        <v>10402690.727895489</v>
      </c>
      <c r="N44" s="13">
        <f t="shared" si="6"/>
        <v>10402690.727895489</v>
      </c>
      <c r="O44" s="13">
        <f t="shared" si="7"/>
        <v>0</v>
      </c>
      <c r="P44" s="12">
        <f t="shared" si="8"/>
        <v>0</v>
      </c>
      <c r="R44" s="15" t="s">
        <v>101</v>
      </c>
      <c r="S44" s="20">
        <f>KURT(I3:I791)</f>
        <v>5.0455629289662847</v>
      </c>
    </row>
    <row r="45" spans="1:19" ht="14.4" x14ac:dyDescent="0.3">
      <c r="A45" s="7" t="s">
        <v>102</v>
      </c>
      <c r="B45" s="8">
        <v>45504</v>
      </c>
      <c r="C45" s="9">
        <v>57.85</v>
      </c>
      <c r="D45" s="7" t="s">
        <v>18</v>
      </c>
      <c r="E45" s="9">
        <v>57.85</v>
      </c>
      <c r="F45" s="10"/>
      <c r="G45" s="11"/>
      <c r="H45" s="12">
        <f t="shared" si="0"/>
        <v>0</v>
      </c>
      <c r="I45" s="13">
        <f t="shared" si="1"/>
        <v>0</v>
      </c>
      <c r="J45" s="13">
        <f t="shared" si="2"/>
        <v>0</v>
      </c>
      <c r="K45" s="13">
        <f t="shared" si="3"/>
        <v>0</v>
      </c>
      <c r="L45" s="13">
        <f t="shared" si="4"/>
        <v>402690.72789548972</v>
      </c>
      <c r="M45" s="13">
        <f t="shared" si="5"/>
        <v>10402690.727895489</v>
      </c>
      <c r="N45" s="13">
        <f t="shared" si="6"/>
        <v>10402690.727895489</v>
      </c>
      <c r="O45" s="13">
        <f t="shared" si="7"/>
        <v>0</v>
      </c>
      <c r="P45" s="12">
        <f t="shared" si="8"/>
        <v>0</v>
      </c>
    </row>
    <row r="46" spans="1:19" ht="14.4" x14ac:dyDescent="0.3">
      <c r="A46" s="7" t="s">
        <v>103</v>
      </c>
      <c r="B46" s="8">
        <v>45504</v>
      </c>
      <c r="C46" s="9">
        <v>300.10000000000002</v>
      </c>
      <c r="D46" s="7" t="s">
        <v>18</v>
      </c>
      <c r="E46" s="9">
        <v>300.10000000000002</v>
      </c>
      <c r="F46" s="10"/>
      <c r="G46" s="11"/>
      <c r="H46" s="12">
        <f t="shared" si="0"/>
        <v>0</v>
      </c>
      <c r="I46" s="13">
        <f t="shared" si="1"/>
        <v>0</v>
      </c>
      <c r="J46" s="13">
        <f t="shared" si="2"/>
        <v>0</v>
      </c>
      <c r="K46" s="13">
        <f t="shared" si="3"/>
        <v>0</v>
      </c>
      <c r="L46" s="13">
        <f t="shared" si="4"/>
        <v>402690.72789548972</v>
      </c>
      <c r="M46" s="13">
        <f t="shared" si="5"/>
        <v>10402690.727895489</v>
      </c>
      <c r="N46" s="13">
        <f t="shared" si="6"/>
        <v>10402690.727895489</v>
      </c>
      <c r="O46" s="13">
        <f t="shared" si="7"/>
        <v>0</v>
      </c>
      <c r="P46" s="12">
        <f t="shared" si="8"/>
        <v>0</v>
      </c>
    </row>
    <row r="47" spans="1:19" ht="14.4" x14ac:dyDescent="0.3">
      <c r="A47" s="7" t="s">
        <v>104</v>
      </c>
      <c r="B47" s="8">
        <v>45504</v>
      </c>
      <c r="C47" s="9">
        <v>51.54</v>
      </c>
      <c r="D47" s="7" t="s">
        <v>18</v>
      </c>
      <c r="E47" s="9">
        <v>51.54</v>
      </c>
      <c r="F47" s="10"/>
      <c r="G47" s="11"/>
      <c r="H47" s="12">
        <f t="shared" si="0"/>
        <v>0</v>
      </c>
      <c r="I47" s="13">
        <f t="shared" si="1"/>
        <v>0</v>
      </c>
      <c r="J47" s="13">
        <f t="shared" si="2"/>
        <v>0</v>
      </c>
      <c r="K47" s="13">
        <f t="shared" si="3"/>
        <v>0</v>
      </c>
      <c r="L47" s="13">
        <f t="shared" si="4"/>
        <v>402690.72789548972</v>
      </c>
      <c r="M47" s="13">
        <f t="shared" si="5"/>
        <v>10402690.727895489</v>
      </c>
      <c r="N47" s="13">
        <f t="shared" si="6"/>
        <v>10402690.727895489</v>
      </c>
      <c r="O47" s="13">
        <f t="shared" si="7"/>
        <v>0</v>
      </c>
      <c r="P47" s="12">
        <f t="shared" si="8"/>
        <v>0</v>
      </c>
    </row>
    <row r="48" spans="1:19" ht="14.4" x14ac:dyDescent="0.3">
      <c r="A48" s="7" t="s">
        <v>105</v>
      </c>
      <c r="B48" s="8">
        <v>45471</v>
      </c>
      <c r="C48" s="9">
        <v>193.19</v>
      </c>
      <c r="D48" s="7" t="s">
        <v>18</v>
      </c>
      <c r="E48" s="9">
        <v>218.59</v>
      </c>
      <c r="F48" s="17">
        <v>13.15</v>
      </c>
      <c r="G48" s="11"/>
      <c r="H48" s="12">
        <f t="shared" si="0"/>
        <v>0.13147678451265596</v>
      </c>
      <c r="I48" s="13">
        <f t="shared" si="1"/>
        <v>26295.356902531192</v>
      </c>
      <c r="J48" s="13">
        <f t="shared" si="2"/>
        <v>26295.356902531192</v>
      </c>
      <c r="K48" s="13">
        <f t="shared" si="3"/>
        <v>0</v>
      </c>
      <c r="L48" s="13">
        <f t="shared" si="4"/>
        <v>428986.08479802089</v>
      </c>
      <c r="M48" s="13">
        <f t="shared" si="5"/>
        <v>10428986.084798021</v>
      </c>
      <c r="N48" s="13">
        <f t="shared" si="6"/>
        <v>10428986.084798021</v>
      </c>
      <c r="O48" s="13">
        <f t="shared" si="7"/>
        <v>0</v>
      </c>
      <c r="P48" s="12">
        <f t="shared" si="8"/>
        <v>0</v>
      </c>
    </row>
    <row r="49" spans="1:16" ht="14.4" x14ac:dyDescent="0.3">
      <c r="A49" s="7" t="s">
        <v>106</v>
      </c>
      <c r="B49" s="8">
        <v>45471</v>
      </c>
      <c r="C49" s="9">
        <v>555.45000000000005</v>
      </c>
      <c r="D49" s="8">
        <v>45504</v>
      </c>
      <c r="E49" s="9">
        <v>554</v>
      </c>
      <c r="F49" s="17">
        <v>-0.26</v>
      </c>
      <c r="G49" s="11"/>
      <c r="H49" s="12">
        <f t="shared" si="0"/>
        <v>-2.6104959942389871E-3</v>
      </c>
      <c r="I49" s="13">
        <f t="shared" si="1"/>
        <v>-522.09919884779742</v>
      </c>
      <c r="J49" s="13">
        <f t="shared" si="2"/>
        <v>0</v>
      </c>
      <c r="K49" s="13">
        <f t="shared" si="3"/>
        <v>-522.09919884779742</v>
      </c>
      <c r="L49" s="13">
        <f t="shared" si="4"/>
        <v>428463.98559917312</v>
      </c>
      <c r="M49" s="13">
        <f t="shared" si="5"/>
        <v>10428463.985599173</v>
      </c>
      <c r="N49" s="13">
        <f t="shared" si="6"/>
        <v>10428986.084798021</v>
      </c>
      <c r="O49" s="13">
        <f t="shared" si="7"/>
        <v>-522.09919884800911</v>
      </c>
      <c r="P49" s="12">
        <f t="shared" si="8"/>
        <v>-5.0062316183263046E-5</v>
      </c>
    </row>
    <row r="50" spans="1:16" ht="14.4" x14ac:dyDescent="0.3">
      <c r="A50" s="7" t="s">
        <v>107</v>
      </c>
      <c r="B50" s="8">
        <v>45471</v>
      </c>
      <c r="C50" s="9">
        <v>809.4</v>
      </c>
      <c r="D50" s="8">
        <v>45504</v>
      </c>
      <c r="E50" s="9">
        <v>848.45</v>
      </c>
      <c r="F50" s="17">
        <v>4.82</v>
      </c>
      <c r="G50" s="11"/>
      <c r="H50" s="12">
        <f t="shared" si="0"/>
        <v>4.8245614035087807E-2</v>
      </c>
      <c r="I50" s="13">
        <f t="shared" si="1"/>
        <v>9649.1228070175621</v>
      </c>
      <c r="J50" s="13">
        <f t="shared" si="2"/>
        <v>9649.1228070175621</v>
      </c>
      <c r="K50" s="13">
        <f t="shared" si="3"/>
        <v>0</v>
      </c>
      <c r="L50" s="13">
        <f t="shared" si="4"/>
        <v>438113.1084061907</v>
      </c>
      <c r="M50" s="13">
        <f t="shared" si="5"/>
        <v>10438113.10840619</v>
      </c>
      <c r="N50" s="13">
        <f t="shared" si="6"/>
        <v>10438113.10840619</v>
      </c>
      <c r="O50" s="13">
        <f t="shared" si="7"/>
        <v>0</v>
      </c>
      <c r="P50" s="12">
        <f t="shared" si="8"/>
        <v>0</v>
      </c>
    </row>
    <row r="51" spans="1:16" ht="14.4" x14ac:dyDescent="0.3">
      <c r="A51" s="7" t="s">
        <v>108</v>
      </c>
      <c r="B51" s="8">
        <v>45504</v>
      </c>
      <c r="C51" s="9">
        <v>1909.55</v>
      </c>
      <c r="D51" s="7" t="s">
        <v>18</v>
      </c>
      <c r="E51" s="9">
        <v>1909.55</v>
      </c>
      <c r="F51" s="10"/>
      <c r="G51" s="11"/>
      <c r="H51" s="12">
        <f t="shared" si="0"/>
        <v>0</v>
      </c>
      <c r="I51" s="13">
        <f t="shared" si="1"/>
        <v>0</v>
      </c>
      <c r="J51" s="13">
        <f t="shared" si="2"/>
        <v>0</v>
      </c>
      <c r="K51" s="13">
        <f t="shared" si="3"/>
        <v>0</v>
      </c>
      <c r="L51" s="13">
        <f t="shared" si="4"/>
        <v>438113.1084061907</v>
      </c>
      <c r="M51" s="13">
        <f t="shared" si="5"/>
        <v>10438113.10840619</v>
      </c>
      <c r="N51" s="13">
        <f t="shared" si="6"/>
        <v>10438113.10840619</v>
      </c>
      <c r="O51" s="13">
        <f t="shared" si="7"/>
        <v>0</v>
      </c>
      <c r="P51" s="12">
        <f t="shared" si="8"/>
        <v>0</v>
      </c>
    </row>
    <row r="52" spans="1:16" ht="14.4" x14ac:dyDescent="0.3">
      <c r="A52" s="7" t="s">
        <v>109</v>
      </c>
      <c r="B52" s="8">
        <v>45471</v>
      </c>
      <c r="C52" s="9">
        <v>1685.9</v>
      </c>
      <c r="D52" s="8">
        <v>45504</v>
      </c>
      <c r="E52" s="9">
        <v>1731.35</v>
      </c>
      <c r="F52" s="17">
        <v>2.7</v>
      </c>
      <c r="G52" s="11"/>
      <c r="H52" s="12">
        <f t="shared" si="0"/>
        <v>2.6958894359095924E-2</v>
      </c>
      <c r="I52" s="13">
        <f t="shared" si="1"/>
        <v>5391.778871819185</v>
      </c>
      <c r="J52" s="13">
        <f t="shared" si="2"/>
        <v>5391.778871819185</v>
      </c>
      <c r="K52" s="13">
        <f t="shared" si="3"/>
        <v>0</v>
      </c>
      <c r="L52" s="13">
        <f t="shared" si="4"/>
        <v>443504.8872780099</v>
      </c>
      <c r="M52" s="13">
        <f t="shared" si="5"/>
        <v>10443504.887278009</v>
      </c>
      <c r="N52" s="13">
        <f t="shared" si="6"/>
        <v>10443504.887278009</v>
      </c>
      <c r="O52" s="13">
        <f t="shared" si="7"/>
        <v>0</v>
      </c>
      <c r="P52" s="12">
        <f t="shared" si="8"/>
        <v>0</v>
      </c>
    </row>
    <row r="53" spans="1:16" ht="14.4" x14ac:dyDescent="0.3">
      <c r="A53" s="7" t="s">
        <v>110</v>
      </c>
      <c r="B53" s="8">
        <v>45504</v>
      </c>
      <c r="C53" s="9">
        <v>1510.1</v>
      </c>
      <c r="D53" s="7" t="s">
        <v>18</v>
      </c>
      <c r="E53" s="9">
        <v>1510.1</v>
      </c>
      <c r="F53" s="10"/>
      <c r="G53" s="11"/>
      <c r="H53" s="12">
        <f t="shared" si="0"/>
        <v>0</v>
      </c>
      <c r="I53" s="13">
        <f t="shared" si="1"/>
        <v>0</v>
      </c>
      <c r="J53" s="13">
        <f t="shared" si="2"/>
        <v>0</v>
      </c>
      <c r="K53" s="13">
        <f t="shared" si="3"/>
        <v>0</v>
      </c>
      <c r="L53" s="13">
        <f t="shared" si="4"/>
        <v>443504.8872780099</v>
      </c>
      <c r="M53" s="13">
        <f t="shared" si="5"/>
        <v>10443504.887278009</v>
      </c>
      <c r="N53" s="13">
        <f t="shared" si="6"/>
        <v>10443504.887278009</v>
      </c>
      <c r="O53" s="13">
        <f t="shared" si="7"/>
        <v>0</v>
      </c>
      <c r="P53" s="12">
        <f t="shared" si="8"/>
        <v>0</v>
      </c>
    </row>
    <row r="54" spans="1:16" ht="14.4" x14ac:dyDescent="0.3">
      <c r="A54" s="7" t="s">
        <v>111</v>
      </c>
      <c r="B54" s="8">
        <v>45471</v>
      </c>
      <c r="C54" s="9">
        <v>1154.05</v>
      </c>
      <c r="D54" s="8">
        <v>45504</v>
      </c>
      <c r="E54" s="9">
        <v>1082.7</v>
      </c>
      <c r="F54" s="17">
        <v>-6.18</v>
      </c>
      <c r="G54" s="11"/>
      <c r="H54" s="12">
        <f t="shared" si="0"/>
        <v>-6.1825744118538979E-2</v>
      </c>
      <c r="I54" s="13">
        <f t="shared" si="1"/>
        <v>-12365.148823707796</v>
      </c>
      <c r="J54" s="13">
        <f t="shared" si="2"/>
        <v>0</v>
      </c>
      <c r="K54" s="13">
        <f t="shared" si="3"/>
        <v>-12365.148823707796</v>
      </c>
      <c r="L54" s="13">
        <f t="shared" si="4"/>
        <v>431139.73845430213</v>
      </c>
      <c r="M54" s="13">
        <f t="shared" si="5"/>
        <v>10431139.738454303</v>
      </c>
      <c r="N54" s="13">
        <f t="shared" si="6"/>
        <v>10443504.887278009</v>
      </c>
      <c r="O54" s="13">
        <f t="shared" si="7"/>
        <v>-12365.148823706433</v>
      </c>
      <c r="P54" s="12">
        <f t="shared" si="8"/>
        <v>-1.184003737937569E-3</v>
      </c>
    </row>
    <row r="55" spans="1:16" ht="14.4" x14ac:dyDescent="0.3">
      <c r="A55" s="7" t="s">
        <v>112</v>
      </c>
      <c r="B55" s="8">
        <v>45471</v>
      </c>
      <c r="C55" s="9">
        <v>3142.95</v>
      </c>
      <c r="D55" s="8">
        <v>45504</v>
      </c>
      <c r="E55" s="9">
        <v>3209.4</v>
      </c>
      <c r="F55" s="17">
        <v>2.11</v>
      </c>
      <c r="G55" s="11"/>
      <c r="H55" s="12">
        <f t="shared" si="0"/>
        <v>2.1142557151720604E-2</v>
      </c>
      <c r="I55" s="13">
        <f t="shared" si="1"/>
        <v>4228.5114303441205</v>
      </c>
      <c r="J55" s="13">
        <f t="shared" si="2"/>
        <v>4228.5114303441205</v>
      </c>
      <c r="K55" s="13">
        <f t="shared" si="3"/>
        <v>0</v>
      </c>
      <c r="L55" s="13">
        <f t="shared" si="4"/>
        <v>435368.24988464627</v>
      </c>
      <c r="M55" s="13">
        <f t="shared" si="5"/>
        <v>10435368.249884646</v>
      </c>
      <c r="N55" s="13">
        <f t="shared" si="6"/>
        <v>10443504.887278009</v>
      </c>
      <c r="O55" s="13">
        <f t="shared" si="7"/>
        <v>-8136.6373933628201</v>
      </c>
      <c r="P55" s="12">
        <f t="shared" si="8"/>
        <v>-7.7910983728026481E-4</v>
      </c>
    </row>
    <row r="56" spans="1:16" ht="14.4" x14ac:dyDescent="0.3">
      <c r="A56" s="7" t="s">
        <v>113</v>
      </c>
      <c r="B56" s="8">
        <v>45471</v>
      </c>
      <c r="C56" s="9">
        <v>2025.5</v>
      </c>
      <c r="D56" s="7" t="s">
        <v>18</v>
      </c>
      <c r="E56" s="9">
        <v>2279.5500000000002</v>
      </c>
      <c r="F56" s="17">
        <v>12.54</v>
      </c>
      <c r="G56" s="11"/>
      <c r="H56" s="12">
        <f t="shared" si="0"/>
        <v>0.12542582078499145</v>
      </c>
      <c r="I56" s="13">
        <f t="shared" si="1"/>
        <v>25085.164156998289</v>
      </c>
      <c r="J56" s="13">
        <f t="shared" si="2"/>
        <v>25085.164156998289</v>
      </c>
      <c r="K56" s="13">
        <f t="shared" si="3"/>
        <v>0</v>
      </c>
      <c r="L56" s="13">
        <f t="shared" si="4"/>
        <v>460453.41404164454</v>
      </c>
      <c r="M56" s="13">
        <f t="shared" si="5"/>
        <v>10460453.414041644</v>
      </c>
      <c r="N56" s="13">
        <f t="shared" si="6"/>
        <v>10460453.414041644</v>
      </c>
      <c r="O56" s="13">
        <f t="shared" si="7"/>
        <v>0</v>
      </c>
      <c r="P56" s="12">
        <f t="shared" si="8"/>
        <v>0</v>
      </c>
    </row>
    <row r="57" spans="1:16" ht="14.4" x14ac:dyDescent="0.3">
      <c r="A57" s="7" t="s">
        <v>114</v>
      </c>
      <c r="B57" s="8">
        <v>45471</v>
      </c>
      <c r="C57" s="9">
        <v>129.71</v>
      </c>
      <c r="D57" s="7" t="s">
        <v>18</v>
      </c>
      <c r="E57" s="9">
        <v>150.69</v>
      </c>
      <c r="F57" s="17">
        <v>16.170000000000002</v>
      </c>
      <c r="G57" s="11"/>
      <c r="H57" s="12">
        <f t="shared" si="0"/>
        <v>0.16174543211780115</v>
      </c>
      <c r="I57" s="13">
        <f t="shared" si="1"/>
        <v>32349.086423560231</v>
      </c>
      <c r="J57" s="13">
        <f t="shared" si="2"/>
        <v>32349.086423560231</v>
      </c>
      <c r="K57" s="13">
        <f t="shared" si="3"/>
        <v>0</v>
      </c>
      <c r="L57" s="13">
        <f t="shared" si="4"/>
        <v>492802.50046520476</v>
      </c>
      <c r="M57" s="13">
        <f t="shared" si="5"/>
        <v>10492802.500465205</v>
      </c>
      <c r="N57" s="13">
        <f t="shared" si="6"/>
        <v>10492802.500465205</v>
      </c>
      <c r="O57" s="13">
        <f t="shared" si="7"/>
        <v>0</v>
      </c>
      <c r="P57" s="12">
        <f t="shared" si="8"/>
        <v>0</v>
      </c>
    </row>
    <row r="58" spans="1:16" ht="14.4" x14ac:dyDescent="0.3">
      <c r="A58" s="7" t="s">
        <v>115</v>
      </c>
      <c r="B58" s="8">
        <v>45471</v>
      </c>
      <c r="C58" s="9">
        <v>689.3</v>
      </c>
      <c r="D58" s="7" t="s">
        <v>18</v>
      </c>
      <c r="E58" s="9">
        <v>816.95</v>
      </c>
      <c r="F58" s="17">
        <v>18.52</v>
      </c>
      <c r="G58" s="11"/>
      <c r="H58" s="12">
        <f t="shared" si="0"/>
        <v>0.18518787175395343</v>
      </c>
      <c r="I58" s="13">
        <f t="shared" si="1"/>
        <v>37037.574350790688</v>
      </c>
      <c r="J58" s="13">
        <f t="shared" si="2"/>
        <v>37037.574350790688</v>
      </c>
      <c r="K58" s="13">
        <f t="shared" si="3"/>
        <v>0</v>
      </c>
      <c r="L58" s="13">
        <f t="shared" si="4"/>
        <v>529840.07481599541</v>
      </c>
      <c r="M58" s="13">
        <f t="shared" si="5"/>
        <v>10529840.074815996</v>
      </c>
      <c r="N58" s="13">
        <f t="shared" si="6"/>
        <v>10529840.074815996</v>
      </c>
      <c r="O58" s="13">
        <f t="shared" si="7"/>
        <v>0</v>
      </c>
      <c r="P58" s="12">
        <f t="shared" si="8"/>
        <v>0</v>
      </c>
    </row>
    <row r="59" spans="1:16" ht="14.4" x14ac:dyDescent="0.3">
      <c r="A59" s="7" t="s">
        <v>116</v>
      </c>
      <c r="B59" s="8">
        <v>45471</v>
      </c>
      <c r="C59" s="9">
        <v>236.17</v>
      </c>
      <c r="D59" s="8">
        <v>45504</v>
      </c>
      <c r="E59" s="9">
        <v>242.23</v>
      </c>
      <c r="F59" s="17">
        <v>2.57</v>
      </c>
      <c r="G59" s="11"/>
      <c r="H59" s="12">
        <f t="shared" si="0"/>
        <v>2.5659482576110441E-2</v>
      </c>
      <c r="I59" s="13">
        <f t="shared" si="1"/>
        <v>5131.8965152220881</v>
      </c>
      <c r="J59" s="13">
        <f t="shared" si="2"/>
        <v>5131.8965152220881</v>
      </c>
      <c r="K59" s="13">
        <f t="shared" si="3"/>
        <v>0</v>
      </c>
      <c r="L59" s="13">
        <f t="shared" si="4"/>
        <v>534971.97133121744</v>
      </c>
      <c r="M59" s="13">
        <f t="shared" si="5"/>
        <v>10534971.971331218</v>
      </c>
      <c r="N59" s="13">
        <f t="shared" si="6"/>
        <v>10534971.971331218</v>
      </c>
      <c r="O59" s="13">
        <f t="shared" si="7"/>
        <v>0</v>
      </c>
      <c r="P59" s="12">
        <f t="shared" si="8"/>
        <v>0</v>
      </c>
    </row>
    <row r="60" spans="1:16" ht="14.4" x14ac:dyDescent="0.3">
      <c r="A60" s="7" t="s">
        <v>117</v>
      </c>
      <c r="B60" s="8">
        <v>45471</v>
      </c>
      <c r="C60" s="9">
        <v>199.65</v>
      </c>
      <c r="D60" s="8">
        <v>45504</v>
      </c>
      <c r="E60" s="9">
        <v>224.13</v>
      </c>
      <c r="F60" s="17">
        <v>12.26</v>
      </c>
      <c r="G60" s="11"/>
      <c r="H60" s="12">
        <f t="shared" si="0"/>
        <v>0.12261457550713743</v>
      </c>
      <c r="I60" s="13">
        <f t="shared" si="1"/>
        <v>24522.915101427487</v>
      </c>
      <c r="J60" s="13">
        <f t="shared" si="2"/>
        <v>24522.915101427487</v>
      </c>
      <c r="K60" s="13">
        <f t="shared" si="3"/>
        <v>0</v>
      </c>
      <c r="L60" s="13">
        <f t="shared" si="4"/>
        <v>559494.88643264491</v>
      </c>
      <c r="M60" s="13">
        <f t="shared" si="5"/>
        <v>10559494.886432644</v>
      </c>
      <c r="N60" s="13">
        <f t="shared" si="6"/>
        <v>10559494.886432644</v>
      </c>
      <c r="O60" s="13">
        <f t="shared" si="7"/>
        <v>0</v>
      </c>
      <c r="P60" s="12">
        <f t="shared" si="8"/>
        <v>0</v>
      </c>
    </row>
    <row r="61" spans="1:16" ht="14.4" x14ac:dyDescent="0.3">
      <c r="A61" s="7" t="s">
        <v>118</v>
      </c>
      <c r="B61" s="8">
        <v>45471</v>
      </c>
      <c r="C61" s="9">
        <v>891.75</v>
      </c>
      <c r="D61" s="8">
        <v>45504</v>
      </c>
      <c r="E61" s="9">
        <v>883.3</v>
      </c>
      <c r="F61" s="17">
        <v>-0.95</v>
      </c>
      <c r="G61" s="11"/>
      <c r="H61" s="12">
        <f t="shared" si="0"/>
        <v>-9.4757499299131433E-3</v>
      </c>
      <c r="I61" s="13">
        <f t="shared" si="1"/>
        <v>-1895.1499859826288</v>
      </c>
      <c r="J61" s="13">
        <f t="shared" si="2"/>
        <v>0</v>
      </c>
      <c r="K61" s="13">
        <f t="shared" si="3"/>
        <v>-1895.1499859826288</v>
      </c>
      <c r="L61" s="13">
        <f t="shared" si="4"/>
        <v>557599.73644666234</v>
      </c>
      <c r="M61" s="13">
        <f t="shared" si="5"/>
        <v>10557599.736446662</v>
      </c>
      <c r="N61" s="13">
        <f t="shared" si="6"/>
        <v>10559494.886432644</v>
      </c>
      <c r="O61" s="13">
        <f t="shared" si="7"/>
        <v>-1895.1499859821051</v>
      </c>
      <c r="P61" s="12">
        <f t="shared" si="8"/>
        <v>-1.7947354550235984E-4</v>
      </c>
    </row>
    <row r="62" spans="1:16" ht="14.4" x14ac:dyDescent="0.3">
      <c r="A62" s="7" t="s">
        <v>119</v>
      </c>
      <c r="B62" s="8">
        <v>45471</v>
      </c>
      <c r="C62" s="9">
        <v>120.03</v>
      </c>
      <c r="D62" s="8">
        <v>45504</v>
      </c>
      <c r="E62" s="9">
        <v>119.15</v>
      </c>
      <c r="F62" s="17">
        <v>-0.73</v>
      </c>
      <c r="G62" s="11"/>
      <c r="H62" s="12">
        <f t="shared" si="0"/>
        <v>-7.3315004582187411E-3</v>
      </c>
      <c r="I62" s="13">
        <f t="shared" si="1"/>
        <v>-1466.3000916437481</v>
      </c>
      <c r="J62" s="13">
        <f t="shared" si="2"/>
        <v>0</v>
      </c>
      <c r="K62" s="13">
        <f t="shared" si="3"/>
        <v>-1466.3000916437481</v>
      </c>
      <c r="L62" s="13">
        <f t="shared" si="4"/>
        <v>556133.43635501864</v>
      </c>
      <c r="M62" s="13">
        <f t="shared" si="5"/>
        <v>10556133.436355019</v>
      </c>
      <c r="N62" s="13">
        <f t="shared" si="6"/>
        <v>10559494.886432644</v>
      </c>
      <c r="O62" s="13">
        <f t="shared" si="7"/>
        <v>-3361.4500776249915</v>
      </c>
      <c r="P62" s="12">
        <f t="shared" si="8"/>
        <v>-3.1833436293851017E-4</v>
      </c>
    </row>
    <row r="63" spans="1:16" ht="14.4" x14ac:dyDescent="0.3">
      <c r="A63" s="7" t="s">
        <v>120</v>
      </c>
      <c r="B63" s="8">
        <v>45471</v>
      </c>
      <c r="C63" s="9">
        <v>4361.1499999999996</v>
      </c>
      <c r="D63" s="8">
        <v>45504</v>
      </c>
      <c r="E63" s="9">
        <v>4527.3999999999996</v>
      </c>
      <c r="F63" s="17">
        <v>3.81</v>
      </c>
      <c r="G63" s="11"/>
      <c r="H63" s="12">
        <f t="shared" si="0"/>
        <v>3.812067917865701E-2</v>
      </c>
      <c r="I63" s="13">
        <f t="shared" si="1"/>
        <v>7624.135835731402</v>
      </c>
      <c r="J63" s="13">
        <f t="shared" si="2"/>
        <v>7624.135835731402</v>
      </c>
      <c r="K63" s="13">
        <f t="shared" si="3"/>
        <v>0</v>
      </c>
      <c r="L63" s="13">
        <f t="shared" si="4"/>
        <v>563757.57219075004</v>
      </c>
      <c r="M63" s="13">
        <f t="shared" si="5"/>
        <v>10563757.57219075</v>
      </c>
      <c r="N63" s="13">
        <f t="shared" si="6"/>
        <v>10563757.57219075</v>
      </c>
      <c r="O63" s="13">
        <f t="shared" si="7"/>
        <v>0</v>
      </c>
      <c r="P63" s="12">
        <f t="shared" si="8"/>
        <v>0</v>
      </c>
    </row>
    <row r="64" spans="1:16" ht="14.4" x14ac:dyDescent="0.3">
      <c r="A64" s="7" t="s">
        <v>121</v>
      </c>
      <c r="B64" s="8">
        <v>45471</v>
      </c>
      <c r="C64" s="9">
        <v>515.6</v>
      </c>
      <c r="D64" s="8">
        <v>45504</v>
      </c>
      <c r="E64" s="9">
        <v>413.6</v>
      </c>
      <c r="F64" s="17">
        <v>-19.78</v>
      </c>
      <c r="G64" s="11"/>
      <c r="H64" s="12">
        <f t="shared" si="0"/>
        <v>-0.1978277734678045</v>
      </c>
      <c r="I64" s="13">
        <f t="shared" si="1"/>
        <v>-39565.554693560902</v>
      </c>
      <c r="J64" s="13">
        <f t="shared" si="2"/>
        <v>0</v>
      </c>
      <c r="K64" s="13">
        <f t="shared" si="3"/>
        <v>-39565.554693560902</v>
      </c>
      <c r="L64" s="13">
        <f t="shared" si="4"/>
        <v>524192.01749718911</v>
      </c>
      <c r="M64" s="13">
        <f t="shared" si="5"/>
        <v>10524192.017497189</v>
      </c>
      <c r="N64" s="13">
        <f t="shared" si="6"/>
        <v>10563757.57219075</v>
      </c>
      <c r="O64" s="13">
        <f t="shared" si="7"/>
        <v>-39565.554693561047</v>
      </c>
      <c r="P64" s="12">
        <f t="shared" si="8"/>
        <v>-3.7454054036338319E-3</v>
      </c>
    </row>
    <row r="65" spans="1:16" ht="14.4" x14ac:dyDescent="0.3">
      <c r="A65" s="7" t="s">
        <v>122</v>
      </c>
      <c r="B65" s="8">
        <v>45471</v>
      </c>
      <c r="C65" s="9">
        <v>4241.45</v>
      </c>
      <c r="D65" s="7" t="s">
        <v>18</v>
      </c>
      <c r="E65" s="9">
        <v>4832.3</v>
      </c>
      <c r="F65" s="17">
        <v>13.93</v>
      </c>
      <c r="G65" s="11"/>
      <c r="H65" s="12">
        <f t="shared" si="0"/>
        <v>0.13930377583137851</v>
      </c>
      <c r="I65" s="13">
        <f t="shared" si="1"/>
        <v>27860.755166275703</v>
      </c>
      <c r="J65" s="13">
        <f t="shared" si="2"/>
        <v>27860.755166275703</v>
      </c>
      <c r="K65" s="13">
        <f t="shared" si="3"/>
        <v>0</v>
      </c>
      <c r="L65" s="13">
        <f t="shared" si="4"/>
        <v>552052.77266346477</v>
      </c>
      <c r="M65" s="13">
        <f t="shared" si="5"/>
        <v>10552052.772663465</v>
      </c>
      <c r="N65" s="13">
        <f t="shared" si="6"/>
        <v>10563757.57219075</v>
      </c>
      <c r="O65" s="13">
        <f t="shared" si="7"/>
        <v>-11704.799527285621</v>
      </c>
      <c r="P65" s="12">
        <f t="shared" si="8"/>
        <v>-1.1080147804696579E-3</v>
      </c>
    </row>
    <row r="66" spans="1:16" ht="14.4" x14ac:dyDescent="0.3">
      <c r="A66" s="7" t="s">
        <v>123</v>
      </c>
      <c r="B66" s="8">
        <v>45471</v>
      </c>
      <c r="C66" s="9">
        <v>2922.8</v>
      </c>
      <c r="D66" s="8">
        <v>45504</v>
      </c>
      <c r="E66" s="9">
        <v>1969.45</v>
      </c>
      <c r="F66" s="17">
        <v>-32.619999999999997</v>
      </c>
      <c r="G66" s="11"/>
      <c r="H66" s="12">
        <f t="shared" si="0"/>
        <v>-0.32617695360613114</v>
      </c>
      <c r="I66" s="13">
        <f t="shared" si="1"/>
        <v>-65235.390721226227</v>
      </c>
      <c r="J66" s="13">
        <f t="shared" si="2"/>
        <v>0</v>
      </c>
      <c r="K66" s="13">
        <f t="shared" si="3"/>
        <v>-65235.390721226227</v>
      </c>
      <c r="L66" s="13">
        <f t="shared" si="4"/>
        <v>486817.38194223854</v>
      </c>
      <c r="M66" s="13">
        <f t="shared" si="5"/>
        <v>10486817.381942239</v>
      </c>
      <c r="N66" s="13">
        <f t="shared" si="6"/>
        <v>10563757.57219075</v>
      </c>
      <c r="O66" s="13">
        <f t="shared" si="7"/>
        <v>-76940.190248511732</v>
      </c>
      <c r="P66" s="12">
        <f t="shared" si="8"/>
        <v>-7.2834112031364608E-3</v>
      </c>
    </row>
    <row r="67" spans="1:16" ht="14.4" x14ac:dyDescent="0.3">
      <c r="A67" s="7" t="s">
        <v>124</v>
      </c>
      <c r="B67" s="8">
        <v>45471</v>
      </c>
      <c r="C67" s="9">
        <v>890</v>
      </c>
      <c r="D67" s="8">
        <v>45504</v>
      </c>
      <c r="E67" s="9">
        <v>857.85</v>
      </c>
      <c r="F67" s="17">
        <v>-3.61</v>
      </c>
      <c r="G67" s="11"/>
      <c r="H67" s="12">
        <f t="shared" si="0"/>
        <v>-3.6123595505617952E-2</v>
      </c>
      <c r="I67" s="13">
        <f t="shared" si="1"/>
        <v>-7224.71910112359</v>
      </c>
      <c r="J67" s="13">
        <f t="shared" si="2"/>
        <v>0</v>
      </c>
      <c r="K67" s="13">
        <f t="shared" si="3"/>
        <v>-7224.71910112359</v>
      </c>
      <c r="L67" s="13">
        <f t="shared" si="4"/>
        <v>479592.66284111497</v>
      </c>
      <c r="M67" s="13">
        <f t="shared" si="5"/>
        <v>10479592.662841115</v>
      </c>
      <c r="N67" s="13">
        <f t="shared" si="6"/>
        <v>10563757.57219075</v>
      </c>
      <c r="O67" s="13">
        <f t="shared" si="7"/>
        <v>-84164.909349635243</v>
      </c>
      <c r="P67" s="12">
        <f t="shared" si="8"/>
        <v>-7.9673268507411254E-3</v>
      </c>
    </row>
    <row r="68" spans="1:16" ht="14.4" x14ac:dyDescent="0.3">
      <c r="A68" s="7" t="s">
        <v>125</v>
      </c>
      <c r="B68" s="8">
        <v>45471</v>
      </c>
      <c r="C68" s="9">
        <v>1266.05</v>
      </c>
      <c r="D68" s="8">
        <v>45504</v>
      </c>
      <c r="E68" s="9">
        <v>1588.3</v>
      </c>
      <c r="F68" s="17">
        <v>25.45</v>
      </c>
      <c r="G68" s="11"/>
      <c r="H68" s="12">
        <f t="shared" si="0"/>
        <v>0.25453181153982862</v>
      </c>
      <c r="I68" s="13">
        <f t="shared" si="1"/>
        <v>50906.362307965726</v>
      </c>
      <c r="J68" s="13">
        <f t="shared" si="2"/>
        <v>50906.362307965726</v>
      </c>
      <c r="K68" s="13">
        <f t="shared" si="3"/>
        <v>0</v>
      </c>
      <c r="L68" s="13">
        <f t="shared" si="4"/>
        <v>530499.02514908067</v>
      </c>
      <c r="M68" s="13">
        <f t="shared" si="5"/>
        <v>10530499.025149081</v>
      </c>
      <c r="N68" s="13">
        <f t="shared" si="6"/>
        <v>10563757.57219075</v>
      </c>
      <c r="O68" s="13">
        <f t="shared" si="7"/>
        <v>-33258.547041669488</v>
      </c>
      <c r="P68" s="12">
        <f t="shared" si="8"/>
        <v>-3.1483633370405157E-3</v>
      </c>
    </row>
    <row r="69" spans="1:16" ht="14.4" x14ac:dyDescent="0.3">
      <c r="A69" s="7" t="s">
        <v>126</v>
      </c>
      <c r="B69" s="8">
        <v>45471</v>
      </c>
      <c r="C69" s="9">
        <v>832.4</v>
      </c>
      <c r="D69" s="8">
        <v>45504</v>
      </c>
      <c r="E69" s="9">
        <v>775.65</v>
      </c>
      <c r="F69" s="17">
        <v>-6.82</v>
      </c>
      <c r="G69" s="11"/>
      <c r="H69" s="12">
        <f t="shared" si="0"/>
        <v>-6.8176357520422878E-2</v>
      </c>
      <c r="I69" s="13">
        <f t="shared" si="1"/>
        <v>-13635.271504084576</v>
      </c>
      <c r="J69" s="13">
        <f t="shared" si="2"/>
        <v>0</v>
      </c>
      <c r="K69" s="13">
        <f t="shared" si="3"/>
        <v>-13635.271504084576</v>
      </c>
      <c r="L69" s="13">
        <f t="shared" si="4"/>
        <v>516863.75364499609</v>
      </c>
      <c r="M69" s="13">
        <f t="shared" si="5"/>
        <v>10516863.753644995</v>
      </c>
      <c r="N69" s="13">
        <f t="shared" si="6"/>
        <v>10563757.57219075</v>
      </c>
      <c r="O69" s="13">
        <f t="shared" si="7"/>
        <v>-46893.818545754999</v>
      </c>
      <c r="P69" s="12">
        <f t="shared" si="8"/>
        <v>-4.439122937580817E-3</v>
      </c>
    </row>
    <row r="70" spans="1:16" ht="14.4" x14ac:dyDescent="0.3">
      <c r="A70" s="7" t="s">
        <v>127</v>
      </c>
      <c r="B70" s="8">
        <v>45471</v>
      </c>
      <c r="C70" s="9">
        <v>901.15</v>
      </c>
      <c r="D70" s="8">
        <v>45504</v>
      </c>
      <c r="E70" s="9">
        <v>936.85</v>
      </c>
      <c r="F70" s="17">
        <v>3.96</v>
      </c>
      <c r="G70" s="11"/>
      <c r="H70" s="12">
        <f t="shared" si="0"/>
        <v>3.961604616323592E-2</v>
      </c>
      <c r="I70" s="13">
        <f t="shared" si="1"/>
        <v>7923.2092326471839</v>
      </c>
      <c r="J70" s="13">
        <f t="shared" si="2"/>
        <v>7923.2092326471839</v>
      </c>
      <c r="K70" s="13">
        <f t="shared" si="3"/>
        <v>0</v>
      </c>
      <c r="L70" s="13">
        <f t="shared" si="4"/>
        <v>524786.96287764329</v>
      </c>
      <c r="M70" s="13">
        <f t="shared" si="5"/>
        <v>10524786.962877642</v>
      </c>
      <c r="N70" s="13">
        <f t="shared" si="6"/>
        <v>10563757.57219075</v>
      </c>
      <c r="O70" s="13">
        <f t="shared" si="7"/>
        <v>-38970.609313108027</v>
      </c>
      <c r="P70" s="12">
        <f t="shared" si="8"/>
        <v>-3.6890859191712937E-3</v>
      </c>
    </row>
    <row r="71" spans="1:16" ht="14.4" x14ac:dyDescent="0.3">
      <c r="A71" s="7" t="s">
        <v>128</v>
      </c>
      <c r="B71" s="8">
        <v>45471</v>
      </c>
      <c r="C71" s="9">
        <v>730.59</v>
      </c>
      <c r="D71" s="7" t="s">
        <v>18</v>
      </c>
      <c r="E71" s="9">
        <v>856.24</v>
      </c>
      <c r="F71" s="17">
        <v>17.2</v>
      </c>
      <c r="G71" s="11"/>
      <c r="H71" s="12">
        <f t="shared" si="0"/>
        <v>0.17198428667241542</v>
      </c>
      <c r="I71" s="13">
        <f t="shared" si="1"/>
        <v>34396.85733448308</v>
      </c>
      <c r="J71" s="13">
        <f t="shared" si="2"/>
        <v>34396.85733448308</v>
      </c>
      <c r="K71" s="13">
        <f t="shared" si="3"/>
        <v>0</v>
      </c>
      <c r="L71" s="13">
        <f t="shared" si="4"/>
        <v>559183.82021212636</v>
      </c>
      <c r="M71" s="13">
        <f t="shared" si="5"/>
        <v>10559183.820212126</v>
      </c>
      <c r="N71" s="13">
        <f t="shared" si="6"/>
        <v>10563757.57219075</v>
      </c>
      <c r="O71" s="13">
        <f t="shared" si="7"/>
        <v>-4573.7519786246121</v>
      </c>
      <c r="P71" s="12">
        <f t="shared" si="8"/>
        <v>-4.3296638978776664E-4</v>
      </c>
    </row>
    <row r="72" spans="1:16" ht="14.4" x14ac:dyDescent="0.3">
      <c r="A72" s="7" t="s">
        <v>129</v>
      </c>
      <c r="B72" s="8">
        <v>45471</v>
      </c>
      <c r="C72" s="9">
        <v>747.35</v>
      </c>
      <c r="D72" s="8">
        <v>45504</v>
      </c>
      <c r="E72" s="9">
        <v>793.35</v>
      </c>
      <c r="F72" s="17">
        <v>6.16</v>
      </c>
      <c r="G72" s="11"/>
      <c r="H72" s="12">
        <f t="shared" si="0"/>
        <v>6.1550812872148253E-2</v>
      </c>
      <c r="I72" s="13">
        <f t="shared" si="1"/>
        <v>12310.162574429651</v>
      </c>
      <c r="J72" s="13">
        <f t="shared" si="2"/>
        <v>12310.162574429651</v>
      </c>
      <c r="K72" s="13">
        <f t="shared" si="3"/>
        <v>0</v>
      </c>
      <c r="L72" s="13">
        <f t="shared" si="4"/>
        <v>571493.98278655601</v>
      </c>
      <c r="M72" s="13">
        <f t="shared" si="5"/>
        <v>10571493.982786557</v>
      </c>
      <c r="N72" s="13">
        <f t="shared" si="6"/>
        <v>10571493.982786557</v>
      </c>
      <c r="O72" s="13">
        <f t="shared" si="7"/>
        <v>0</v>
      </c>
      <c r="P72" s="12">
        <f t="shared" si="8"/>
        <v>0</v>
      </c>
    </row>
    <row r="73" spans="1:16" ht="14.4" x14ac:dyDescent="0.3">
      <c r="A73" s="7" t="s">
        <v>130</v>
      </c>
      <c r="B73" s="8">
        <v>45471</v>
      </c>
      <c r="C73" s="9">
        <v>556.54999999999995</v>
      </c>
      <c r="D73" s="8">
        <v>45504</v>
      </c>
      <c r="E73" s="9">
        <v>641.79999999999995</v>
      </c>
      <c r="F73" s="17">
        <v>15.32</v>
      </c>
      <c r="G73" s="11"/>
      <c r="H73" s="12">
        <f t="shared" si="0"/>
        <v>0.15317581529062979</v>
      </c>
      <c r="I73" s="13">
        <f t="shared" si="1"/>
        <v>30635.16305812596</v>
      </c>
      <c r="J73" s="13">
        <f t="shared" si="2"/>
        <v>30635.16305812596</v>
      </c>
      <c r="K73" s="13">
        <f t="shared" si="3"/>
        <v>0</v>
      </c>
      <c r="L73" s="13">
        <f t="shared" si="4"/>
        <v>602129.145844682</v>
      </c>
      <c r="M73" s="13">
        <f t="shared" si="5"/>
        <v>10602129.145844681</v>
      </c>
      <c r="N73" s="13">
        <f t="shared" si="6"/>
        <v>10602129.145844681</v>
      </c>
      <c r="O73" s="13">
        <f t="shared" si="7"/>
        <v>0</v>
      </c>
      <c r="P73" s="12">
        <f t="shared" si="8"/>
        <v>0</v>
      </c>
    </row>
    <row r="74" spans="1:16" ht="14.4" x14ac:dyDescent="0.3">
      <c r="A74" s="7" t="s">
        <v>131</v>
      </c>
      <c r="B74" s="8">
        <v>45471</v>
      </c>
      <c r="C74" s="9">
        <v>406.94</v>
      </c>
      <c r="D74" s="7" t="s">
        <v>18</v>
      </c>
      <c r="E74" s="9">
        <v>455.69</v>
      </c>
      <c r="F74" s="17">
        <v>11.98</v>
      </c>
      <c r="G74" s="11"/>
      <c r="H74" s="12">
        <f t="shared" si="0"/>
        <v>0.11979653020101244</v>
      </c>
      <c r="I74" s="13">
        <f t="shared" si="1"/>
        <v>23959.306040202489</v>
      </c>
      <c r="J74" s="13">
        <f t="shared" si="2"/>
        <v>23959.306040202489</v>
      </c>
      <c r="K74" s="13">
        <f t="shared" si="3"/>
        <v>0</v>
      </c>
      <c r="L74" s="13">
        <f t="shared" si="4"/>
        <v>626088.4518848845</v>
      </c>
      <c r="M74" s="13">
        <f t="shared" si="5"/>
        <v>10626088.451884884</v>
      </c>
      <c r="N74" s="13">
        <f t="shared" si="6"/>
        <v>10626088.451884884</v>
      </c>
      <c r="O74" s="13">
        <f t="shared" si="7"/>
        <v>0</v>
      </c>
      <c r="P74" s="12">
        <f t="shared" si="8"/>
        <v>0</v>
      </c>
    </row>
    <row r="75" spans="1:16" ht="14.4" x14ac:dyDescent="0.3">
      <c r="A75" s="7" t="s">
        <v>132</v>
      </c>
      <c r="B75" s="8">
        <v>45471</v>
      </c>
      <c r="C75" s="9">
        <v>859.95</v>
      </c>
      <c r="D75" s="8">
        <v>45504</v>
      </c>
      <c r="E75" s="9">
        <v>725</v>
      </c>
      <c r="F75" s="17">
        <v>-15.69</v>
      </c>
      <c r="G75" s="11"/>
      <c r="H75" s="12">
        <f t="shared" si="0"/>
        <v>-0.15692772835629984</v>
      </c>
      <c r="I75" s="13">
        <f t="shared" si="1"/>
        <v>-31385.545671259966</v>
      </c>
      <c r="J75" s="13">
        <f t="shared" si="2"/>
        <v>0</v>
      </c>
      <c r="K75" s="13">
        <f t="shared" si="3"/>
        <v>-31385.545671259966</v>
      </c>
      <c r="L75" s="13">
        <f t="shared" si="4"/>
        <v>594702.90621362452</v>
      </c>
      <c r="M75" s="13">
        <f t="shared" si="5"/>
        <v>10594702.906213624</v>
      </c>
      <c r="N75" s="13">
        <f t="shared" si="6"/>
        <v>10626088.451884884</v>
      </c>
      <c r="O75" s="13">
        <f t="shared" si="7"/>
        <v>-31385.545671259984</v>
      </c>
      <c r="P75" s="12">
        <f t="shared" si="8"/>
        <v>-2.9536311327892938E-3</v>
      </c>
    </row>
    <row r="76" spans="1:16" ht="14.4" x14ac:dyDescent="0.3">
      <c r="A76" s="7" t="s">
        <v>133</v>
      </c>
      <c r="B76" s="8">
        <v>45471</v>
      </c>
      <c r="C76" s="9">
        <v>1921.9</v>
      </c>
      <c r="D76" s="8">
        <v>45504</v>
      </c>
      <c r="E76" s="9">
        <v>1976.2</v>
      </c>
      <c r="F76" s="17">
        <v>2.83</v>
      </c>
      <c r="G76" s="11"/>
      <c r="H76" s="12">
        <f t="shared" si="0"/>
        <v>2.8253291014100606E-2</v>
      </c>
      <c r="I76" s="13">
        <f t="shared" si="1"/>
        <v>5650.658202820121</v>
      </c>
      <c r="J76" s="13">
        <f t="shared" si="2"/>
        <v>5650.658202820121</v>
      </c>
      <c r="K76" s="13">
        <f t="shared" si="3"/>
        <v>0</v>
      </c>
      <c r="L76" s="13">
        <f t="shared" si="4"/>
        <v>600353.56441644463</v>
      </c>
      <c r="M76" s="13">
        <f t="shared" si="5"/>
        <v>10600353.564416444</v>
      </c>
      <c r="N76" s="13">
        <f t="shared" si="6"/>
        <v>10626088.451884884</v>
      </c>
      <c r="O76" s="13">
        <f t="shared" si="7"/>
        <v>-25734.887468440458</v>
      </c>
      <c r="P76" s="12">
        <f t="shared" si="8"/>
        <v>-2.4218589544937898E-3</v>
      </c>
    </row>
    <row r="77" spans="1:16" ht="14.4" x14ac:dyDescent="0.3">
      <c r="A77" s="7" t="s">
        <v>134</v>
      </c>
      <c r="B77" s="8">
        <v>45471</v>
      </c>
      <c r="C77" s="9">
        <v>498.75</v>
      </c>
      <c r="D77" s="8">
        <v>45504</v>
      </c>
      <c r="E77" s="9">
        <v>470.7</v>
      </c>
      <c r="F77" s="17">
        <v>-5.62</v>
      </c>
      <c r="G77" s="11"/>
      <c r="H77" s="12">
        <f t="shared" si="0"/>
        <v>-5.6240601503759424E-2</v>
      </c>
      <c r="I77" s="13">
        <f t="shared" si="1"/>
        <v>-11248.120300751885</v>
      </c>
      <c r="J77" s="13">
        <f t="shared" si="2"/>
        <v>0</v>
      </c>
      <c r="K77" s="13">
        <f t="shared" si="3"/>
        <v>-11248.120300751885</v>
      </c>
      <c r="L77" s="13">
        <f t="shared" si="4"/>
        <v>589105.44411569275</v>
      </c>
      <c r="M77" s="13">
        <f t="shared" si="5"/>
        <v>10589105.444115693</v>
      </c>
      <c r="N77" s="13">
        <f t="shared" si="6"/>
        <v>10626088.451884884</v>
      </c>
      <c r="O77" s="13">
        <f t="shared" si="7"/>
        <v>-36983.007769191638</v>
      </c>
      <c r="P77" s="12">
        <f t="shared" si="8"/>
        <v>-3.4803971317057397E-3</v>
      </c>
    </row>
    <row r="78" spans="1:16" ht="14.4" x14ac:dyDescent="0.3">
      <c r="A78" s="7" t="s">
        <v>135</v>
      </c>
      <c r="B78" s="8">
        <v>45471</v>
      </c>
      <c r="C78" s="9">
        <v>1011.81</v>
      </c>
      <c r="D78" s="8">
        <v>45504</v>
      </c>
      <c r="E78" s="9">
        <v>1037.9000000000001</v>
      </c>
      <c r="F78" s="17">
        <v>2.58</v>
      </c>
      <c r="G78" s="11"/>
      <c r="H78" s="12">
        <f t="shared" si="0"/>
        <v>2.5785473557288569E-2</v>
      </c>
      <c r="I78" s="13">
        <f t="shared" si="1"/>
        <v>5157.0947114577139</v>
      </c>
      <c r="J78" s="13">
        <f t="shared" si="2"/>
        <v>5157.0947114577139</v>
      </c>
      <c r="K78" s="13">
        <f t="shared" si="3"/>
        <v>0</v>
      </c>
      <c r="L78" s="13">
        <f t="shared" si="4"/>
        <v>594262.53882715048</v>
      </c>
      <c r="M78" s="13">
        <f t="shared" si="5"/>
        <v>10594262.538827151</v>
      </c>
      <c r="N78" s="13">
        <f t="shared" si="6"/>
        <v>10626088.451884884</v>
      </c>
      <c r="O78" s="13">
        <f t="shared" si="7"/>
        <v>-31825.913057733327</v>
      </c>
      <c r="P78" s="12">
        <f t="shared" si="8"/>
        <v>-2.9950732296123474E-3</v>
      </c>
    </row>
    <row r="79" spans="1:16" ht="14.4" x14ac:dyDescent="0.3">
      <c r="A79" s="7" t="s">
        <v>136</v>
      </c>
      <c r="B79" s="8">
        <v>45471</v>
      </c>
      <c r="C79" s="9">
        <v>43.39</v>
      </c>
      <c r="D79" s="8">
        <v>45504</v>
      </c>
      <c r="E79" s="9">
        <v>38.479999999999997</v>
      </c>
      <c r="F79" s="17">
        <v>-11.32</v>
      </c>
      <c r="G79" s="11"/>
      <c r="H79" s="12">
        <f t="shared" si="0"/>
        <v>-0.11315971421986641</v>
      </c>
      <c r="I79" s="13">
        <f t="shared" si="1"/>
        <v>-22631.942843973284</v>
      </c>
      <c r="J79" s="13">
        <f t="shared" si="2"/>
        <v>0</v>
      </c>
      <c r="K79" s="13">
        <f t="shared" si="3"/>
        <v>-22631.942843973284</v>
      </c>
      <c r="L79" s="13">
        <f t="shared" si="4"/>
        <v>571630.59598317719</v>
      </c>
      <c r="M79" s="13">
        <f t="shared" si="5"/>
        <v>10571630.595983177</v>
      </c>
      <c r="N79" s="13">
        <f t="shared" si="6"/>
        <v>10626088.451884884</v>
      </c>
      <c r="O79" s="13">
        <f t="shared" si="7"/>
        <v>-54457.855901706964</v>
      </c>
      <c r="P79" s="12">
        <f t="shared" si="8"/>
        <v>-5.1249202515387575E-3</v>
      </c>
    </row>
    <row r="80" spans="1:16" ht="14.4" x14ac:dyDescent="0.3">
      <c r="A80" s="7" t="s">
        <v>137</v>
      </c>
      <c r="B80" s="8">
        <v>45471</v>
      </c>
      <c r="C80" s="9">
        <v>705.3</v>
      </c>
      <c r="D80" s="8">
        <v>45504</v>
      </c>
      <c r="E80" s="9">
        <v>726.55</v>
      </c>
      <c r="F80" s="17">
        <v>3.01</v>
      </c>
      <c r="G80" s="11"/>
      <c r="H80" s="12">
        <f t="shared" si="0"/>
        <v>3.0129023110733025E-2</v>
      </c>
      <c r="I80" s="13">
        <f t="shared" si="1"/>
        <v>6025.8046221466047</v>
      </c>
      <c r="J80" s="13">
        <f t="shared" si="2"/>
        <v>6025.8046221466047</v>
      </c>
      <c r="K80" s="13">
        <f t="shared" si="3"/>
        <v>0</v>
      </c>
      <c r="L80" s="13">
        <f t="shared" si="4"/>
        <v>577656.40060532384</v>
      </c>
      <c r="M80" s="13">
        <f t="shared" si="5"/>
        <v>10577656.400605325</v>
      </c>
      <c r="N80" s="13">
        <f t="shared" si="6"/>
        <v>10626088.451884884</v>
      </c>
      <c r="O80" s="13">
        <f t="shared" si="7"/>
        <v>-48432.051279559731</v>
      </c>
      <c r="P80" s="12">
        <f t="shared" si="8"/>
        <v>-4.5578437916135289E-3</v>
      </c>
    </row>
    <row r="81" spans="1:16" ht="14.4" x14ac:dyDescent="0.3">
      <c r="A81" s="7" t="s">
        <v>138</v>
      </c>
      <c r="B81" s="8">
        <v>45471</v>
      </c>
      <c r="C81" s="9">
        <v>134.85</v>
      </c>
      <c r="D81" s="8">
        <v>45504</v>
      </c>
      <c r="E81" s="9">
        <v>135.69999999999999</v>
      </c>
      <c r="F81" s="17">
        <v>0.63</v>
      </c>
      <c r="G81" s="11"/>
      <c r="H81" s="12">
        <f t="shared" si="0"/>
        <v>6.3032999629217233E-3</v>
      </c>
      <c r="I81" s="13">
        <f t="shared" si="1"/>
        <v>1260.6599925843448</v>
      </c>
      <c r="J81" s="13">
        <f t="shared" si="2"/>
        <v>1260.6599925843448</v>
      </c>
      <c r="K81" s="13">
        <f t="shared" si="3"/>
        <v>0</v>
      </c>
      <c r="L81" s="13">
        <f t="shared" si="4"/>
        <v>578917.06059790822</v>
      </c>
      <c r="M81" s="13">
        <f t="shared" si="5"/>
        <v>10578917.060597908</v>
      </c>
      <c r="N81" s="13">
        <f t="shared" si="6"/>
        <v>10626088.451884884</v>
      </c>
      <c r="O81" s="13">
        <f t="shared" si="7"/>
        <v>-47171.391286976635</v>
      </c>
      <c r="P81" s="12">
        <f t="shared" si="8"/>
        <v>-4.4392055929676783E-3</v>
      </c>
    </row>
    <row r="82" spans="1:16" ht="14.4" x14ac:dyDescent="0.3">
      <c r="A82" s="7" t="s">
        <v>139</v>
      </c>
      <c r="B82" s="8">
        <v>45471</v>
      </c>
      <c r="C82" s="9">
        <v>30.45</v>
      </c>
      <c r="D82" s="8">
        <v>45504</v>
      </c>
      <c r="E82" s="9">
        <v>25.58</v>
      </c>
      <c r="F82" s="17">
        <v>-15.99</v>
      </c>
      <c r="G82" s="11"/>
      <c r="H82" s="12">
        <f t="shared" si="0"/>
        <v>-0.15993431855500825</v>
      </c>
      <c r="I82" s="13">
        <f t="shared" si="1"/>
        <v>-31986.86371100165</v>
      </c>
      <c r="J82" s="13">
        <f t="shared" si="2"/>
        <v>0</v>
      </c>
      <c r="K82" s="13">
        <f t="shared" si="3"/>
        <v>-31986.86371100165</v>
      </c>
      <c r="L82" s="13">
        <f t="shared" si="4"/>
        <v>546930.19688690652</v>
      </c>
      <c r="M82" s="13">
        <f t="shared" si="5"/>
        <v>10546930.196886906</v>
      </c>
      <c r="N82" s="13">
        <f t="shared" si="6"/>
        <v>10626088.451884884</v>
      </c>
      <c r="O82" s="13">
        <f t="shared" si="7"/>
        <v>-79158.254997977987</v>
      </c>
      <c r="P82" s="12">
        <f t="shared" si="8"/>
        <v>-7.4494255676872973E-3</v>
      </c>
    </row>
    <row r="83" spans="1:16" ht="14.4" x14ac:dyDescent="0.3">
      <c r="A83" s="7" t="s">
        <v>140</v>
      </c>
      <c r="B83" s="8">
        <v>45471</v>
      </c>
      <c r="C83" s="9">
        <v>749.65</v>
      </c>
      <c r="D83" s="8">
        <v>45504</v>
      </c>
      <c r="E83" s="9">
        <v>724.45</v>
      </c>
      <c r="F83" s="17">
        <v>-3.36</v>
      </c>
      <c r="G83" s="11"/>
      <c r="H83" s="12">
        <f t="shared" si="0"/>
        <v>-3.3615687320749592E-2</v>
      </c>
      <c r="I83" s="13">
        <f t="shared" si="1"/>
        <v>-6723.1374641499187</v>
      </c>
      <c r="J83" s="13">
        <f t="shared" si="2"/>
        <v>0</v>
      </c>
      <c r="K83" s="13">
        <f t="shared" si="3"/>
        <v>-6723.1374641499187</v>
      </c>
      <c r="L83" s="13">
        <f t="shared" si="4"/>
        <v>540207.05942275655</v>
      </c>
      <c r="M83" s="13">
        <f t="shared" si="5"/>
        <v>10540207.059422757</v>
      </c>
      <c r="N83" s="13">
        <f t="shared" si="6"/>
        <v>10626088.451884884</v>
      </c>
      <c r="O83" s="13">
        <f t="shared" si="7"/>
        <v>-85881.392462126911</v>
      </c>
      <c r="P83" s="12">
        <f t="shared" si="8"/>
        <v>-8.0821266311681267E-3</v>
      </c>
    </row>
    <row r="84" spans="1:16" ht="14.4" x14ac:dyDescent="0.3">
      <c r="A84" s="7" t="s">
        <v>141</v>
      </c>
      <c r="B84" s="8">
        <v>45471</v>
      </c>
      <c r="C84" s="9">
        <v>43.24</v>
      </c>
      <c r="D84" s="8">
        <v>45504</v>
      </c>
      <c r="E84" s="9">
        <v>44.3</v>
      </c>
      <c r="F84" s="17">
        <v>2.4500000000000002</v>
      </c>
      <c r="G84" s="11"/>
      <c r="H84" s="12">
        <f t="shared" si="0"/>
        <v>2.4514338575393042E-2</v>
      </c>
      <c r="I84" s="13">
        <f t="shared" si="1"/>
        <v>4902.8677150786089</v>
      </c>
      <c r="J84" s="13">
        <f t="shared" si="2"/>
        <v>4902.8677150786089</v>
      </c>
      <c r="K84" s="13">
        <f t="shared" si="3"/>
        <v>0</v>
      </c>
      <c r="L84" s="13">
        <f t="shared" si="4"/>
        <v>545109.92713783518</v>
      </c>
      <c r="M84" s="13">
        <f t="shared" si="5"/>
        <v>10545109.927137835</v>
      </c>
      <c r="N84" s="13">
        <f t="shared" si="6"/>
        <v>10626088.451884884</v>
      </c>
      <c r="O84" s="13">
        <f t="shared" si="7"/>
        <v>-80978.524747049436</v>
      </c>
      <c r="P84" s="12">
        <f t="shared" si="8"/>
        <v>-7.6207275248763098E-3</v>
      </c>
    </row>
    <row r="85" spans="1:16" ht="14.4" x14ac:dyDescent="0.3">
      <c r="A85" s="7" t="s">
        <v>142</v>
      </c>
      <c r="B85" s="8">
        <v>45471</v>
      </c>
      <c r="C85" s="9">
        <v>479.16</v>
      </c>
      <c r="D85" s="8">
        <v>45504</v>
      </c>
      <c r="E85" s="9">
        <v>469.25</v>
      </c>
      <c r="F85" s="17">
        <v>-2.0699999999999998</v>
      </c>
      <c r="G85" s="11"/>
      <c r="H85" s="12">
        <f t="shared" si="0"/>
        <v>-2.068202688037404E-2</v>
      </c>
      <c r="I85" s="13">
        <f t="shared" si="1"/>
        <v>-4136.4053760748084</v>
      </c>
      <c r="J85" s="13">
        <f t="shared" si="2"/>
        <v>0</v>
      </c>
      <c r="K85" s="13">
        <f t="shared" si="3"/>
        <v>-4136.4053760748084</v>
      </c>
      <c r="L85" s="13">
        <f t="shared" si="4"/>
        <v>540973.52176176035</v>
      </c>
      <c r="M85" s="13">
        <f t="shared" si="5"/>
        <v>10540973.52176176</v>
      </c>
      <c r="N85" s="13">
        <f t="shared" si="6"/>
        <v>10626088.451884884</v>
      </c>
      <c r="O85" s="13">
        <f t="shared" si="7"/>
        <v>-85114.930123124272</v>
      </c>
      <c r="P85" s="12">
        <f t="shared" si="8"/>
        <v>-8.0099963884665715E-3</v>
      </c>
    </row>
    <row r="86" spans="1:16" ht="14.4" x14ac:dyDescent="0.3">
      <c r="A86" s="7" t="s">
        <v>143</v>
      </c>
      <c r="B86" s="8">
        <v>45471</v>
      </c>
      <c r="C86" s="9">
        <v>2329.5500000000002</v>
      </c>
      <c r="D86" s="7" t="s">
        <v>18</v>
      </c>
      <c r="E86" s="9">
        <v>2473.6999999999998</v>
      </c>
      <c r="F86" s="17">
        <v>6.19</v>
      </c>
      <c r="G86" s="11"/>
      <c r="H86" s="12">
        <f t="shared" si="0"/>
        <v>6.1878903650919546E-2</v>
      </c>
      <c r="I86" s="13">
        <f t="shared" si="1"/>
        <v>12375.780730183909</v>
      </c>
      <c r="J86" s="13">
        <f t="shared" si="2"/>
        <v>12375.780730183909</v>
      </c>
      <c r="K86" s="13">
        <f t="shared" si="3"/>
        <v>0</v>
      </c>
      <c r="L86" s="13">
        <f t="shared" si="4"/>
        <v>553349.30249194428</v>
      </c>
      <c r="M86" s="13">
        <f t="shared" si="5"/>
        <v>10553349.302491944</v>
      </c>
      <c r="N86" s="13">
        <f t="shared" si="6"/>
        <v>10626088.451884884</v>
      </c>
      <c r="O86" s="13">
        <f t="shared" si="7"/>
        <v>-72739.149392940104</v>
      </c>
      <c r="P86" s="12">
        <f t="shared" si="8"/>
        <v>-6.8453363363484366E-3</v>
      </c>
    </row>
    <row r="87" spans="1:16" ht="14.4" x14ac:dyDescent="0.3">
      <c r="A87" s="7" t="s">
        <v>144</v>
      </c>
      <c r="B87" s="8">
        <v>45471</v>
      </c>
      <c r="C87" s="9">
        <v>3530.15</v>
      </c>
      <c r="D87" s="8">
        <v>45504</v>
      </c>
      <c r="E87" s="9">
        <v>3101.9</v>
      </c>
      <c r="F87" s="17">
        <v>-12.13</v>
      </c>
      <c r="G87" s="11"/>
      <c r="H87" s="12">
        <f t="shared" si="0"/>
        <v>-0.12131212554707307</v>
      </c>
      <c r="I87" s="13">
        <f t="shared" si="1"/>
        <v>-24262.425109414617</v>
      </c>
      <c r="J87" s="13">
        <f t="shared" si="2"/>
        <v>0</v>
      </c>
      <c r="K87" s="13">
        <f t="shared" si="3"/>
        <v>-24262.425109414617</v>
      </c>
      <c r="L87" s="13">
        <f t="shared" si="4"/>
        <v>529086.87738252967</v>
      </c>
      <c r="M87" s="13">
        <f t="shared" si="5"/>
        <v>10529086.87738253</v>
      </c>
      <c r="N87" s="13">
        <f t="shared" si="6"/>
        <v>10626088.451884884</v>
      </c>
      <c r="O87" s="13">
        <f t="shared" si="7"/>
        <v>-97001.574502354488</v>
      </c>
      <c r="P87" s="12">
        <f t="shared" si="8"/>
        <v>-9.1286247937403617E-3</v>
      </c>
    </row>
    <row r="88" spans="1:16" ht="14.4" x14ac:dyDescent="0.3">
      <c r="A88" s="7" t="s">
        <v>145</v>
      </c>
      <c r="B88" s="8">
        <v>45471</v>
      </c>
      <c r="C88" s="9">
        <v>4521.75</v>
      </c>
      <c r="D88" s="8">
        <v>45504</v>
      </c>
      <c r="E88" s="9">
        <v>4334.5</v>
      </c>
      <c r="F88" s="17">
        <v>-4.1399999999999997</v>
      </c>
      <c r="G88" s="11"/>
      <c r="H88" s="12">
        <f t="shared" si="0"/>
        <v>-4.1410958146735226E-2</v>
      </c>
      <c r="I88" s="13">
        <f t="shared" si="1"/>
        <v>-8282.1916293470458</v>
      </c>
      <c r="J88" s="13">
        <f t="shared" si="2"/>
        <v>0</v>
      </c>
      <c r="K88" s="13">
        <f t="shared" si="3"/>
        <v>-8282.1916293470458</v>
      </c>
      <c r="L88" s="13">
        <f t="shared" si="4"/>
        <v>520804.68575318262</v>
      </c>
      <c r="M88" s="13">
        <f t="shared" si="5"/>
        <v>10520804.685753183</v>
      </c>
      <c r="N88" s="13">
        <f t="shared" si="6"/>
        <v>10626088.451884884</v>
      </c>
      <c r="O88" s="13">
        <f t="shared" si="7"/>
        <v>-105283.76613170095</v>
      </c>
      <c r="P88" s="12">
        <f t="shared" si="8"/>
        <v>-9.9080453365721251E-3</v>
      </c>
    </row>
    <row r="89" spans="1:16" ht="14.4" x14ac:dyDescent="0.3">
      <c r="A89" s="7" t="s">
        <v>146</v>
      </c>
      <c r="B89" s="8">
        <v>45471</v>
      </c>
      <c r="C89" s="9">
        <v>457.2</v>
      </c>
      <c r="D89" s="8">
        <v>45504</v>
      </c>
      <c r="E89" s="9">
        <v>446</v>
      </c>
      <c r="F89" s="17">
        <v>-2.4500000000000002</v>
      </c>
      <c r="G89" s="11"/>
      <c r="H89" s="12">
        <f t="shared" si="0"/>
        <v>-2.4496937882764629E-2</v>
      </c>
      <c r="I89" s="13">
        <f t="shared" si="1"/>
        <v>-4899.3875765529256</v>
      </c>
      <c r="J89" s="13">
        <f t="shared" si="2"/>
        <v>0</v>
      </c>
      <c r="K89" s="13">
        <f t="shared" si="3"/>
        <v>-4899.3875765529256</v>
      </c>
      <c r="L89" s="13">
        <f t="shared" si="4"/>
        <v>515905.2981766297</v>
      </c>
      <c r="M89" s="13">
        <f t="shared" si="5"/>
        <v>10515905.298176629</v>
      </c>
      <c r="N89" s="13">
        <f t="shared" si="6"/>
        <v>10626088.451884884</v>
      </c>
      <c r="O89" s="13">
        <f t="shared" si="7"/>
        <v>-110183.15370825492</v>
      </c>
      <c r="P89" s="12">
        <f t="shared" si="8"/>
        <v>-1.0369116933965512E-2</v>
      </c>
    </row>
    <row r="90" spans="1:16" ht="14.4" x14ac:dyDescent="0.3">
      <c r="A90" s="7" t="s">
        <v>147</v>
      </c>
      <c r="B90" s="8">
        <v>45471</v>
      </c>
      <c r="C90" s="9">
        <v>5541.55</v>
      </c>
      <c r="D90" s="8">
        <v>45504</v>
      </c>
      <c r="E90" s="9">
        <v>5589.5</v>
      </c>
      <c r="F90" s="17">
        <v>0.87</v>
      </c>
      <c r="G90" s="11"/>
      <c r="H90" s="12">
        <f t="shared" si="0"/>
        <v>8.6528137434471967E-3</v>
      </c>
      <c r="I90" s="13">
        <f t="shared" si="1"/>
        <v>1730.5627486894393</v>
      </c>
      <c r="J90" s="13">
        <f t="shared" si="2"/>
        <v>1730.5627486894393</v>
      </c>
      <c r="K90" s="13">
        <f t="shared" si="3"/>
        <v>0</v>
      </c>
      <c r="L90" s="13">
        <f t="shared" si="4"/>
        <v>517635.86092531914</v>
      </c>
      <c r="M90" s="13">
        <f t="shared" si="5"/>
        <v>10517635.860925319</v>
      </c>
      <c r="N90" s="13">
        <f t="shared" si="6"/>
        <v>10626088.451884884</v>
      </c>
      <c r="O90" s="13">
        <f t="shared" si="7"/>
        <v>-108452.59095956571</v>
      </c>
      <c r="P90" s="12">
        <f t="shared" si="8"/>
        <v>-1.0206257123742284E-2</v>
      </c>
    </row>
    <row r="91" spans="1:16" ht="14.4" x14ac:dyDescent="0.3">
      <c r="A91" s="7" t="s">
        <v>148</v>
      </c>
      <c r="B91" s="8">
        <v>45471</v>
      </c>
      <c r="C91" s="9">
        <v>717.65</v>
      </c>
      <c r="D91" s="8">
        <v>45504</v>
      </c>
      <c r="E91" s="9">
        <v>826.55</v>
      </c>
      <c r="F91" s="17">
        <v>15.17</v>
      </c>
      <c r="G91" s="11"/>
      <c r="H91" s="12">
        <f t="shared" si="0"/>
        <v>0.15174527973246008</v>
      </c>
      <c r="I91" s="13">
        <f t="shared" si="1"/>
        <v>30349.055946492015</v>
      </c>
      <c r="J91" s="13">
        <f t="shared" si="2"/>
        <v>30349.055946492015</v>
      </c>
      <c r="K91" s="13">
        <f t="shared" si="3"/>
        <v>0</v>
      </c>
      <c r="L91" s="13">
        <f t="shared" si="4"/>
        <v>547984.91687181115</v>
      </c>
      <c r="M91" s="13">
        <f t="shared" si="5"/>
        <v>10547984.91687181</v>
      </c>
      <c r="N91" s="13">
        <f t="shared" si="6"/>
        <v>10626088.451884884</v>
      </c>
      <c r="O91" s="13">
        <f t="shared" si="7"/>
        <v>-78103.535013074055</v>
      </c>
      <c r="P91" s="12">
        <f t="shared" si="8"/>
        <v>-7.3501679726014173E-3</v>
      </c>
    </row>
    <row r="92" spans="1:16" ht="14.4" x14ac:dyDescent="0.3">
      <c r="A92" s="7" t="s">
        <v>149</v>
      </c>
      <c r="B92" s="8">
        <v>45471</v>
      </c>
      <c r="C92" s="9">
        <v>1291.2</v>
      </c>
      <c r="D92" s="8">
        <v>45504</v>
      </c>
      <c r="E92" s="9">
        <v>1418.25</v>
      </c>
      <c r="F92" s="17">
        <v>9.84</v>
      </c>
      <c r="G92" s="11"/>
      <c r="H92" s="12">
        <f t="shared" si="0"/>
        <v>9.8396840148698844E-2</v>
      </c>
      <c r="I92" s="13">
        <f t="shared" si="1"/>
        <v>19679.36802973977</v>
      </c>
      <c r="J92" s="13">
        <f t="shared" si="2"/>
        <v>19679.36802973977</v>
      </c>
      <c r="K92" s="13">
        <f t="shared" si="3"/>
        <v>0</v>
      </c>
      <c r="L92" s="13">
        <f t="shared" si="4"/>
        <v>567664.28490155097</v>
      </c>
      <c r="M92" s="13">
        <f t="shared" si="5"/>
        <v>10567664.284901552</v>
      </c>
      <c r="N92" s="13">
        <f t="shared" si="6"/>
        <v>10626088.451884884</v>
      </c>
      <c r="O92" s="13">
        <f t="shared" si="7"/>
        <v>-58424.166983332485</v>
      </c>
      <c r="P92" s="12">
        <f t="shared" si="8"/>
        <v>-5.4981818801789709E-3</v>
      </c>
    </row>
    <row r="93" spans="1:16" ht="14.4" x14ac:dyDescent="0.3">
      <c r="A93" s="7" t="s">
        <v>150</v>
      </c>
      <c r="B93" s="8">
        <v>45471</v>
      </c>
      <c r="C93" s="9">
        <v>129.05000000000001</v>
      </c>
      <c r="D93" s="8">
        <v>45504</v>
      </c>
      <c r="E93" s="9">
        <v>129.5</v>
      </c>
      <c r="F93" s="17">
        <v>0.35</v>
      </c>
      <c r="G93" s="11"/>
      <c r="H93" s="12">
        <f t="shared" si="0"/>
        <v>3.4870205346763934E-3</v>
      </c>
      <c r="I93" s="13">
        <f t="shared" si="1"/>
        <v>697.40410693527872</v>
      </c>
      <c r="J93" s="13">
        <f t="shared" si="2"/>
        <v>697.40410693527872</v>
      </c>
      <c r="K93" s="13">
        <f t="shared" si="3"/>
        <v>0</v>
      </c>
      <c r="L93" s="13">
        <f t="shared" si="4"/>
        <v>568361.68900848622</v>
      </c>
      <c r="M93" s="13">
        <f t="shared" si="5"/>
        <v>10568361.689008486</v>
      </c>
      <c r="N93" s="13">
        <f t="shared" si="6"/>
        <v>10626088.451884884</v>
      </c>
      <c r="O93" s="13">
        <f t="shared" si="7"/>
        <v>-57726.762876398861</v>
      </c>
      <c r="P93" s="12">
        <f t="shared" si="8"/>
        <v>-5.4325505700227004E-3</v>
      </c>
    </row>
    <row r="94" spans="1:16" ht="14.4" x14ac:dyDescent="0.3">
      <c r="A94" s="7" t="s">
        <v>151</v>
      </c>
      <c r="B94" s="8">
        <v>45471</v>
      </c>
      <c r="C94" s="9">
        <v>83.56</v>
      </c>
      <c r="D94" s="8">
        <v>45504</v>
      </c>
      <c r="E94" s="9">
        <v>91.84</v>
      </c>
      <c r="F94" s="17">
        <v>9.91</v>
      </c>
      <c r="G94" s="11"/>
      <c r="H94" s="12">
        <f t="shared" si="0"/>
        <v>9.9090473910962193E-2</v>
      </c>
      <c r="I94" s="13">
        <f t="shared" si="1"/>
        <v>19818.094782192438</v>
      </c>
      <c r="J94" s="13">
        <f t="shared" si="2"/>
        <v>19818.094782192438</v>
      </c>
      <c r="K94" s="13">
        <f t="shared" si="3"/>
        <v>0</v>
      </c>
      <c r="L94" s="13">
        <f t="shared" si="4"/>
        <v>588179.78379067872</v>
      </c>
      <c r="M94" s="13">
        <f t="shared" si="5"/>
        <v>10588179.783790678</v>
      </c>
      <c r="N94" s="13">
        <f t="shared" si="6"/>
        <v>10626088.451884884</v>
      </c>
      <c r="O94" s="13">
        <f t="shared" si="7"/>
        <v>-37908.668094206601</v>
      </c>
      <c r="P94" s="12">
        <f t="shared" si="8"/>
        <v>-3.5675091794932553E-3</v>
      </c>
    </row>
    <row r="95" spans="1:16" ht="14.4" x14ac:dyDescent="0.3">
      <c r="A95" s="7" t="s">
        <v>152</v>
      </c>
      <c r="B95" s="8">
        <v>45471</v>
      </c>
      <c r="C95" s="9">
        <v>715.6</v>
      </c>
      <c r="D95" s="8">
        <v>45504</v>
      </c>
      <c r="E95" s="9">
        <v>715.2</v>
      </c>
      <c r="F95" s="17">
        <v>-0.06</v>
      </c>
      <c r="G95" s="11"/>
      <c r="H95" s="12">
        <f t="shared" si="0"/>
        <v>-5.589714924538531E-4</v>
      </c>
      <c r="I95" s="13">
        <f t="shared" si="1"/>
        <v>-111.79429849077061</v>
      </c>
      <c r="J95" s="13">
        <f t="shared" si="2"/>
        <v>0</v>
      </c>
      <c r="K95" s="13">
        <f t="shared" si="3"/>
        <v>-111.79429849077061</v>
      </c>
      <c r="L95" s="13">
        <f t="shared" si="4"/>
        <v>588067.98949218797</v>
      </c>
      <c r="M95" s="13">
        <f t="shared" si="5"/>
        <v>10588067.989492187</v>
      </c>
      <c r="N95" s="13">
        <f t="shared" si="6"/>
        <v>10626088.451884884</v>
      </c>
      <c r="O95" s="13">
        <f t="shared" si="7"/>
        <v>-38020.462392697111</v>
      </c>
      <c r="P95" s="12">
        <f t="shared" si="8"/>
        <v>-3.5780299180506953E-3</v>
      </c>
    </row>
    <row r="96" spans="1:16" ht="14.4" x14ac:dyDescent="0.3">
      <c r="A96" s="7" t="s">
        <v>153</v>
      </c>
      <c r="B96" s="8">
        <v>45504</v>
      </c>
      <c r="C96" s="9">
        <v>1179.55</v>
      </c>
      <c r="D96" s="7" t="s">
        <v>18</v>
      </c>
      <c r="E96" s="9">
        <v>1179.55</v>
      </c>
      <c r="F96" s="10"/>
      <c r="G96" s="11"/>
      <c r="H96" s="12">
        <f t="shared" si="0"/>
        <v>0</v>
      </c>
      <c r="I96" s="13">
        <f t="shared" si="1"/>
        <v>0</v>
      </c>
      <c r="J96" s="13">
        <f t="shared" si="2"/>
        <v>0</v>
      </c>
      <c r="K96" s="13">
        <f t="shared" si="3"/>
        <v>0</v>
      </c>
      <c r="L96" s="13">
        <f t="shared" si="4"/>
        <v>588067.98949218797</v>
      </c>
      <c r="M96" s="13">
        <f t="shared" si="5"/>
        <v>10588067.989492187</v>
      </c>
      <c r="N96" s="13">
        <f t="shared" si="6"/>
        <v>10626088.451884884</v>
      </c>
      <c r="O96" s="13">
        <f t="shared" si="7"/>
        <v>-38020.462392697111</v>
      </c>
      <c r="P96" s="12">
        <f t="shared" si="8"/>
        <v>-3.5780299180506953E-3</v>
      </c>
    </row>
    <row r="97" spans="1:16" ht="14.4" x14ac:dyDescent="0.3">
      <c r="A97" s="7" t="s">
        <v>154</v>
      </c>
      <c r="B97" s="8">
        <v>45504</v>
      </c>
      <c r="C97" s="9">
        <v>7968.1</v>
      </c>
      <c r="D97" s="7" t="s">
        <v>18</v>
      </c>
      <c r="E97" s="9">
        <v>7968.1</v>
      </c>
      <c r="F97" s="10"/>
      <c r="G97" s="11"/>
      <c r="H97" s="12">
        <f t="shared" si="0"/>
        <v>0</v>
      </c>
      <c r="I97" s="13">
        <f t="shared" si="1"/>
        <v>0</v>
      </c>
      <c r="J97" s="13">
        <f t="shared" si="2"/>
        <v>0</v>
      </c>
      <c r="K97" s="13">
        <f t="shared" si="3"/>
        <v>0</v>
      </c>
      <c r="L97" s="13">
        <f t="shared" si="4"/>
        <v>588067.98949218797</v>
      </c>
      <c r="M97" s="13">
        <f t="shared" si="5"/>
        <v>10588067.989492187</v>
      </c>
      <c r="N97" s="13">
        <f t="shared" si="6"/>
        <v>10626088.451884884</v>
      </c>
      <c r="O97" s="13">
        <f t="shared" si="7"/>
        <v>-38020.462392697111</v>
      </c>
      <c r="P97" s="12">
        <f t="shared" si="8"/>
        <v>-3.5780299180506953E-3</v>
      </c>
    </row>
    <row r="98" spans="1:16" ht="14.4" x14ac:dyDescent="0.3">
      <c r="A98" s="7" t="s">
        <v>155</v>
      </c>
      <c r="B98" s="8">
        <v>45504</v>
      </c>
      <c r="C98" s="9">
        <v>379.68</v>
      </c>
      <c r="D98" s="7" t="s">
        <v>18</v>
      </c>
      <c r="E98" s="9">
        <v>379.68</v>
      </c>
      <c r="F98" s="10"/>
      <c r="G98" s="11"/>
      <c r="H98" s="12">
        <f t="shared" si="0"/>
        <v>0</v>
      </c>
      <c r="I98" s="13">
        <f t="shared" si="1"/>
        <v>0</v>
      </c>
      <c r="J98" s="13">
        <f t="shared" si="2"/>
        <v>0</v>
      </c>
      <c r="K98" s="13">
        <f t="shared" si="3"/>
        <v>0</v>
      </c>
      <c r="L98" s="13">
        <f t="shared" si="4"/>
        <v>588067.98949218797</v>
      </c>
      <c r="M98" s="13">
        <f t="shared" si="5"/>
        <v>10588067.989492187</v>
      </c>
      <c r="N98" s="13">
        <f t="shared" si="6"/>
        <v>10626088.451884884</v>
      </c>
      <c r="O98" s="13">
        <f t="shared" si="7"/>
        <v>-38020.462392697111</v>
      </c>
      <c r="P98" s="12">
        <f t="shared" si="8"/>
        <v>-3.5780299180506953E-3</v>
      </c>
    </row>
    <row r="99" spans="1:16" ht="14.4" x14ac:dyDescent="0.3">
      <c r="A99" s="7" t="s">
        <v>156</v>
      </c>
      <c r="B99" s="8">
        <v>45504</v>
      </c>
      <c r="C99" s="9">
        <v>235.73</v>
      </c>
      <c r="D99" s="7" t="s">
        <v>18</v>
      </c>
      <c r="E99" s="9">
        <v>235.73</v>
      </c>
      <c r="F99" s="10"/>
      <c r="G99" s="11"/>
      <c r="H99" s="12">
        <f t="shared" si="0"/>
        <v>0</v>
      </c>
      <c r="I99" s="13">
        <f t="shared" si="1"/>
        <v>0</v>
      </c>
      <c r="J99" s="13">
        <f t="shared" si="2"/>
        <v>0</v>
      </c>
      <c r="K99" s="13">
        <f t="shared" si="3"/>
        <v>0</v>
      </c>
      <c r="L99" s="13">
        <f t="shared" si="4"/>
        <v>588067.98949218797</v>
      </c>
      <c r="M99" s="13">
        <f t="shared" si="5"/>
        <v>10588067.989492187</v>
      </c>
      <c r="N99" s="13">
        <f t="shared" si="6"/>
        <v>10626088.451884884</v>
      </c>
      <c r="O99" s="13">
        <f t="shared" si="7"/>
        <v>-38020.462392697111</v>
      </c>
      <c r="P99" s="12">
        <f t="shared" si="8"/>
        <v>-3.5780299180506953E-3</v>
      </c>
    </row>
    <row r="100" spans="1:16" ht="14.4" x14ac:dyDescent="0.3">
      <c r="A100" s="7" t="s">
        <v>157</v>
      </c>
      <c r="B100" s="8">
        <v>45504</v>
      </c>
      <c r="C100" s="9">
        <v>262.14</v>
      </c>
      <c r="D100" s="7" t="s">
        <v>18</v>
      </c>
      <c r="E100" s="9">
        <v>262.14</v>
      </c>
      <c r="F100" s="10"/>
      <c r="G100" s="11"/>
      <c r="H100" s="12">
        <f t="shared" si="0"/>
        <v>0</v>
      </c>
      <c r="I100" s="13">
        <f t="shared" si="1"/>
        <v>0</v>
      </c>
      <c r="J100" s="13">
        <f t="shared" si="2"/>
        <v>0</v>
      </c>
      <c r="K100" s="13">
        <f t="shared" si="3"/>
        <v>0</v>
      </c>
      <c r="L100" s="13">
        <f t="shared" si="4"/>
        <v>588067.98949218797</v>
      </c>
      <c r="M100" s="13">
        <f t="shared" si="5"/>
        <v>10588067.989492187</v>
      </c>
      <c r="N100" s="13">
        <f t="shared" si="6"/>
        <v>10626088.451884884</v>
      </c>
      <c r="O100" s="13">
        <f t="shared" si="7"/>
        <v>-38020.462392697111</v>
      </c>
      <c r="P100" s="12">
        <f t="shared" si="8"/>
        <v>-3.5780299180506953E-3</v>
      </c>
    </row>
    <row r="101" spans="1:16" ht="14.4" x14ac:dyDescent="0.3">
      <c r="A101" s="7" t="s">
        <v>158</v>
      </c>
      <c r="B101" s="8">
        <v>45504</v>
      </c>
      <c r="C101" s="9">
        <v>70.680000000000007</v>
      </c>
      <c r="D101" s="7" t="s">
        <v>18</v>
      </c>
      <c r="E101" s="9">
        <v>70.680000000000007</v>
      </c>
      <c r="F101" s="10"/>
      <c r="G101" s="11"/>
      <c r="H101" s="12">
        <f t="shared" si="0"/>
        <v>0</v>
      </c>
      <c r="I101" s="13">
        <f t="shared" si="1"/>
        <v>0</v>
      </c>
      <c r="J101" s="13">
        <f t="shared" si="2"/>
        <v>0</v>
      </c>
      <c r="K101" s="13">
        <f t="shared" si="3"/>
        <v>0</v>
      </c>
      <c r="L101" s="13">
        <f t="shared" si="4"/>
        <v>588067.98949218797</v>
      </c>
      <c r="M101" s="13">
        <f t="shared" si="5"/>
        <v>10588067.989492187</v>
      </c>
      <c r="N101" s="13">
        <f t="shared" si="6"/>
        <v>10626088.451884884</v>
      </c>
      <c r="O101" s="13">
        <f t="shared" si="7"/>
        <v>-38020.462392697111</v>
      </c>
      <c r="P101" s="12">
        <f t="shared" si="8"/>
        <v>-3.5780299180506953E-3</v>
      </c>
    </row>
    <row r="102" spans="1:16" ht="14.4" x14ac:dyDescent="0.3">
      <c r="A102" s="7" t="s">
        <v>159</v>
      </c>
      <c r="B102" s="8">
        <v>45504</v>
      </c>
      <c r="C102" s="9">
        <v>3092.3</v>
      </c>
      <c r="D102" s="7" t="s">
        <v>18</v>
      </c>
      <c r="E102" s="9">
        <v>3092.3</v>
      </c>
      <c r="F102" s="10"/>
      <c r="G102" s="11"/>
      <c r="H102" s="12">
        <f t="shared" si="0"/>
        <v>0</v>
      </c>
      <c r="I102" s="13">
        <f t="shared" si="1"/>
        <v>0</v>
      </c>
      <c r="J102" s="13">
        <f t="shared" si="2"/>
        <v>0</v>
      </c>
      <c r="K102" s="13">
        <f t="shared" si="3"/>
        <v>0</v>
      </c>
      <c r="L102" s="13">
        <f t="shared" si="4"/>
        <v>588067.98949218797</v>
      </c>
      <c r="M102" s="13">
        <f t="shared" si="5"/>
        <v>10588067.989492187</v>
      </c>
      <c r="N102" s="13">
        <f t="shared" si="6"/>
        <v>10626088.451884884</v>
      </c>
      <c r="O102" s="13">
        <f t="shared" si="7"/>
        <v>-38020.462392697111</v>
      </c>
      <c r="P102" s="12">
        <f t="shared" si="8"/>
        <v>-3.5780299180506953E-3</v>
      </c>
    </row>
    <row r="103" spans="1:16" ht="14.4" x14ac:dyDescent="0.3">
      <c r="A103" s="7" t="s">
        <v>160</v>
      </c>
      <c r="B103" s="8">
        <v>45504</v>
      </c>
      <c r="C103" s="9">
        <v>1513.25</v>
      </c>
      <c r="D103" s="7" t="s">
        <v>18</v>
      </c>
      <c r="E103" s="9">
        <v>1513.25</v>
      </c>
      <c r="F103" s="10"/>
      <c r="G103" s="11"/>
      <c r="H103" s="12">
        <f t="shared" si="0"/>
        <v>0</v>
      </c>
      <c r="I103" s="13">
        <f t="shared" si="1"/>
        <v>0</v>
      </c>
      <c r="J103" s="13">
        <f t="shared" si="2"/>
        <v>0</v>
      </c>
      <c r="K103" s="13">
        <f t="shared" si="3"/>
        <v>0</v>
      </c>
      <c r="L103" s="13">
        <f t="shared" si="4"/>
        <v>588067.98949218797</v>
      </c>
      <c r="M103" s="13">
        <f t="shared" si="5"/>
        <v>10588067.989492187</v>
      </c>
      <c r="N103" s="13">
        <f t="shared" si="6"/>
        <v>10626088.451884884</v>
      </c>
      <c r="O103" s="13">
        <f t="shared" si="7"/>
        <v>-38020.462392697111</v>
      </c>
      <c r="P103" s="12">
        <f t="shared" si="8"/>
        <v>-3.5780299180506953E-3</v>
      </c>
    </row>
    <row r="104" spans="1:16" ht="14.4" x14ac:dyDescent="0.3">
      <c r="A104" s="7" t="s">
        <v>161</v>
      </c>
      <c r="B104" s="8">
        <v>45504</v>
      </c>
      <c r="C104" s="9">
        <v>594.9</v>
      </c>
      <c r="D104" s="7" t="s">
        <v>18</v>
      </c>
      <c r="E104" s="9">
        <v>594.9</v>
      </c>
      <c r="F104" s="10"/>
      <c r="G104" s="11"/>
      <c r="H104" s="12">
        <f t="shared" si="0"/>
        <v>0</v>
      </c>
      <c r="I104" s="13">
        <f t="shared" si="1"/>
        <v>0</v>
      </c>
      <c r="J104" s="13">
        <f t="shared" si="2"/>
        <v>0</v>
      </c>
      <c r="K104" s="13">
        <f t="shared" si="3"/>
        <v>0</v>
      </c>
      <c r="L104" s="13">
        <f t="shared" si="4"/>
        <v>588067.98949218797</v>
      </c>
      <c r="M104" s="13">
        <f t="shared" si="5"/>
        <v>10588067.989492187</v>
      </c>
      <c r="N104" s="13">
        <f t="shared" si="6"/>
        <v>10626088.451884884</v>
      </c>
      <c r="O104" s="13">
        <f t="shared" si="7"/>
        <v>-38020.462392697111</v>
      </c>
      <c r="P104" s="12">
        <f t="shared" si="8"/>
        <v>-3.5780299180506953E-3</v>
      </c>
    </row>
    <row r="105" spans="1:16" ht="14.4" x14ac:dyDescent="0.3">
      <c r="A105" s="7" t="s">
        <v>162</v>
      </c>
      <c r="B105" s="8">
        <v>45504</v>
      </c>
      <c r="C105" s="9">
        <v>421.2</v>
      </c>
      <c r="D105" s="7" t="s">
        <v>18</v>
      </c>
      <c r="E105" s="9">
        <v>421.2</v>
      </c>
      <c r="F105" s="10"/>
      <c r="G105" s="11"/>
      <c r="H105" s="12">
        <f t="shared" si="0"/>
        <v>0</v>
      </c>
      <c r="I105" s="13">
        <f t="shared" si="1"/>
        <v>0</v>
      </c>
      <c r="J105" s="13">
        <f t="shared" si="2"/>
        <v>0</v>
      </c>
      <c r="K105" s="13">
        <f t="shared" si="3"/>
        <v>0</v>
      </c>
      <c r="L105" s="13">
        <f t="shared" si="4"/>
        <v>588067.98949218797</v>
      </c>
      <c r="M105" s="13">
        <f t="shared" si="5"/>
        <v>10588067.989492187</v>
      </c>
      <c r="N105" s="13">
        <f t="shared" si="6"/>
        <v>10626088.451884884</v>
      </c>
      <c r="O105" s="13">
        <f t="shared" si="7"/>
        <v>-38020.462392697111</v>
      </c>
      <c r="P105" s="12">
        <f t="shared" si="8"/>
        <v>-3.5780299180506953E-3</v>
      </c>
    </row>
    <row r="106" spans="1:16" ht="14.4" x14ac:dyDescent="0.3">
      <c r="A106" s="7" t="s">
        <v>163</v>
      </c>
      <c r="B106" s="8">
        <v>45504</v>
      </c>
      <c r="C106" s="9">
        <v>4756.7</v>
      </c>
      <c r="D106" s="7" t="s">
        <v>18</v>
      </c>
      <c r="E106" s="9">
        <v>4756.7</v>
      </c>
      <c r="F106" s="10"/>
      <c r="G106" s="11"/>
      <c r="H106" s="12">
        <f t="shared" si="0"/>
        <v>0</v>
      </c>
      <c r="I106" s="13">
        <f t="shared" si="1"/>
        <v>0</v>
      </c>
      <c r="J106" s="13">
        <f t="shared" si="2"/>
        <v>0</v>
      </c>
      <c r="K106" s="13">
        <f t="shared" si="3"/>
        <v>0</v>
      </c>
      <c r="L106" s="13">
        <f t="shared" si="4"/>
        <v>588067.98949218797</v>
      </c>
      <c r="M106" s="13">
        <f t="shared" si="5"/>
        <v>10588067.989492187</v>
      </c>
      <c r="N106" s="13">
        <f t="shared" si="6"/>
        <v>10626088.451884884</v>
      </c>
      <c r="O106" s="13">
        <f t="shared" si="7"/>
        <v>-38020.462392697111</v>
      </c>
      <c r="P106" s="12">
        <f t="shared" si="8"/>
        <v>-3.5780299180506953E-3</v>
      </c>
    </row>
    <row r="107" spans="1:16" ht="14.4" x14ac:dyDescent="0.3">
      <c r="A107" s="7" t="s">
        <v>164</v>
      </c>
      <c r="B107" s="8">
        <v>45504</v>
      </c>
      <c r="C107" s="9">
        <v>273.44</v>
      </c>
      <c r="D107" s="7" t="s">
        <v>18</v>
      </c>
      <c r="E107" s="9">
        <v>273.44</v>
      </c>
      <c r="F107" s="10"/>
      <c r="G107" s="11"/>
      <c r="H107" s="12">
        <f t="shared" si="0"/>
        <v>0</v>
      </c>
      <c r="I107" s="13">
        <f t="shared" si="1"/>
        <v>0</v>
      </c>
      <c r="J107" s="13">
        <f t="shared" si="2"/>
        <v>0</v>
      </c>
      <c r="K107" s="13">
        <f t="shared" si="3"/>
        <v>0</v>
      </c>
      <c r="L107" s="13">
        <f t="shared" si="4"/>
        <v>588067.98949218797</v>
      </c>
      <c r="M107" s="13">
        <f t="shared" si="5"/>
        <v>10588067.989492187</v>
      </c>
      <c r="N107" s="13">
        <f t="shared" si="6"/>
        <v>10626088.451884884</v>
      </c>
      <c r="O107" s="13">
        <f t="shared" si="7"/>
        <v>-38020.462392697111</v>
      </c>
      <c r="P107" s="12">
        <f t="shared" si="8"/>
        <v>-3.5780299180506953E-3</v>
      </c>
    </row>
    <row r="108" spans="1:16" ht="14.4" x14ac:dyDescent="0.3">
      <c r="A108" s="7" t="s">
        <v>165</v>
      </c>
      <c r="B108" s="8">
        <v>45504</v>
      </c>
      <c r="C108" s="9">
        <v>630.1</v>
      </c>
      <c r="D108" s="7" t="s">
        <v>18</v>
      </c>
      <c r="E108" s="9">
        <v>630.1</v>
      </c>
      <c r="F108" s="10"/>
      <c r="G108" s="11"/>
      <c r="H108" s="12">
        <f t="shared" si="0"/>
        <v>0</v>
      </c>
      <c r="I108" s="13">
        <f t="shared" si="1"/>
        <v>0</v>
      </c>
      <c r="J108" s="13">
        <f t="shared" si="2"/>
        <v>0</v>
      </c>
      <c r="K108" s="13">
        <f t="shared" si="3"/>
        <v>0</v>
      </c>
      <c r="L108" s="13">
        <f t="shared" si="4"/>
        <v>588067.98949218797</v>
      </c>
      <c r="M108" s="13">
        <f t="shared" si="5"/>
        <v>10588067.989492187</v>
      </c>
      <c r="N108" s="13">
        <f t="shared" si="6"/>
        <v>10626088.451884884</v>
      </c>
      <c r="O108" s="13">
        <f t="shared" si="7"/>
        <v>-38020.462392697111</v>
      </c>
      <c r="P108" s="12">
        <f t="shared" si="8"/>
        <v>-3.5780299180506953E-3</v>
      </c>
    </row>
    <row r="109" spans="1:16" ht="14.4" x14ac:dyDescent="0.3">
      <c r="A109" s="7" t="s">
        <v>166</v>
      </c>
      <c r="B109" s="8">
        <v>45504</v>
      </c>
      <c r="C109" s="9">
        <v>1357.8</v>
      </c>
      <c r="D109" s="7" t="s">
        <v>18</v>
      </c>
      <c r="E109" s="9">
        <v>1357.8</v>
      </c>
      <c r="F109" s="10"/>
      <c r="G109" s="11"/>
      <c r="H109" s="12">
        <f t="shared" si="0"/>
        <v>0</v>
      </c>
      <c r="I109" s="13">
        <f t="shared" si="1"/>
        <v>0</v>
      </c>
      <c r="J109" s="13">
        <f t="shared" si="2"/>
        <v>0</v>
      </c>
      <c r="K109" s="13">
        <f t="shared" si="3"/>
        <v>0</v>
      </c>
      <c r="L109" s="13">
        <f t="shared" si="4"/>
        <v>588067.98949218797</v>
      </c>
      <c r="M109" s="13">
        <f t="shared" si="5"/>
        <v>10588067.989492187</v>
      </c>
      <c r="N109" s="13">
        <f t="shared" si="6"/>
        <v>10626088.451884884</v>
      </c>
      <c r="O109" s="13">
        <f t="shared" si="7"/>
        <v>-38020.462392697111</v>
      </c>
      <c r="P109" s="12">
        <f t="shared" si="8"/>
        <v>-3.5780299180506953E-3</v>
      </c>
    </row>
    <row r="110" spans="1:16" ht="14.4" x14ac:dyDescent="0.3">
      <c r="A110" s="7" t="s">
        <v>167</v>
      </c>
      <c r="B110" s="8">
        <v>45504</v>
      </c>
      <c r="C110" s="9">
        <v>605</v>
      </c>
      <c r="D110" s="7" t="s">
        <v>18</v>
      </c>
      <c r="E110" s="9">
        <v>605</v>
      </c>
      <c r="F110" s="10"/>
      <c r="G110" s="11"/>
      <c r="H110" s="12">
        <f t="shared" si="0"/>
        <v>0</v>
      </c>
      <c r="I110" s="13">
        <f t="shared" si="1"/>
        <v>0</v>
      </c>
      <c r="J110" s="13">
        <f t="shared" si="2"/>
        <v>0</v>
      </c>
      <c r="K110" s="13">
        <f t="shared" si="3"/>
        <v>0</v>
      </c>
      <c r="L110" s="13">
        <f t="shared" si="4"/>
        <v>588067.98949218797</v>
      </c>
      <c r="M110" s="13">
        <f t="shared" si="5"/>
        <v>10588067.989492187</v>
      </c>
      <c r="N110" s="13">
        <f t="shared" si="6"/>
        <v>10626088.451884884</v>
      </c>
      <c r="O110" s="13">
        <f t="shared" si="7"/>
        <v>-38020.462392697111</v>
      </c>
      <c r="P110" s="12">
        <f t="shared" si="8"/>
        <v>-3.5780299180506953E-3</v>
      </c>
    </row>
    <row r="111" spans="1:16" ht="14.4" x14ac:dyDescent="0.3">
      <c r="A111" s="7" t="s">
        <v>168</v>
      </c>
      <c r="B111" s="8">
        <v>45504</v>
      </c>
      <c r="C111" s="9">
        <v>1868.25</v>
      </c>
      <c r="D111" s="7" t="s">
        <v>18</v>
      </c>
      <c r="E111" s="9">
        <v>1868.25</v>
      </c>
      <c r="F111" s="10"/>
      <c r="G111" s="11"/>
      <c r="H111" s="12">
        <f t="shared" si="0"/>
        <v>0</v>
      </c>
      <c r="I111" s="13">
        <f t="shared" si="1"/>
        <v>0</v>
      </c>
      <c r="J111" s="13">
        <f t="shared" si="2"/>
        <v>0</v>
      </c>
      <c r="K111" s="13">
        <f t="shared" si="3"/>
        <v>0</v>
      </c>
      <c r="L111" s="13">
        <f t="shared" si="4"/>
        <v>588067.98949218797</v>
      </c>
      <c r="M111" s="13">
        <f t="shared" si="5"/>
        <v>10588067.989492187</v>
      </c>
      <c r="N111" s="13">
        <f t="shared" si="6"/>
        <v>10626088.451884884</v>
      </c>
      <c r="O111" s="13">
        <f t="shared" si="7"/>
        <v>-38020.462392697111</v>
      </c>
      <c r="P111" s="12">
        <f t="shared" si="8"/>
        <v>-3.5780299180506953E-3</v>
      </c>
    </row>
    <row r="112" spans="1:16" ht="14.4" x14ac:dyDescent="0.3">
      <c r="A112" s="7" t="s">
        <v>169</v>
      </c>
      <c r="B112" s="8">
        <v>45504</v>
      </c>
      <c r="C112" s="9">
        <v>1271.8</v>
      </c>
      <c r="D112" s="7" t="s">
        <v>18</v>
      </c>
      <c r="E112" s="9">
        <v>1271.8</v>
      </c>
      <c r="F112" s="10"/>
      <c r="G112" s="11"/>
      <c r="H112" s="12">
        <f t="shared" si="0"/>
        <v>0</v>
      </c>
      <c r="I112" s="13">
        <f t="shared" si="1"/>
        <v>0</v>
      </c>
      <c r="J112" s="13">
        <f t="shared" si="2"/>
        <v>0</v>
      </c>
      <c r="K112" s="13">
        <f t="shared" si="3"/>
        <v>0</v>
      </c>
      <c r="L112" s="13">
        <f t="shared" si="4"/>
        <v>588067.98949218797</v>
      </c>
      <c r="M112" s="13">
        <f t="shared" si="5"/>
        <v>10588067.989492187</v>
      </c>
      <c r="N112" s="13">
        <f t="shared" si="6"/>
        <v>10626088.451884884</v>
      </c>
      <c r="O112" s="13">
        <f t="shared" si="7"/>
        <v>-38020.462392697111</v>
      </c>
      <c r="P112" s="12">
        <f t="shared" si="8"/>
        <v>-3.5780299180506953E-3</v>
      </c>
    </row>
    <row r="113" spans="1:16" ht="14.4" x14ac:dyDescent="0.3">
      <c r="A113" s="7" t="s">
        <v>170</v>
      </c>
      <c r="B113" s="8">
        <v>45504</v>
      </c>
      <c r="C113" s="9">
        <v>177.75</v>
      </c>
      <c r="D113" s="7" t="s">
        <v>18</v>
      </c>
      <c r="E113" s="9">
        <v>177.75</v>
      </c>
      <c r="F113" s="10"/>
      <c r="G113" s="11"/>
      <c r="H113" s="12">
        <f t="shared" si="0"/>
        <v>0</v>
      </c>
      <c r="I113" s="13">
        <f t="shared" si="1"/>
        <v>0</v>
      </c>
      <c r="J113" s="13">
        <f t="shared" si="2"/>
        <v>0</v>
      </c>
      <c r="K113" s="13">
        <f t="shared" si="3"/>
        <v>0</v>
      </c>
      <c r="L113" s="13">
        <f t="shared" si="4"/>
        <v>588067.98949218797</v>
      </c>
      <c r="M113" s="13">
        <f t="shared" si="5"/>
        <v>10588067.989492187</v>
      </c>
      <c r="N113" s="13">
        <f t="shared" si="6"/>
        <v>10626088.451884884</v>
      </c>
      <c r="O113" s="13">
        <f t="shared" si="7"/>
        <v>-38020.462392697111</v>
      </c>
      <c r="P113" s="12">
        <f t="shared" si="8"/>
        <v>-3.5780299180506953E-3</v>
      </c>
    </row>
    <row r="114" spans="1:16" ht="14.4" x14ac:dyDescent="0.3">
      <c r="A114" s="7" t="s">
        <v>171</v>
      </c>
      <c r="B114" s="8">
        <v>45504</v>
      </c>
      <c r="C114" s="9">
        <v>210.98</v>
      </c>
      <c r="D114" s="7" t="s">
        <v>18</v>
      </c>
      <c r="E114" s="9">
        <v>210.98</v>
      </c>
      <c r="F114" s="10"/>
      <c r="G114" s="11"/>
      <c r="H114" s="12">
        <f t="shared" si="0"/>
        <v>0</v>
      </c>
      <c r="I114" s="13">
        <f t="shared" si="1"/>
        <v>0</v>
      </c>
      <c r="J114" s="13">
        <f t="shared" si="2"/>
        <v>0</v>
      </c>
      <c r="K114" s="13">
        <f t="shared" si="3"/>
        <v>0</v>
      </c>
      <c r="L114" s="13">
        <f t="shared" si="4"/>
        <v>588067.98949218797</v>
      </c>
      <c r="M114" s="13">
        <f t="shared" si="5"/>
        <v>10588067.989492187</v>
      </c>
      <c r="N114" s="13">
        <f t="shared" si="6"/>
        <v>10626088.451884884</v>
      </c>
      <c r="O114" s="13">
        <f t="shared" si="7"/>
        <v>-38020.462392697111</v>
      </c>
      <c r="P114" s="12">
        <f t="shared" si="8"/>
        <v>-3.5780299180506953E-3</v>
      </c>
    </row>
    <row r="115" spans="1:16" ht="14.4" x14ac:dyDescent="0.3">
      <c r="A115" s="7" t="s">
        <v>172</v>
      </c>
      <c r="B115" s="8">
        <v>45504</v>
      </c>
      <c r="C115" s="9">
        <v>330.55</v>
      </c>
      <c r="D115" s="7" t="s">
        <v>18</v>
      </c>
      <c r="E115" s="9">
        <v>330.55</v>
      </c>
      <c r="F115" s="10"/>
      <c r="G115" s="11"/>
      <c r="H115" s="12">
        <f t="shared" si="0"/>
        <v>0</v>
      </c>
      <c r="I115" s="13">
        <f t="shared" si="1"/>
        <v>0</v>
      </c>
      <c r="J115" s="13">
        <f t="shared" si="2"/>
        <v>0</v>
      </c>
      <c r="K115" s="13">
        <f t="shared" si="3"/>
        <v>0</v>
      </c>
      <c r="L115" s="13">
        <f t="shared" si="4"/>
        <v>588067.98949218797</v>
      </c>
      <c r="M115" s="13">
        <f t="shared" si="5"/>
        <v>10588067.989492187</v>
      </c>
      <c r="N115" s="13">
        <f t="shared" si="6"/>
        <v>10626088.451884884</v>
      </c>
      <c r="O115" s="13">
        <f t="shared" si="7"/>
        <v>-38020.462392697111</v>
      </c>
      <c r="P115" s="12">
        <f t="shared" si="8"/>
        <v>-3.5780299180506953E-3</v>
      </c>
    </row>
    <row r="116" spans="1:16" ht="14.4" x14ac:dyDescent="0.3">
      <c r="A116" s="7" t="s">
        <v>173</v>
      </c>
      <c r="B116" s="8">
        <v>45504</v>
      </c>
      <c r="C116" s="9">
        <v>5650.8</v>
      </c>
      <c r="D116" s="7" t="s">
        <v>18</v>
      </c>
      <c r="E116" s="9">
        <v>5650.8</v>
      </c>
      <c r="F116" s="10"/>
      <c r="G116" s="11"/>
      <c r="H116" s="12">
        <f t="shared" si="0"/>
        <v>0</v>
      </c>
      <c r="I116" s="13">
        <f t="shared" si="1"/>
        <v>0</v>
      </c>
      <c r="J116" s="13">
        <f t="shared" si="2"/>
        <v>0</v>
      </c>
      <c r="K116" s="13">
        <f t="shared" si="3"/>
        <v>0</v>
      </c>
      <c r="L116" s="13">
        <f t="shared" si="4"/>
        <v>588067.98949218797</v>
      </c>
      <c r="M116" s="13">
        <f t="shared" si="5"/>
        <v>10588067.989492187</v>
      </c>
      <c r="N116" s="13">
        <f t="shared" si="6"/>
        <v>10626088.451884884</v>
      </c>
      <c r="O116" s="13">
        <f t="shared" si="7"/>
        <v>-38020.462392697111</v>
      </c>
      <c r="P116" s="12">
        <f t="shared" si="8"/>
        <v>-3.5780299180506953E-3</v>
      </c>
    </row>
    <row r="117" spans="1:16" ht="14.4" x14ac:dyDescent="0.3">
      <c r="A117" s="7" t="s">
        <v>174</v>
      </c>
      <c r="B117" s="8">
        <v>45504</v>
      </c>
      <c r="C117" s="9">
        <v>325.25</v>
      </c>
      <c r="D117" s="7" t="s">
        <v>18</v>
      </c>
      <c r="E117" s="9">
        <v>325.25</v>
      </c>
      <c r="F117" s="10"/>
      <c r="G117" s="11"/>
      <c r="H117" s="12">
        <f t="shared" si="0"/>
        <v>0</v>
      </c>
      <c r="I117" s="13">
        <f t="shared" si="1"/>
        <v>0</v>
      </c>
      <c r="J117" s="13">
        <f t="shared" si="2"/>
        <v>0</v>
      </c>
      <c r="K117" s="13">
        <f t="shared" si="3"/>
        <v>0</v>
      </c>
      <c r="L117" s="13">
        <f t="shared" si="4"/>
        <v>588067.98949218797</v>
      </c>
      <c r="M117" s="13">
        <f t="shared" si="5"/>
        <v>10588067.989492187</v>
      </c>
      <c r="N117" s="13">
        <f t="shared" si="6"/>
        <v>10626088.451884884</v>
      </c>
      <c r="O117" s="13">
        <f t="shared" si="7"/>
        <v>-38020.462392697111</v>
      </c>
      <c r="P117" s="12">
        <f t="shared" si="8"/>
        <v>-3.5780299180506953E-3</v>
      </c>
    </row>
    <row r="118" spans="1:16" ht="14.4" x14ac:dyDescent="0.3">
      <c r="A118" s="7" t="s">
        <v>175</v>
      </c>
      <c r="B118" s="8">
        <v>45504</v>
      </c>
      <c r="C118" s="9">
        <v>4430.75</v>
      </c>
      <c r="D118" s="7" t="s">
        <v>18</v>
      </c>
      <c r="E118" s="9">
        <v>4430.75</v>
      </c>
      <c r="F118" s="10"/>
      <c r="G118" s="11"/>
      <c r="H118" s="12">
        <f t="shared" si="0"/>
        <v>0</v>
      </c>
      <c r="I118" s="13">
        <f t="shared" si="1"/>
        <v>0</v>
      </c>
      <c r="J118" s="13">
        <f t="shared" si="2"/>
        <v>0</v>
      </c>
      <c r="K118" s="13">
        <f t="shared" si="3"/>
        <v>0</v>
      </c>
      <c r="L118" s="13">
        <f t="shared" si="4"/>
        <v>588067.98949218797</v>
      </c>
      <c r="M118" s="13">
        <f t="shared" si="5"/>
        <v>10588067.989492187</v>
      </c>
      <c r="N118" s="13">
        <f t="shared" si="6"/>
        <v>10626088.451884884</v>
      </c>
      <c r="O118" s="13">
        <f t="shared" si="7"/>
        <v>-38020.462392697111</v>
      </c>
      <c r="P118" s="12">
        <f t="shared" si="8"/>
        <v>-3.5780299180506953E-3</v>
      </c>
    </row>
    <row r="119" spans="1:16" ht="14.4" x14ac:dyDescent="0.3">
      <c r="A119" s="7" t="s">
        <v>176</v>
      </c>
      <c r="B119" s="8">
        <v>45504</v>
      </c>
      <c r="C119" s="9">
        <v>153.55000000000001</v>
      </c>
      <c r="D119" s="7" t="s">
        <v>18</v>
      </c>
      <c r="E119" s="9">
        <v>153.55000000000001</v>
      </c>
      <c r="F119" s="10"/>
      <c r="G119" s="11"/>
      <c r="H119" s="12">
        <f t="shared" si="0"/>
        <v>0</v>
      </c>
      <c r="I119" s="13">
        <f t="shared" si="1"/>
        <v>0</v>
      </c>
      <c r="J119" s="13">
        <f t="shared" si="2"/>
        <v>0</v>
      </c>
      <c r="K119" s="13">
        <f t="shared" si="3"/>
        <v>0</v>
      </c>
      <c r="L119" s="13">
        <f t="shared" si="4"/>
        <v>588067.98949218797</v>
      </c>
      <c r="M119" s="13">
        <f t="shared" si="5"/>
        <v>10588067.989492187</v>
      </c>
      <c r="N119" s="13">
        <f t="shared" si="6"/>
        <v>10626088.451884884</v>
      </c>
      <c r="O119" s="13">
        <f t="shared" si="7"/>
        <v>-38020.462392697111</v>
      </c>
      <c r="P119" s="12">
        <f t="shared" si="8"/>
        <v>-3.5780299180506953E-3</v>
      </c>
    </row>
    <row r="120" spans="1:16" ht="14.4" x14ac:dyDescent="0.3">
      <c r="A120" s="7" t="s">
        <v>177</v>
      </c>
      <c r="B120" s="8">
        <v>45504</v>
      </c>
      <c r="C120" s="9">
        <v>234.02</v>
      </c>
      <c r="D120" s="7" t="s">
        <v>18</v>
      </c>
      <c r="E120" s="9">
        <v>234.02</v>
      </c>
      <c r="F120" s="10"/>
      <c r="G120" s="11"/>
      <c r="H120" s="12">
        <f t="shared" si="0"/>
        <v>0</v>
      </c>
      <c r="I120" s="13">
        <f t="shared" si="1"/>
        <v>0</v>
      </c>
      <c r="J120" s="13">
        <f t="shared" si="2"/>
        <v>0</v>
      </c>
      <c r="K120" s="13">
        <f t="shared" si="3"/>
        <v>0</v>
      </c>
      <c r="L120" s="13">
        <f t="shared" si="4"/>
        <v>588067.98949218797</v>
      </c>
      <c r="M120" s="13">
        <f t="shared" si="5"/>
        <v>10588067.989492187</v>
      </c>
      <c r="N120" s="13">
        <f t="shared" si="6"/>
        <v>10626088.451884884</v>
      </c>
      <c r="O120" s="13">
        <f t="shared" si="7"/>
        <v>-38020.462392697111</v>
      </c>
      <c r="P120" s="12">
        <f t="shared" si="8"/>
        <v>-3.5780299180506953E-3</v>
      </c>
    </row>
    <row r="121" spans="1:16" ht="14.4" x14ac:dyDescent="0.3">
      <c r="A121" s="7" t="s">
        <v>178</v>
      </c>
      <c r="B121" s="8">
        <v>45504</v>
      </c>
      <c r="C121" s="9">
        <v>389.75</v>
      </c>
      <c r="D121" s="7" t="s">
        <v>18</v>
      </c>
      <c r="E121" s="9">
        <v>389.75</v>
      </c>
      <c r="F121" s="10"/>
      <c r="G121" s="11"/>
      <c r="H121" s="12">
        <f t="shared" si="0"/>
        <v>0</v>
      </c>
      <c r="I121" s="13">
        <f t="shared" si="1"/>
        <v>0</v>
      </c>
      <c r="J121" s="13">
        <f t="shared" si="2"/>
        <v>0</v>
      </c>
      <c r="K121" s="13">
        <f t="shared" si="3"/>
        <v>0</v>
      </c>
      <c r="L121" s="13">
        <f t="shared" si="4"/>
        <v>588067.98949218797</v>
      </c>
      <c r="M121" s="13">
        <f t="shared" si="5"/>
        <v>10588067.989492187</v>
      </c>
      <c r="N121" s="13">
        <f t="shared" si="6"/>
        <v>10626088.451884884</v>
      </c>
      <c r="O121" s="13">
        <f t="shared" si="7"/>
        <v>-38020.462392697111</v>
      </c>
      <c r="P121" s="12">
        <f t="shared" si="8"/>
        <v>-3.5780299180506953E-3</v>
      </c>
    </row>
    <row r="122" spans="1:16" ht="14.4" x14ac:dyDescent="0.3">
      <c r="A122" s="7" t="s">
        <v>179</v>
      </c>
      <c r="B122" s="8">
        <v>45504</v>
      </c>
      <c r="C122" s="9">
        <v>1156.6500000000001</v>
      </c>
      <c r="D122" s="7" t="s">
        <v>18</v>
      </c>
      <c r="E122" s="9">
        <v>1156.6500000000001</v>
      </c>
      <c r="F122" s="10"/>
      <c r="G122" s="11"/>
      <c r="H122" s="12">
        <f t="shared" si="0"/>
        <v>0</v>
      </c>
      <c r="I122" s="13">
        <f t="shared" si="1"/>
        <v>0</v>
      </c>
      <c r="J122" s="13">
        <f t="shared" si="2"/>
        <v>0</v>
      </c>
      <c r="K122" s="13">
        <f t="shared" si="3"/>
        <v>0</v>
      </c>
      <c r="L122" s="13">
        <f t="shared" si="4"/>
        <v>588067.98949218797</v>
      </c>
      <c r="M122" s="13">
        <f t="shared" si="5"/>
        <v>10588067.989492187</v>
      </c>
      <c r="N122" s="13">
        <f t="shared" si="6"/>
        <v>10626088.451884884</v>
      </c>
      <c r="O122" s="13">
        <f t="shared" si="7"/>
        <v>-38020.462392697111</v>
      </c>
      <c r="P122" s="12">
        <f t="shared" si="8"/>
        <v>-3.5780299180506953E-3</v>
      </c>
    </row>
    <row r="123" spans="1:16" ht="14.4" x14ac:dyDescent="0.3">
      <c r="A123" s="7" t="s">
        <v>180</v>
      </c>
      <c r="B123" s="8">
        <v>45504</v>
      </c>
      <c r="C123" s="9">
        <v>344.55</v>
      </c>
      <c r="D123" s="7" t="s">
        <v>18</v>
      </c>
      <c r="E123" s="9">
        <v>344.55</v>
      </c>
      <c r="F123" s="10"/>
      <c r="G123" s="11"/>
      <c r="H123" s="12">
        <f t="shared" si="0"/>
        <v>0</v>
      </c>
      <c r="I123" s="13">
        <f t="shared" si="1"/>
        <v>0</v>
      </c>
      <c r="J123" s="13">
        <f t="shared" si="2"/>
        <v>0</v>
      </c>
      <c r="K123" s="13">
        <f t="shared" si="3"/>
        <v>0</v>
      </c>
      <c r="L123" s="13">
        <f t="shared" si="4"/>
        <v>588067.98949218797</v>
      </c>
      <c r="M123" s="13">
        <f t="shared" si="5"/>
        <v>10588067.989492187</v>
      </c>
      <c r="N123" s="13">
        <f t="shared" si="6"/>
        <v>10626088.451884884</v>
      </c>
      <c r="O123" s="13">
        <f t="shared" si="7"/>
        <v>-38020.462392697111</v>
      </c>
      <c r="P123" s="12">
        <f t="shared" si="8"/>
        <v>-3.5780299180506953E-3</v>
      </c>
    </row>
    <row r="124" spans="1:16" ht="14.4" x14ac:dyDescent="0.3">
      <c r="A124" s="7" t="s">
        <v>181</v>
      </c>
      <c r="B124" s="8">
        <v>45504</v>
      </c>
      <c r="C124" s="9">
        <v>964.5</v>
      </c>
      <c r="D124" s="7" t="s">
        <v>18</v>
      </c>
      <c r="E124" s="9">
        <v>964.5</v>
      </c>
      <c r="F124" s="10"/>
      <c r="G124" s="11"/>
      <c r="H124" s="12">
        <f t="shared" si="0"/>
        <v>0</v>
      </c>
      <c r="I124" s="13">
        <f t="shared" si="1"/>
        <v>0</v>
      </c>
      <c r="J124" s="13">
        <f t="shared" si="2"/>
        <v>0</v>
      </c>
      <c r="K124" s="13">
        <f t="shared" si="3"/>
        <v>0</v>
      </c>
      <c r="L124" s="13">
        <f t="shared" si="4"/>
        <v>588067.98949218797</v>
      </c>
      <c r="M124" s="13">
        <f t="shared" si="5"/>
        <v>10588067.989492187</v>
      </c>
      <c r="N124" s="13">
        <f t="shared" si="6"/>
        <v>10626088.451884884</v>
      </c>
      <c r="O124" s="13">
        <f t="shared" si="7"/>
        <v>-38020.462392697111</v>
      </c>
      <c r="P124" s="12">
        <f t="shared" si="8"/>
        <v>-3.5780299180506953E-3</v>
      </c>
    </row>
    <row r="125" spans="1:16" ht="14.4" x14ac:dyDescent="0.3">
      <c r="A125" s="7" t="s">
        <v>182</v>
      </c>
      <c r="B125" s="8">
        <v>45504</v>
      </c>
      <c r="C125" s="9">
        <v>599.1</v>
      </c>
      <c r="D125" s="7" t="s">
        <v>18</v>
      </c>
      <c r="E125" s="9">
        <v>599.1</v>
      </c>
      <c r="F125" s="10"/>
      <c r="G125" s="11"/>
      <c r="H125" s="12">
        <f t="shared" si="0"/>
        <v>0</v>
      </c>
      <c r="I125" s="13">
        <f t="shared" si="1"/>
        <v>0</v>
      </c>
      <c r="J125" s="13">
        <f t="shared" si="2"/>
        <v>0</v>
      </c>
      <c r="K125" s="13">
        <f t="shared" si="3"/>
        <v>0</v>
      </c>
      <c r="L125" s="13">
        <f t="shared" si="4"/>
        <v>588067.98949218797</v>
      </c>
      <c r="M125" s="13">
        <f t="shared" si="5"/>
        <v>10588067.989492187</v>
      </c>
      <c r="N125" s="13">
        <f t="shared" si="6"/>
        <v>10626088.451884884</v>
      </c>
      <c r="O125" s="13">
        <f t="shared" si="7"/>
        <v>-38020.462392697111</v>
      </c>
      <c r="P125" s="12">
        <f t="shared" si="8"/>
        <v>-3.5780299180506953E-3</v>
      </c>
    </row>
    <row r="126" spans="1:16" ht="14.4" x14ac:dyDescent="0.3">
      <c r="A126" s="7" t="s">
        <v>183</v>
      </c>
      <c r="B126" s="8">
        <v>45504</v>
      </c>
      <c r="C126" s="9">
        <v>3102.25</v>
      </c>
      <c r="D126" s="7" t="s">
        <v>18</v>
      </c>
      <c r="E126" s="9">
        <v>3102.25</v>
      </c>
      <c r="F126" s="10"/>
      <c r="G126" s="11"/>
      <c r="H126" s="12">
        <f t="shared" si="0"/>
        <v>0</v>
      </c>
      <c r="I126" s="13">
        <f t="shared" si="1"/>
        <v>0</v>
      </c>
      <c r="J126" s="13">
        <f t="shared" si="2"/>
        <v>0</v>
      </c>
      <c r="K126" s="13">
        <f t="shared" si="3"/>
        <v>0</v>
      </c>
      <c r="L126" s="13">
        <f t="shared" si="4"/>
        <v>588067.98949218797</v>
      </c>
      <c r="M126" s="13">
        <f t="shared" si="5"/>
        <v>10588067.989492187</v>
      </c>
      <c r="N126" s="13">
        <f t="shared" si="6"/>
        <v>10626088.451884884</v>
      </c>
      <c r="O126" s="13">
        <f t="shared" si="7"/>
        <v>-38020.462392697111</v>
      </c>
      <c r="P126" s="12">
        <f t="shared" si="8"/>
        <v>-3.5780299180506953E-3</v>
      </c>
    </row>
    <row r="127" spans="1:16" ht="14.4" x14ac:dyDescent="0.3">
      <c r="A127" s="7" t="s">
        <v>184</v>
      </c>
      <c r="B127" s="8">
        <v>45504</v>
      </c>
      <c r="C127" s="9">
        <v>479.56</v>
      </c>
      <c r="D127" s="7" t="s">
        <v>18</v>
      </c>
      <c r="E127" s="9">
        <v>479.56</v>
      </c>
      <c r="F127" s="10"/>
      <c r="G127" s="11"/>
      <c r="H127" s="12">
        <f t="shared" si="0"/>
        <v>0</v>
      </c>
      <c r="I127" s="13">
        <f t="shared" si="1"/>
        <v>0</v>
      </c>
      <c r="J127" s="13">
        <f t="shared" si="2"/>
        <v>0</v>
      </c>
      <c r="K127" s="13">
        <f t="shared" si="3"/>
        <v>0</v>
      </c>
      <c r="L127" s="13">
        <f t="shared" si="4"/>
        <v>588067.98949218797</v>
      </c>
      <c r="M127" s="13">
        <f t="shared" si="5"/>
        <v>10588067.989492187</v>
      </c>
      <c r="N127" s="13">
        <f t="shared" si="6"/>
        <v>10626088.451884884</v>
      </c>
      <c r="O127" s="13">
        <f t="shared" si="7"/>
        <v>-38020.462392697111</v>
      </c>
      <c r="P127" s="12">
        <f t="shared" si="8"/>
        <v>-3.5780299180506953E-3</v>
      </c>
    </row>
    <row r="128" spans="1:16" ht="14.4" x14ac:dyDescent="0.3">
      <c r="A128" s="7" t="s">
        <v>185</v>
      </c>
      <c r="B128" s="8">
        <v>45504</v>
      </c>
      <c r="C128" s="9">
        <v>743.1</v>
      </c>
      <c r="D128" s="7" t="s">
        <v>18</v>
      </c>
      <c r="E128" s="9">
        <v>743.1</v>
      </c>
      <c r="F128" s="10"/>
      <c r="G128" s="11"/>
      <c r="H128" s="12">
        <f t="shared" si="0"/>
        <v>0</v>
      </c>
      <c r="I128" s="13">
        <f t="shared" si="1"/>
        <v>0</v>
      </c>
      <c r="J128" s="13">
        <f t="shared" si="2"/>
        <v>0</v>
      </c>
      <c r="K128" s="13">
        <f t="shared" si="3"/>
        <v>0</v>
      </c>
      <c r="L128" s="13">
        <f t="shared" si="4"/>
        <v>588067.98949218797</v>
      </c>
      <c r="M128" s="13">
        <f t="shared" si="5"/>
        <v>10588067.989492187</v>
      </c>
      <c r="N128" s="13">
        <f t="shared" si="6"/>
        <v>10626088.451884884</v>
      </c>
      <c r="O128" s="13">
        <f t="shared" si="7"/>
        <v>-38020.462392697111</v>
      </c>
      <c r="P128" s="12">
        <f t="shared" si="8"/>
        <v>-3.5780299180506953E-3</v>
      </c>
    </row>
    <row r="129" spans="1:16" ht="14.4" x14ac:dyDescent="0.3">
      <c r="A129" s="7" t="s">
        <v>186</v>
      </c>
      <c r="B129" s="8">
        <v>45504</v>
      </c>
      <c r="C129" s="9">
        <v>2065.35</v>
      </c>
      <c r="D129" s="7" t="s">
        <v>18</v>
      </c>
      <c r="E129" s="9">
        <v>2065.35</v>
      </c>
      <c r="F129" s="10"/>
      <c r="G129" s="11"/>
      <c r="H129" s="12">
        <f t="shared" si="0"/>
        <v>0</v>
      </c>
      <c r="I129" s="13">
        <f t="shared" si="1"/>
        <v>0</v>
      </c>
      <c r="J129" s="13">
        <f t="shared" si="2"/>
        <v>0</v>
      </c>
      <c r="K129" s="13">
        <f t="shared" si="3"/>
        <v>0</v>
      </c>
      <c r="L129" s="13">
        <f t="shared" si="4"/>
        <v>588067.98949218797</v>
      </c>
      <c r="M129" s="13">
        <f t="shared" si="5"/>
        <v>10588067.989492187</v>
      </c>
      <c r="N129" s="13">
        <f t="shared" si="6"/>
        <v>10626088.451884884</v>
      </c>
      <c r="O129" s="13">
        <f t="shared" si="7"/>
        <v>-38020.462392697111</v>
      </c>
      <c r="P129" s="12">
        <f t="shared" si="8"/>
        <v>-3.5780299180506953E-3</v>
      </c>
    </row>
    <row r="130" spans="1:16" ht="14.4" x14ac:dyDescent="0.3">
      <c r="A130" s="7" t="s">
        <v>187</v>
      </c>
      <c r="B130" s="8">
        <v>45504</v>
      </c>
      <c r="C130" s="9">
        <v>2802.25</v>
      </c>
      <c r="D130" s="7" t="s">
        <v>18</v>
      </c>
      <c r="E130" s="9">
        <v>2802.25</v>
      </c>
      <c r="F130" s="10"/>
      <c r="G130" s="11"/>
      <c r="H130" s="12">
        <f t="shared" si="0"/>
        <v>0</v>
      </c>
      <c r="I130" s="13">
        <f t="shared" si="1"/>
        <v>0</v>
      </c>
      <c r="J130" s="13">
        <f t="shared" si="2"/>
        <v>0</v>
      </c>
      <c r="K130" s="13">
        <f t="shared" si="3"/>
        <v>0</v>
      </c>
      <c r="L130" s="13">
        <f t="shared" si="4"/>
        <v>588067.98949218797</v>
      </c>
      <c r="M130" s="13">
        <f t="shared" si="5"/>
        <v>10588067.989492187</v>
      </c>
      <c r="N130" s="13">
        <f t="shared" si="6"/>
        <v>10626088.451884884</v>
      </c>
      <c r="O130" s="13">
        <f t="shared" si="7"/>
        <v>-38020.462392697111</v>
      </c>
      <c r="P130" s="12">
        <f t="shared" si="8"/>
        <v>-3.5780299180506953E-3</v>
      </c>
    </row>
    <row r="131" spans="1:16" ht="14.4" x14ac:dyDescent="0.3">
      <c r="A131" s="7" t="s">
        <v>188</v>
      </c>
      <c r="B131" s="8">
        <v>45504</v>
      </c>
      <c r="C131" s="9">
        <v>160.80000000000001</v>
      </c>
      <c r="D131" s="7" t="s">
        <v>18</v>
      </c>
      <c r="E131" s="9">
        <v>160.80000000000001</v>
      </c>
      <c r="F131" s="10"/>
      <c r="G131" s="11"/>
      <c r="H131" s="12">
        <f t="shared" si="0"/>
        <v>0</v>
      </c>
      <c r="I131" s="13">
        <f t="shared" si="1"/>
        <v>0</v>
      </c>
      <c r="J131" s="13">
        <f t="shared" si="2"/>
        <v>0</v>
      </c>
      <c r="K131" s="13">
        <f t="shared" si="3"/>
        <v>0</v>
      </c>
      <c r="L131" s="13">
        <f t="shared" si="4"/>
        <v>588067.98949218797</v>
      </c>
      <c r="M131" s="13">
        <f t="shared" si="5"/>
        <v>10588067.989492187</v>
      </c>
      <c r="N131" s="13">
        <f t="shared" si="6"/>
        <v>10626088.451884884</v>
      </c>
      <c r="O131" s="13">
        <f t="shared" si="7"/>
        <v>-38020.462392697111</v>
      </c>
      <c r="P131" s="12">
        <f t="shared" si="8"/>
        <v>-3.5780299180506953E-3</v>
      </c>
    </row>
    <row r="132" spans="1:16" ht="14.4" x14ac:dyDescent="0.3">
      <c r="A132" s="7" t="s">
        <v>189</v>
      </c>
      <c r="B132" s="8">
        <v>45504</v>
      </c>
      <c r="C132" s="9">
        <v>105.04</v>
      </c>
      <c r="D132" s="7" t="s">
        <v>18</v>
      </c>
      <c r="E132" s="9">
        <v>105.04</v>
      </c>
      <c r="F132" s="10"/>
      <c r="G132" s="11"/>
      <c r="H132" s="12">
        <f t="shared" si="0"/>
        <v>0</v>
      </c>
      <c r="I132" s="13">
        <f t="shared" si="1"/>
        <v>0</v>
      </c>
      <c r="J132" s="13">
        <f t="shared" si="2"/>
        <v>0</v>
      </c>
      <c r="K132" s="13">
        <f t="shared" si="3"/>
        <v>0</v>
      </c>
      <c r="L132" s="13">
        <f t="shared" si="4"/>
        <v>588067.98949218797</v>
      </c>
      <c r="M132" s="13">
        <f t="shared" si="5"/>
        <v>10588067.989492187</v>
      </c>
      <c r="N132" s="13">
        <f t="shared" si="6"/>
        <v>10626088.451884884</v>
      </c>
      <c r="O132" s="13">
        <f t="shared" si="7"/>
        <v>-38020.462392697111</v>
      </c>
      <c r="P132" s="12">
        <f t="shared" si="8"/>
        <v>-3.5780299180506953E-3</v>
      </c>
    </row>
    <row r="133" spans="1:16" ht="14.4" x14ac:dyDescent="0.3">
      <c r="A133" s="7" t="s">
        <v>190</v>
      </c>
      <c r="B133" s="8">
        <v>45504</v>
      </c>
      <c r="C133" s="9">
        <v>51.77</v>
      </c>
      <c r="D133" s="7" t="s">
        <v>18</v>
      </c>
      <c r="E133" s="9">
        <v>51.77</v>
      </c>
      <c r="F133" s="10"/>
      <c r="G133" s="11"/>
      <c r="H133" s="12">
        <f t="shared" si="0"/>
        <v>0</v>
      </c>
      <c r="I133" s="13">
        <f t="shared" si="1"/>
        <v>0</v>
      </c>
      <c r="J133" s="13">
        <f t="shared" si="2"/>
        <v>0</v>
      </c>
      <c r="K133" s="13">
        <f t="shared" si="3"/>
        <v>0</v>
      </c>
      <c r="L133" s="13">
        <f t="shared" si="4"/>
        <v>588067.98949218797</v>
      </c>
      <c r="M133" s="13">
        <f t="shared" si="5"/>
        <v>10588067.989492187</v>
      </c>
      <c r="N133" s="13">
        <f t="shared" si="6"/>
        <v>10626088.451884884</v>
      </c>
      <c r="O133" s="13">
        <f t="shared" si="7"/>
        <v>-38020.462392697111</v>
      </c>
      <c r="P133" s="12">
        <f t="shared" si="8"/>
        <v>-3.5780299180506953E-3</v>
      </c>
    </row>
    <row r="134" spans="1:16" ht="14.4" x14ac:dyDescent="0.3">
      <c r="A134" s="7" t="s">
        <v>191</v>
      </c>
      <c r="B134" s="8">
        <v>45504</v>
      </c>
      <c r="C134" s="9">
        <v>93.62</v>
      </c>
      <c r="D134" s="7" t="s">
        <v>18</v>
      </c>
      <c r="E134" s="9">
        <v>93.62</v>
      </c>
      <c r="F134" s="10"/>
      <c r="G134" s="11"/>
      <c r="H134" s="12">
        <f t="shared" si="0"/>
        <v>0</v>
      </c>
      <c r="I134" s="13">
        <f t="shared" si="1"/>
        <v>0</v>
      </c>
      <c r="J134" s="13">
        <f t="shared" si="2"/>
        <v>0</v>
      </c>
      <c r="K134" s="13">
        <f t="shared" si="3"/>
        <v>0</v>
      </c>
      <c r="L134" s="13">
        <f t="shared" si="4"/>
        <v>588067.98949218797</v>
      </c>
      <c r="M134" s="13">
        <f t="shared" si="5"/>
        <v>10588067.989492187</v>
      </c>
      <c r="N134" s="13">
        <f t="shared" si="6"/>
        <v>10626088.451884884</v>
      </c>
      <c r="O134" s="13">
        <f t="shared" si="7"/>
        <v>-38020.462392697111</v>
      </c>
      <c r="P134" s="12">
        <f t="shared" si="8"/>
        <v>-3.5780299180506953E-3</v>
      </c>
    </row>
    <row r="135" spans="1:16" ht="14.4" x14ac:dyDescent="0.3">
      <c r="A135" s="7" t="s">
        <v>192</v>
      </c>
      <c r="B135" s="8">
        <v>45504</v>
      </c>
      <c r="C135" s="9">
        <v>877.45</v>
      </c>
      <c r="D135" s="7" t="s">
        <v>18</v>
      </c>
      <c r="E135" s="9">
        <v>877.45</v>
      </c>
      <c r="F135" s="10"/>
      <c r="G135" s="11"/>
      <c r="H135" s="12">
        <f t="shared" si="0"/>
        <v>0</v>
      </c>
      <c r="I135" s="13">
        <f t="shared" si="1"/>
        <v>0</v>
      </c>
      <c r="J135" s="13">
        <f t="shared" si="2"/>
        <v>0</v>
      </c>
      <c r="K135" s="13">
        <f t="shared" si="3"/>
        <v>0</v>
      </c>
      <c r="L135" s="13">
        <f t="shared" si="4"/>
        <v>588067.98949218797</v>
      </c>
      <c r="M135" s="13">
        <f t="shared" si="5"/>
        <v>10588067.989492187</v>
      </c>
      <c r="N135" s="13">
        <f t="shared" si="6"/>
        <v>10626088.451884884</v>
      </c>
      <c r="O135" s="13">
        <f t="shared" si="7"/>
        <v>-38020.462392697111</v>
      </c>
      <c r="P135" s="12">
        <f t="shared" si="8"/>
        <v>-3.5780299180506953E-3</v>
      </c>
    </row>
    <row r="136" spans="1:16" ht="14.4" x14ac:dyDescent="0.3">
      <c r="A136" s="7" t="s">
        <v>193</v>
      </c>
      <c r="B136" s="8">
        <v>45504</v>
      </c>
      <c r="C136" s="9">
        <v>456.75</v>
      </c>
      <c r="D136" s="7" t="s">
        <v>18</v>
      </c>
      <c r="E136" s="9">
        <v>456.75</v>
      </c>
      <c r="F136" s="10"/>
      <c r="G136" s="11"/>
      <c r="H136" s="12">
        <f t="shared" si="0"/>
        <v>0</v>
      </c>
      <c r="I136" s="13">
        <f t="shared" si="1"/>
        <v>0</v>
      </c>
      <c r="J136" s="13">
        <f t="shared" si="2"/>
        <v>0</v>
      </c>
      <c r="K136" s="13">
        <f t="shared" si="3"/>
        <v>0</v>
      </c>
      <c r="L136" s="13">
        <f t="shared" si="4"/>
        <v>588067.98949218797</v>
      </c>
      <c r="M136" s="13">
        <f t="shared" si="5"/>
        <v>10588067.989492187</v>
      </c>
      <c r="N136" s="13">
        <f t="shared" si="6"/>
        <v>10626088.451884884</v>
      </c>
      <c r="O136" s="13">
        <f t="shared" si="7"/>
        <v>-38020.462392697111</v>
      </c>
      <c r="P136" s="12">
        <f t="shared" si="8"/>
        <v>-3.5780299180506953E-3</v>
      </c>
    </row>
    <row r="137" spans="1:16" ht="14.4" x14ac:dyDescent="0.3">
      <c r="A137" s="7" t="s">
        <v>194</v>
      </c>
      <c r="B137" s="8">
        <v>45504</v>
      </c>
      <c r="C137" s="9">
        <v>157.65</v>
      </c>
      <c r="D137" s="7" t="s">
        <v>18</v>
      </c>
      <c r="E137" s="9">
        <v>157.65</v>
      </c>
      <c r="F137" s="10"/>
      <c r="G137" s="11"/>
      <c r="H137" s="12">
        <f t="shared" si="0"/>
        <v>0</v>
      </c>
      <c r="I137" s="13">
        <f t="shared" si="1"/>
        <v>0</v>
      </c>
      <c r="J137" s="13">
        <f t="shared" si="2"/>
        <v>0</v>
      </c>
      <c r="K137" s="13">
        <f t="shared" si="3"/>
        <v>0</v>
      </c>
      <c r="L137" s="13">
        <f t="shared" si="4"/>
        <v>588067.98949218797</v>
      </c>
      <c r="M137" s="13">
        <f t="shared" si="5"/>
        <v>10588067.989492187</v>
      </c>
      <c r="N137" s="13">
        <f t="shared" si="6"/>
        <v>10626088.451884884</v>
      </c>
      <c r="O137" s="13">
        <f t="shared" si="7"/>
        <v>-38020.462392697111</v>
      </c>
      <c r="P137" s="12">
        <f t="shared" si="8"/>
        <v>-3.5780299180506953E-3</v>
      </c>
    </row>
    <row r="138" spans="1:16" ht="14.4" x14ac:dyDescent="0.3">
      <c r="A138" s="7" t="s">
        <v>195</v>
      </c>
      <c r="B138" s="8">
        <v>45504</v>
      </c>
      <c r="C138" s="9">
        <v>1840.05</v>
      </c>
      <c r="D138" s="7" t="s">
        <v>18</v>
      </c>
      <c r="E138" s="9">
        <v>1840.05</v>
      </c>
      <c r="F138" s="10"/>
      <c r="G138" s="11"/>
      <c r="H138" s="12">
        <f t="shared" si="0"/>
        <v>0</v>
      </c>
      <c r="I138" s="13">
        <f t="shared" si="1"/>
        <v>0</v>
      </c>
      <c r="J138" s="13">
        <f t="shared" si="2"/>
        <v>0</v>
      </c>
      <c r="K138" s="13">
        <f t="shared" si="3"/>
        <v>0</v>
      </c>
      <c r="L138" s="13">
        <f t="shared" si="4"/>
        <v>588067.98949218797</v>
      </c>
      <c r="M138" s="13">
        <f t="shared" si="5"/>
        <v>10588067.989492187</v>
      </c>
      <c r="N138" s="13">
        <f t="shared" si="6"/>
        <v>10626088.451884884</v>
      </c>
      <c r="O138" s="13">
        <f t="shared" si="7"/>
        <v>-38020.462392697111</v>
      </c>
      <c r="P138" s="12">
        <f t="shared" si="8"/>
        <v>-3.5780299180506953E-3</v>
      </c>
    </row>
    <row r="139" spans="1:16" ht="14.4" x14ac:dyDescent="0.3">
      <c r="A139" s="7" t="s">
        <v>196</v>
      </c>
      <c r="B139" s="8">
        <v>45504</v>
      </c>
      <c r="C139" s="9">
        <v>788.7</v>
      </c>
      <c r="D139" s="7" t="s">
        <v>18</v>
      </c>
      <c r="E139" s="9">
        <v>788.7</v>
      </c>
      <c r="F139" s="10"/>
      <c r="G139" s="11"/>
      <c r="H139" s="12">
        <f t="shared" si="0"/>
        <v>0</v>
      </c>
      <c r="I139" s="13">
        <f t="shared" si="1"/>
        <v>0</v>
      </c>
      <c r="J139" s="13">
        <f t="shared" si="2"/>
        <v>0</v>
      </c>
      <c r="K139" s="13">
        <f t="shared" si="3"/>
        <v>0</v>
      </c>
      <c r="L139" s="13">
        <f t="shared" si="4"/>
        <v>588067.98949218797</v>
      </c>
      <c r="M139" s="13">
        <f t="shared" si="5"/>
        <v>10588067.989492187</v>
      </c>
      <c r="N139" s="13">
        <f t="shared" si="6"/>
        <v>10626088.451884884</v>
      </c>
      <c r="O139" s="13">
        <f t="shared" si="7"/>
        <v>-38020.462392697111</v>
      </c>
      <c r="P139" s="12">
        <f t="shared" si="8"/>
        <v>-3.5780299180506953E-3</v>
      </c>
    </row>
    <row r="140" spans="1:16" ht="14.4" x14ac:dyDescent="0.3">
      <c r="A140" s="7" t="s">
        <v>197</v>
      </c>
      <c r="B140" s="8">
        <v>45504</v>
      </c>
      <c r="C140" s="9">
        <v>135.46</v>
      </c>
      <c r="D140" s="7" t="s">
        <v>18</v>
      </c>
      <c r="E140" s="9">
        <v>135.46</v>
      </c>
      <c r="F140" s="10"/>
      <c r="G140" s="11"/>
      <c r="H140" s="12">
        <f t="shared" si="0"/>
        <v>0</v>
      </c>
      <c r="I140" s="13">
        <f t="shared" si="1"/>
        <v>0</v>
      </c>
      <c r="J140" s="13">
        <f t="shared" si="2"/>
        <v>0</v>
      </c>
      <c r="K140" s="13">
        <f t="shared" si="3"/>
        <v>0</v>
      </c>
      <c r="L140" s="13">
        <f t="shared" si="4"/>
        <v>588067.98949218797</v>
      </c>
      <c r="M140" s="13">
        <f t="shared" si="5"/>
        <v>10588067.989492187</v>
      </c>
      <c r="N140" s="13">
        <f t="shared" si="6"/>
        <v>10626088.451884884</v>
      </c>
      <c r="O140" s="13">
        <f t="shared" si="7"/>
        <v>-38020.462392697111</v>
      </c>
      <c r="P140" s="12">
        <f t="shared" si="8"/>
        <v>-3.5780299180506953E-3</v>
      </c>
    </row>
    <row r="141" spans="1:16" ht="14.4" x14ac:dyDescent="0.3">
      <c r="A141" s="7" t="s">
        <v>198</v>
      </c>
      <c r="B141" s="8">
        <v>45504</v>
      </c>
      <c r="C141" s="9">
        <v>735.95</v>
      </c>
      <c r="D141" s="7" t="s">
        <v>18</v>
      </c>
      <c r="E141" s="9">
        <v>735.95</v>
      </c>
      <c r="F141" s="10"/>
      <c r="G141" s="11"/>
      <c r="H141" s="12">
        <f t="shared" si="0"/>
        <v>0</v>
      </c>
      <c r="I141" s="13">
        <f t="shared" si="1"/>
        <v>0</v>
      </c>
      <c r="J141" s="13">
        <f t="shared" si="2"/>
        <v>0</v>
      </c>
      <c r="K141" s="13">
        <f t="shared" si="3"/>
        <v>0</v>
      </c>
      <c r="L141" s="13">
        <f t="shared" si="4"/>
        <v>588067.98949218797</v>
      </c>
      <c r="M141" s="13">
        <f t="shared" si="5"/>
        <v>10588067.989492187</v>
      </c>
      <c r="N141" s="13">
        <f t="shared" si="6"/>
        <v>10626088.451884884</v>
      </c>
      <c r="O141" s="13">
        <f t="shared" si="7"/>
        <v>-38020.462392697111</v>
      </c>
      <c r="P141" s="12">
        <f t="shared" si="8"/>
        <v>-3.5780299180506953E-3</v>
      </c>
    </row>
    <row r="142" spans="1:16" ht="14.4" x14ac:dyDescent="0.3">
      <c r="A142" s="7" t="s">
        <v>199</v>
      </c>
      <c r="B142" s="8">
        <v>45504</v>
      </c>
      <c r="C142" s="9">
        <v>1753.65</v>
      </c>
      <c r="D142" s="7" t="s">
        <v>18</v>
      </c>
      <c r="E142" s="9">
        <v>1753.65</v>
      </c>
      <c r="F142" s="10"/>
      <c r="G142" s="11"/>
      <c r="H142" s="12">
        <f t="shared" si="0"/>
        <v>0</v>
      </c>
      <c r="I142" s="13">
        <f t="shared" si="1"/>
        <v>0</v>
      </c>
      <c r="J142" s="13">
        <f t="shared" si="2"/>
        <v>0</v>
      </c>
      <c r="K142" s="13">
        <f t="shared" si="3"/>
        <v>0</v>
      </c>
      <c r="L142" s="13">
        <f t="shared" si="4"/>
        <v>588067.98949218797</v>
      </c>
      <c r="M142" s="13">
        <f t="shared" si="5"/>
        <v>10588067.989492187</v>
      </c>
      <c r="N142" s="13">
        <f t="shared" si="6"/>
        <v>10626088.451884884</v>
      </c>
      <c r="O142" s="13">
        <f t="shared" si="7"/>
        <v>-38020.462392697111</v>
      </c>
      <c r="P142" s="12">
        <f t="shared" si="8"/>
        <v>-3.5780299180506953E-3</v>
      </c>
    </row>
    <row r="143" spans="1:16" ht="14.4" x14ac:dyDescent="0.3">
      <c r="A143" s="7" t="s">
        <v>200</v>
      </c>
      <c r="B143" s="8">
        <v>45504</v>
      </c>
      <c r="C143" s="9">
        <v>715.5</v>
      </c>
      <c r="D143" s="7" t="s">
        <v>18</v>
      </c>
      <c r="E143" s="9">
        <v>715.5</v>
      </c>
      <c r="F143" s="10"/>
      <c r="G143" s="11"/>
      <c r="H143" s="12">
        <f t="shared" si="0"/>
        <v>0</v>
      </c>
      <c r="I143" s="13">
        <f t="shared" si="1"/>
        <v>0</v>
      </c>
      <c r="J143" s="13">
        <f t="shared" si="2"/>
        <v>0</v>
      </c>
      <c r="K143" s="13">
        <f t="shared" si="3"/>
        <v>0</v>
      </c>
      <c r="L143" s="13">
        <f t="shared" si="4"/>
        <v>588067.98949218797</v>
      </c>
      <c r="M143" s="13">
        <f t="shared" si="5"/>
        <v>10588067.989492187</v>
      </c>
      <c r="N143" s="13">
        <f t="shared" si="6"/>
        <v>10626088.451884884</v>
      </c>
      <c r="O143" s="13">
        <f t="shared" si="7"/>
        <v>-38020.462392697111</v>
      </c>
      <c r="P143" s="12">
        <f t="shared" si="8"/>
        <v>-3.5780299180506953E-3</v>
      </c>
    </row>
    <row r="144" spans="1:16" ht="14.4" x14ac:dyDescent="0.3">
      <c r="A144" s="7" t="s">
        <v>201</v>
      </c>
      <c r="B144" s="8">
        <v>45504</v>
      </c>
      <c r="C144" s="9">
        <v>133.12</v>
      </c>
      <c r="D144" s="7" t="s">
        <v>18</v>
      </c>
      <c r="E144" s="9">
        <v>133.12</v>
      </c>
      <c r="F144" s="10"/>
      <c r="G144" s="11"/>
      <c r="H144" s="12">
        <f t="shared" si="0"/>
        <v>0</v>
      </c>
      <c r="I144" s="13">
        <f t="shared" si="1"/>
        <v>0</v>
      </c>
      <c r="J144" s="13">
        <f t="shared" si="2"/>
        <v>0</v>
      </c>
      <c r="K144" s="13">
        <f t="shared" si="3"/>
        <v>0</v>
      </c>
      <c r="L144" s="13">
        <f t="shared" si="4"/>
        <v>588067.98949218797</v>
      </c>
      <c r="M144" s="13">
        <f t="shared" si="5"/>
        <v>10588067.989492187</v>
      </c>
      <c r="N144" s="13">
        <f t="shared" si="6"/>
        <v>10626088.451884884</v>
      </c>
      <c r="O144" s="13">
        <f t="shared" si="7"/>
        <v>-38020.462392697111</v>
      </c>
      <c r="P144" s="12">
        <f t="shared" si="8"/>
        <v>-3.5780299180506953E-3</v>
      </c>
    </row>
    <row r="145" spans="1:16" ht="14.4" x14ac:dyDescent="0.3">
      <c r="A145" s="7" t="s">
        <v>202</v>
      </c>
      <c r="B145" s="8">
        <v>45504</v>
      </c>
      <c r="C145" s="9">
        <v>153.96</v>
      </c>
      <c r="D145" s="7" t="s">
        <v>18</v>
      </c>
      <c r="E145" s="9">
        <v>153.96</v>
      </c>
      <c r="F145" s="10"/>
      <c r="G145" s="11"/>
      <c r="H145" s="12">
        <f t="shared" si="0"/>
        <v>0</v>
      </c>
      <c r="I145" s="13">
        <f t="shared" si="1"/>
        <v>0</v>
      </c>
      <c r="J145" s="13">
        <f t="shared" si="2"/>
        <v>0</v>
      </c>
      <c r="K145" s="13">
        <f t="shared" si="3"/>
        <v>0</v>
      </c>
      <c r="L145" s="13">
        <f t="shared" si="4"/>
        <v>588067.98949218797</v>
      </c>
      <c r="M145" s="13">
        <f t="shared" si="5"/>
        <v>10588067.989492187</v>
      </c>
      <c r="N145" s="13">
        <f t="shared" si="6"/>
        <v>10626088.451884884</v>
      </c>
      <c r="O145" s="13">
        <f t="shared" si="7"/>
        <v>-38020.462392697111</v>
      </c>
      <c r="P145" s="12">
        <f t="shared" si="8"/>
        <v>-3.5780299180506953E-3</v>
      </c>
    </row>
    <row r="146" spans="1:16" ht="14.4" x14ac:dyDescent="0.3">
      <c r="A146" s="7" t="s">
        <v>203</v>
      </c>
      <c r="B146" s="8">
        <v>45504</v>
      </c>
      <c r="C146" s="9">
        <v>263.76</v>
      </c>
      <c r="D146" s="7" t="s">
        <v>18</v>
      </c>
      <c r="E146" s="9">
        <v>263.76</v>
      </c>
      <c r="F146" s="10"/>
      <c r="G146" s="11"/>
      <c r="H146" s="12">
        <f t="shared" si="0"/>
        <v>0</v>
      </c>
      <c r="I146" s="13">
        <f t="shared" si="1"/>
        <v>0</v>
      </c>
      <c r="J146" s="13">
        <f t="shared" si="2"/>
        <v>0</v>
      </c>
      <c r="K146" s="13">
        <f t="shared" si="3"/>
        <v>0</v>
      </c>
      <c r="L146" s="13">
        <f t="shared" si="4"/>
        <v>588067.98949218797</v>
      </c>
      <c r="M146" s="13">
        <f t="shared" si="5"/>
        <v>10588067.989492187</v>
      </c>
      <c r="N146" s="13">
        <f t="shared" si="6"/>
        <v>10626088.451884884</v>
      </c>
      <c r="O146" s="13">
        <f t="shared" si="7"/>
        <v>-38020.462392697111</v>
      </c>
      <c r="P146" s="12">
        <f t="shared" si="8"/>
        <v>-3.5780299180506953E-3</v>
      </c>
    </row>
    <row r="147" spans="1:16" ht="14.4" x14ac:dyDescent="0.3">
      <c r="A147" s="7" t="s">
        <v>204</v>
      </c>
      <c r="B147" s="8">
        <v>45504</v>
      </c>
      <c r="C147" s="9">
        <v>906.84</v>
      </c>
      <c r="D147" s="7" t="s">
        <v>18</v>
      </c>
      <c r="E147" s="9">
        <v>906.84</v>
      </c>
      <c r="F147" s="10"/>
      <c r="G147" s="11"/>
      <c r="H147" s="12">
        <f t="shared" si="0"/>
        <v>0</v>
      </c>
      <c r="I147" s="13">
        <f t="shared" si="1"/>
        <v>0</v>
      </c>
      <c r="J147" s="13">
        <f t="shared" si="2"/>
        <v>0</v>
      </c>
      <c r="K147" s="13">
        <f t="shared" si="3"/>
        <v>0</v>
      </c>
      <c r="L147" s="13">
        <f t="shared" si="4"/>
        <v>588067.98949218797</v>
      </c>
      <c r="M147" s="13">
        <f t="shared" si="5"/>
        <v>10588067.989492187</v>
      </c>
      <c r="N147" s="13">
        <f t="shared" si="6"/>
        <v>10626088.451884884</v>
      </c>
      <c r="O147" s="13">
        <f t="shared" si="7"/>
        <v>-38020.462392697111</v>
      </c>
      <c r="P147" s="12">
        <f t="shared" si="8"/>
        <v>-3.5780299180506953E-3</v>
      </c>
    </row>
    <row r="148" spans="1:16" ht="14.4" x14ac:dyDescent="0.3">
      <c r="A148" s="7" t="s">
        <v>205</v>
      </c>
      <c r="B148" s="8">
        <v>45504</v>
      </c>
      <c r="C148" s="9">
        <v>2295.4499999999998</v>
      </c>
      <c r="D148" s="7" t="s">
        <v>18</v>
      </c>
      <c r="E148" s="9">
        <v>2295.4499999999998</v>
      </c>
      <c r="F148" s="10"/>
      <c r="G148" s="11"/>
      <c r="H148" s="12">
        <f t="shared" si="0"/>
        <v>0</v>
      </c>
      <c r="I148" s="13">
        <f t="shared" si="1"/>
        <v>0</v>
      </c>
      <c r="J148" s="13">
        <f t="shared" si="2"/>
        <v>0</v>
      </c>
      <c r="K148" s="13">
        <f t="shared" si="3"/>
        <v>0</v>
      </c>
      <c r="L148" s="13">
        <f t="shared" si="4"/>
        <v>588067.98949218797</v>
      </c>
      <c r="M148" s="13">
        <f t="shared" si="5"/>
        <v>10588067.989492187</v>
      </c>
      <c r="N148" s="13">
        <f t="shared" si="6"/>
        <v>10626088.451884884</v>
      </c>
      <c r="O148" s="13">
        <f t="shared" si="7"/>
        <v>-38020.462392697111</v>
      </c>
      <c r="P148" s="12">
        <f t="shared" si="8"/>
        <v>-3.5780299180506953E-3</v>
      </c>
    </row>
    <row r="149" spans="1:16" ht="14.4" x14ac:dyDescent="0.3">
      <c r="A149" s="7" t="s">
        <v>206</v>
      </c>
      <c r="B149" s="8">
        <v>45379</v>
      </c>
      <c r="C149" s="9">
        <v>536.70000000000005</v>
      </c>
      <c r="D149" s="8">
        <v>45471</v>
      </c>
      <c r="E149" s="9">
        <v>620.5</v>
      </c>
      <c r="F149" s="17">
        <v>15.61</v>
      </c>
      <c r="G149" s="11"/>
      <c r="H149" s="12">
        <f t="shared" si="0"/>
        <v>0.15613937022545174</v>
      </c>
      <c r="I149" s="13">
        <f t="shared" si="1"/>
        <v>31227.87404509035</v>
      </c>
      <c r="J149" s="13">
        <f t="shared" si="2"/>
        <v>31227.87404509035</v>
      </c>
      <c r="K149" s="13">
        <f t="shared" si="3"/>
        <v>0</v>
      </c>
      <c r="L149" s="13">
        <f t="shared" si="4"/>
        <v>619295.86353727838</v>
      </c>
      <c r="M149" s="13">
        <f t="shared" si="5"/>
        <v>10619295.863537278</v>
      </c>
      <c r="N149" s="13">
        <f t="shared" si="6"/>
        <v>10626088.451884884</v>
      </c>
      <c r="O149" s="13">
        <f t="shared" si="7"/>
        <v>-6792.5883476063609</v>
      </c>
      <c r="P149" s="12">
        <f t="shared" si="8"/>
        <v>-6.3923694766548586E-4</v>
      </c>
    </row>
    <row r="150" spans="1:16" ht="14.4" x14ac:dyDescent="0.3">
      <c r="A150" s="7" t="s">
        <v>207</v>
      </c>
      <c r="B150" s="8">
        <v>45379</v>
      </c>
      <c r="C150" s="9">
        <v>4343.55</v>
      </c>
      <c r="D150" s="8">
        <v>45471</v>
      </c>
      <c r="E150" s="9">
        <v>4244.3999999999996</v>
      </c>
      <c r="F150" s="17">
        <v>-2.2799999999999998</v>
      </c>
      <c r="G150" s="11"/>
      <c r="H150" s="12">
        <f t="shared" si="0"/>
        <v>-2.2826950305625707E-2</v>
      </c>
      <c r="I150" s="13">
        <f t="shared" si="1"/>
        <v>-4565.3900611251411</v>
      </c>
      <c r="J150" s="13">
        <f t="shared" si="2"/>
        <v>0</v>
      </c>
      <c r="K150" s="13">
        <f t="shared" si="3"/>
        <v>-4565.3900611251411</v>
      </c>
      <c r="L150" s="13">
        <f t="shared" si="4"/>
        <v>614730.47347615322</v>
      </c>
      <c r="M150" s="13">
        <f t="shared" si="5"/>
        <v>10614730.473476153</v>
      </c>
      <c r="N150" s="13">
        <f t="shared" si="6"/>
        <v>10626088.451884884</v>
      </c>
      <c r="O150" s="13">
        <f t="shared" si="7"/>
        <v>-11357.97840873152</v>
      </c>
      <c r="P150" s="12">
        <f t="shared" si="8"/>
        <v>-1.0688767047404739E-3</v>
      </c>
    </row>
    <row r="151" spans="1:16" ht="14.4" x14ac:dyDescent="0.3">
      <c r="A151" s="7" t="s">
        <v>208</v>
      </c>
      <c r="B151" s="8">
        <v>45379</v>
      </c>
      <c r="C151" s="9">
        <v>625.54999999999995</v>
      </c>
      <c r="D151" s="8">
        <v>45471</v>
      </c>
      <c r="E151" s="9">
        <v>791</v>
      </c>
      <c r="F151" s="17">
        <v>26.45</v>
      </c>
      <c r="G151" s="11"/>
      <c r="H151" s="12">
        <f t="shared" si="0"/>
        <v>0.26448725121892741</v>
      </c>
      <c r="I151" s="13">
        <f t="shared" si="1"/>
        <v>52897.450243785483</v>
      </c>
      <c r="J151" s="13">
        <f t="shared" si="2"/>
        <v>52897.450243785483</v>
      </c>
      <c r="K151" s="13">
        <f t="shared" si="3"/>
        <v>0</v>
      </c>
      <c r="L151" s="13">
        <f t="shared" si="4"/>
        <v>667627.92371993873</v>
      </c>
      <c r="M151" s="13">
        <f t="shared" si="5"/>
        <v>10667627.923719939</v>
      </c>
      <c r="N151" s="13">
        <f t="shared" si="6"/>
        <v>10667627.923719939</v>
      </c>
      <c r="O151" s="13">
        <f t="shared" si="7"/>
        <v>0</v>
      </c>
      <c r="P151" s="12">
        <f t="shared" si="8"/>
        <v>0</v>
      </c>
    </row>
    <row r="152" spans="1:16" ht="14.4" x14ac:dyDescent="0.3">
      <c r="A152" s="7" t="s">
        <v>209</v>
      </c>
      <c r="B152" s="8">
        <v>45379</v>
      </c>
      <c r="C152" s="9">
        <v>6360.85</v>
      </c>
      <c r="D152" s="8">
        <v>45471</v>
      </c>
      <c r="E152" s="9">
        <v>8490.9</v>
      </c>
      <c r="F152" s="17">
        <v>33.49</v>
      </c>
      <c r="G152" s="11"/>
      <c r="H152" s="12">
        <f t="shared" si="0"/>
        <v>0.33486876753892941</v>
      </c>
      <c r="I152" s="13">
        <f t="shared" si="1"/>
        <v>66973.753507785877</v>
      </c>
      <c r="J152" s="13">
        <f t="shared" si="2"/>
        <v>66973.753507785877</v>
      </c>
      <c r="K152" s="13">
        <f t="shared" si="3"/>
        <v>0</v>
      </c>
      <c r="L152" s="13">
        <f t="shared" si="4"/>
        <v>734601.67722772458</v>
      </c>
      <c r="M152" s="13">
        <f t="shared" si="5"/>
        <v>10734601.677227724</v>
      </c>
      <c r="N152" s="13">
        <f t="shared" si="6"/>
        <v>10734601.677227724</v>
      </c>
      <c r="O152" s="13">
        <f t="shared" si="7"/>
        <v>0</v>
      </c>
      <c r="P152" s="12">
        <f t="shared" si="8"/>
        <v>0</v>
      </c>
    </row>
    <row r="153" spans="1:16" ht="14.4" x14ac:dyDescent="0.3">
      <c r="A153" s="7" t="s">
        <v>210</v>
      </c>
      <c r="B153" s="8">
        <v>45379</v>
      </c>
      <c r="C153" s="9">
        <v>540.9</v>
      </c>
      <c r="D153" s="8">
        <v>45471</v>
      </c>
      <c r="E153" s="9">
        <v>704.7</v>
      </c>
      <c r="F153" s="17">
        <v>30.28</v>
      </c>
      <c r="G153" s="11"/>
      <c r="H153" s="12">
        <f t="shared" si="0"/>
        <v>0.30282861896838614</v>
      </c>
      <c r="I153" s="13">
        <f t="shared" si="1"/>
        <v>60565.723793677229</v>
      </c>
      <c r="J153" s="13">
        <f t="shared" si="2"/>
        <v>60565.723793677229</v>
      </c>
      <c r="K153" s="13">
        <f t="shared" si="3"/>
        <v>0</v>
      </c>
      <c r="L153" s="13">
        <f t="shared" si="4"/>
        <v>795167.40102140186</v>
      </c>
      <c r="M153" s="13">
        <f t="shared" si="5"/>
        <v>10795167.401021402</v>
      </c>
      <c r="N153" s="13">
        <f t="shared" si="6"/>
        <v>10795167.401021402</v>
      </c>
      <c r="O153" s="13">
        <f t="shared" si="7"/>
        <v>0</v>
      </c>
      <c r="P153" s="12">
        <f t="shared" si="8"/>
        <v>0</v>
      </c>
    </row>
    <row r="154" spans="1:16" ht="14.4" x14ac:dyDescent="0.3">
      <c r="A154" s="7" t="s">
        <v>211</v>
      </c>
      <c r="B154" s="8">
        <v>45379</v>
      </c>
      <c r="C154" s="9">
        <v>3006.25</v>
      </c>
      <c r="D154" s="8">
        <v>45471</v>
      </c>
      <c r="E154" s="9">
        <v>3966.85</v>
      </c>
      <c r="F154" s="17">
        <v>31.95</v>
      </c>
      <c r="G154" s="11"/>
      <c r="H154" s="12">
        <f t="shared" si="0"/>
        <v>0.31953430353430351</v>
      </c>
      <c r="I154" s="13">
        <f t="shared" si="1"/>
        <v>63906.860706860702</v>
      </c>
      <c r="J154" s="13">
        <f t="shared" si="2"/>
        <v>63906.860706860702</v>
      </c>
      <c r="K154" s="13">
        <f t="shared" si="3"/>
        <v>0</v>
      </c>
      <c r="L154" s="13">
        <f t="shared" si="4"/>
        <v>859074.26172826253</v>
      </c>
      <c r="M154" s="13">
        <f t="shared" si="5"/>
        <v>10859074.261728263</v>
      </c>
      <c r="N154" s="13">
        <f t="shared" si="6"/>
        <v>10859074.261728263</v>
      </c>
      <c r="O154" s="13">
        <f t="shared" si="7"/>
        <v>0</v>
      </c>
      <c r="P154" s="12">
        <f t="shared" si="8"/>
        <v>0</v>
      </c>
    </row>
    <row r="155" spans="1:16" ht="14.4" x14ac:dyDescent="0.3">
      <c r="A155" s="7" t="s">
        <v>212</v>
      </c>
      <c r="B155" s="8">
        <v>45379</v>
      </c>
      <c r="C155" s="9">
        <v>106.02</v>
      </c>
      <c r="D155" s="8">
        <v>45471</v>
      </c>
      <c r="E155" s="9">
        <v>75.650000000000006</v>
      </c>
      <c r="F155" s="17">
        <v>-28.65</v>
      </c>
      <c r="G155" s="11"/>
      <c r="H155" s="12">
        <f t="shared" si="0"/>
        <v>-0.28645538577626856</v>
      </c>
      <c r="I155" s="13">
        <f t="shared" si="1"/>
        <v>-57291.077155253712</v>
      </c>
      <c r="J155" s="13">
        <f t="shared" si="2"/>
        <v>0</v>
      </c>
      <c r="K155" s="13">
        <f t="shared" si="3"/>
        <v>-57291.077155253712</v>
      </c>
      <c r="L155" s="13">
        <f t="shared" si="4"/>
        <v>801783.1845730088</v>
      </c>
      <c r="M155" s="13">
        <f t="shared" si="5"/>
        <v>10801783.18457301</v>
      </c>
      <c r="N155" s="13">
        <f t="shared" si="6"/>
        <v>10859074.261728263</v>
      </c>
      <c r="O155" s="13">
        <f t="shared" si="7"/>
        <v>-57291.077155252919</v>
      </c>
      <c r="P155" s="12">
        <f t="shared" si="8"/>
        <v>-5.2758711999207593E-3</v>
      </c>
    </row>
    <row r="156" spans="1:16" ht="14.4" x14ac:dyDescent="0.3">
      <c r="A156" s="7" t="s">
        <v>213</v>
      </c>
      <c r="B156" s="8">
        <v>45379</v>
      </c>
      <c r="C156" s="9">
        <v>382.85</v>
      </c>
      <c r="D156" s="8">
        <v>45471</v>
      </c>
      <c r="E156" s="9">
        <v>338.5</v>
      </c>
      <c r="F156" s="17">
        <v>-11.58</v>
      </c>
      <c r="G156" s="11"/>
      <c r="H156" s="12">
        <f t="shared" si="0"/>
        <v>-0.1158417134648035</v>
      </c>
      <c r="I156" s="13">
        <f t="shared" si="1"/>
        <v>-23168.342692960701</v>
      </c>
      <c r="J156" s="13">
        <f t="shared" si="2"/>
        <v>0</v>
      </c>
      <c r="K156" s="13">
        <f t="shared" si="3"/>
        <v>-23168.342692960701</v>
      </c>
      <c r="L156" s="13">
        <f t="shared" si="4"/>
        <v>778614.84188004804</v>
      </c>
      <c r="M156" s="13">
        <f t="shared" si="5"/>
        <v>10778614.841880048</v>
      </c>
      <c r="N156" s="13">
        <f t="shared" si="6"/>
        <v>10859074.261728263</v>
      </c>
      <c r="O156" s="13">
        <f t="shared" si="7"/>
        <v>-80459.419848214835</v>
      </c>
      <c r="P156" s="12">
        <f t="shared" si="8"/>
        <v>-7.40941795856265E-3</v>
      </c>
    </row>
    <row r="157" spans="1:16" ht="14.4" x14ac:dyDescent="0.3">
      <c r="A157" s="7" t="s">
        <v>214</v>
      </c>
      <c r="B157" s="8">
        <v>45379</v>
      </c>
      <c r="C157" s="9">
        <v>5586.05</v>
      </c>
      <c r="D157" s="8">
        <v>45471</v>
      </c>
      <c r="E157" s="9">
        <v>7521.65</v>
      </c>
      <c r="F157" s="17">
        <v>34.65</v>
      </c>
      <c r="G157" s="11"/>
      <c r="H157" s="12">
        <f t="shared" si="0"/>
        <v>0.34650602841005707</v>
      </c>
      <c r="I157" s="13">
        <f t="shared" si="1"/>
        <v>69301.205682011408</v>
      </c>
      <c r="J157" s="13">
        <f t="shared" si="2"/>
        <v>69301.205682011408</v>
      </c>
      <c r="K157" s="13">
        <f t="shared" si="3"/>
        <v>0</v>
      </c>
      <c r="L157" s="13">
        <f t="shared" si="4"/>
        <v>847916.04756205948</v>
      </c>
      <c r="M157" s="13">
        <f t="shared" si="5"/>
        <v>10847916.047562059</v>
      </c>
      <c r="N157" s="13">
        <f t="shared" si="6"/>
        <v>10859074.261728263</v>
      </c>
      <c r="O157" s="13">
        <f t="shared" si="7"/>
        <v>-11158.214166203514</v>
      </c>
      <c r="P157" s="12">
        <f t="shared" si="8"/>
        <v>-1.0275474591355859E-3</v>
      </c>
    </row>
    <row r="158" spans="1:16" ht="14.4" x14ac:dyDescent="0.3">
      <c r="A158" s="7" t="s">
        <v>215</v>
      </c>
      <c r="B158" s="8">
        <v>45379</v>
      </c>
      <c r="C158" s="9">
        <v>36.630000000000003</v>
      </c>
      <c r="D158" s="8">
        <v>45471</v>
      </c>
      <c r="E158" s="9">
        <v>30.05</v>
      </c>
      <c r="F158" s="17">
        <v>-17.96</v>
      </c>
      <c r="G158" s="11"/>
      <c r="H158" s="12">
        <f t="shared" si="0"/>
        <v>-0.17963417963417969</v>
      </c>
      <c r="I158" s="13">
        <f t="shared" si="1"/>
        <v>-35926.835926835935</v>
      </c>
      <c r="J158" s="13">
        <f t="shared" si="2"/>
        <v>0</v>
      </c>
      <c r="K158" s="13">
        <f t="shared" si="3"/>
        <v>-35926.835926835935</v>
      </c>
      <c r="L158" s="13">
        <f t="shared" si="4"/>
        <v>811989.21163522359</v>
      </c>
      <c r="M158" s="13">
        <f t="shared" si="5"/>
        <v>10811989.211635225</v>
      </c>
      <c r="N158" s="13">
        <f t="shared" si="6"/>
        <v>10859074.261728263</v>
      </c>
      <c r="O158" s="13">
        <f t="shared" si="7"/>
        <v>-47085.050093038008</v>
      </c>
      <c r="P158" s="12">
        <f t="shared" si="8"/>
        <v>-4.3360095859169712E-3</v>
      </c>
    </row>
    <row r="159" spans="1:16" ht="14.4" x14ac:dyDescent="0.3">
      <c r="A159" s="7" t="s">
        <v>216</v>
      </c>
      <c r="B159" s="8">
        <v>45289</v>
      </c>
      <c r="C159" s="9">
        <v>726.4</v>
      </c>
      <c r="D159" s="8">
        <v>45379</v>
      </c>
      <c r="E159" s="9">
        <v>897</v>
      </c>
      <c r="F159" s="17">
        <v>23.49</v>
      </c>
      <c r="G159" s="11"/>
      <c r="H159" s="12">
        <f t="shared" si="0"/>
        <v>0.23485682819383263</v>
      </c>
      <c r="I159" s="13">
        <f t="shared" si="1"/>
        <v>46971.365638766525</v>
      </c>
      <c r="J159" s="13">
        <f t="shared" si="2"/>
        <v>46971.365638766525</v>
      </c>
      <c r="K159" s="13">
        <f t="shared" si="3"/>
        <v>0</v>
      </c>
      <c r="L159" s="13">
        <f t="shared" si="4"/>
        <v>858960.57727399014</v>
      </c>
      <c r="M159" s="13">
        <f t="shared" si="5"/>
        <v>10858960.577273991</v>
      </c>
      <c r="N159" s="13">
        <f t="shared" si="6"/>
        <v>10859074.261728263</v>
      </c>
      <c r="O159" s="13">
        <f t="shared" si="7"/>
        <v>-113.68445427156985</v>
      </c>
      <c r="P159" s="12">
        <f t="shared" si="8"/>
        <v>-1.0469074207572142E-5</v>
      </c>
    </row>
    <row r="160" spans="1:16" ht="14.4" x14ac:dyDescent="0.3">
      <c r="A160" s="7" t="s">
        <v>217</v>
      </c>
      <c r="B160" s="8">
        <v>45289</v>
      </c>
      <c r="C160" s="9">
        <v>545.45000000000005</v>
      </c>
      <c r="D160" s="8">
        <v>45379</v>
      </c>
      <c r="E160" s="9">
        <v>569.9</v>
      </c>
      <c r="F160" s="17">
        <v>4.4800000000000004</v>
      </c>
      <c r="G160" s="11"/>
      <c r="H160" s="12">
        <f t="shared" si="0"/>
        <v>4.4825373544779411E-2</v>
      </c>
      <c r="I160" s="13">
        <f t="shared" si="1"/>
        <v>8965.0747089558827</v>
      </c>
      <c r="J160" s="13">
        <f t="shared" si="2"/>
        <v>8965.0747089558827</v>
      </c>
      <c r="K160" s="13">
        <f t="shared" si="3"/>
        <v>0</v>
      </c>
      <c r="L160" s="13">
        <f t="shared" si="4"/>
        <v>867925.65198294597</v>
      </c>
      <c r="M160" s="13">
        <f t="shared" si="5"/>
        <v>10867925.651982946</v>
      </c>
      <c r="N160" s="13">
        <f t="shared" si="6"/>
        <v>10867925.651982946</v>
      </c>
      <c r="O160" s="13">
        <f t="shared" si="7"/>
        <v>0</v>
      </c>
      <c r="P160" s="12">
        <f t="shared" si="8"/>
        <v>0</v>
      </c>
    </row>
    <row r="161" spans="1:16" ht="14.4" x14ac:dyDescent="0.3">
      <c r="A161" s="7" t="s">
        <v>218</v>
      </c>
      <c r="B161" s="8">
        <v>45289</v>
      </c>
      <c r="C161" s="9">
        <v>672.56</v>
      </c>
      <c r="D161" s="8">
        <v>45379</v>
      </c>
      <c r="E161" s="9">
        <v>701.48</v>
      </c>
      <c r="F161" s="17">
        <v>4.3</v>
      </c>
      <c r="G161" s="11"/>
      <c r="H161" s="12">
        <f t="shared" si="0"/>
        <v>4.2999881051504811E-2</v>
      </c>
      <c r="I161" s="13">
        <f t="shared" si="1"/>
        <v>8599.9762103009616</v>
      </c>
      <c r="J161" s="13">
        <f t="shared" si="2"/>
        <v>8599.9762103009616</v>
      </c>
      <c r="K161" s="13">
        <f t="shared" si="3"/>
        <v>0</v>
      </c>
      <c r="L161" s="13">
        <f t="shared" si="4"/>
        <v>876525.6281932469</v>
      </c>
      <c r="M161" s="13">
        <f t="shared" si="5"/>
        <v>10876525.628193246</v>
      </c>
      <c r="N161" s="13">
        <f t="shared" si="6"/>
        <v>10876525.628193246</v>
      </c>
      <c r="O161" s="13">
        <f t="shared" si="7"/>
        <v>0</v>
      </c>
      <c r="P161" s="12">
        <f t="shared" si="8"/>
        <v>0</v>
      </c>
    </row>
    <row r="162" spans="1:16" ht="14.4" x14ac:dyDescent="0.3">
      <c r="A162" s="7" t="s">
        <v>219</v>
      </c>
      <c r="B162" s="8">
        <v>45289</v>
      </c>
      <c r="C162" s="9">
        <v>248.1</v>
      </c>
      <c r="D162" s="8">
        <v>45379</v>
      </c>
      <c r="E162" s="9">
        <v>400.17</v>
      </c>
      <c r="F162" s="17">
        <v>61.29</v>
      </c>
      <c r="G162" s="11"/>
      <c r="H162" s="12">
        <f t="shared" si="0"/>
        <v>0.612938331318017</v>
      </c>
      <c r="I162" s="13">
        <f t="shared" si="1"/>
        <v>122587.6662636034</v>
      </c>
      <c r="J162" s="13">
        <f t="shared" si="2"/>
        <v>122587.6662636034</v>
      </c>
      <c r="K162" s="13">
        <f t="shared" si="3"/>
        <v>0</v>
      </c>
      <c r="L162" s="13">
        <f t="shared" si="4"/>
        <v>999113.29445685027</v>
      </c>
      <c r="M162" s="13">
        <f t="shared" si="5"/>
        <v>10999113.294456851</v>
      </c>
      <c r="N162" s="13">
        <f t="shared" si="6"/>
        <v>10999113.294456851</v>
      </c>
      <c r="O162" s="13">
        <f t="shared" si="7"/>
        <v>0</v>
      </c>
      <c r="P162" s="12">
        <f t="shared" si="8"/>
        <v>0</v>
      </c>
    </row>
    <row r="163" spans="1:16" ht="14.4" x14ac:dyDescent="0.3">
      <c r="A163" s="7" t="s">
        <v>220</v>
      </c>
      <c r="B163" s="8">
        <v>45289</v>
      </c>
      <c r="C163" s="9">
        <v>37309.15</v>
      </c>
      <c r="D163" s="8">
        <v>45379</v>
      </c>
      <c r="E163" s="9">
        <v>31193.35</v>
      </c>
      <c r="F163" s="17">
        <v>-16.39</v>
      </c>
      <c r="G163" s="11"/>
      <c r="H163" s="12">
        <f t="shared" si="0"/>
        <v>-0.16392225499642857</v>
      </c>
      <c r="I163" s="13">
        <f t="shared" si="1"/>
        <v>-32784.450999285713</v>
      </c>
      <c r="J163" s="13">
        <f t="shared" si="2"/>
        <v>0</v>
      </c>
      <c r="K163" s="13">
        <f t="shared" si="3"/>
        <v>-32784.450999285713</v>
      </c>
      <c r="L163" s="13">
        <f t="shared" si="4"/>
        <v>966328.8434575646</v>
      </c>
      <c r="M163" s="13">
        <f t="shared" si="5"/>
        <v>10966328.843457565</v>
      </c>
      <c r="N163" s="13">
        <f t="shared" si="6"/>
        <v>10999113.294456851</v>
      </c>
      <c r="O163" s="13">
        <f t="shared" si="7"/>
        <v>-32784.450999286026</v>
      </c>
      <c r="P163" s="12">
        <f t="shared" si="8"/>
        <v>-2.980644904876849E-3</v>
      </c>
    </row>
    <row r="164" spans="1:16" ht="14.4" x14ac:dyDescent="0.3">
      <c r="A164" s="7" t="s">
        <v>221</v>
      </c>
      <c r="B164" s="8">
        <v>45289</v>
      </c>
      <c r="C164" s="9">
        <v>9.0500000000000007</v>
      </c>
      <c r="D164" s="8">
        <v>45379</v>
      </c>
      <c r="E164" s="9">
        <v>10.3</v>
      </c>
      <c r="F164" s="17">
        <v>13.81</v>
      </c>
      <c r="G164" s="11"/>
      <c r="H164" s="12">
        <f t="shared" si="0"/>
        <v>0.13812154696132595</v>
      </c>
      <c r="I164" s="13">
        <f t="shared" si="1"/>
        <v>27624.30939226519</v>
      </c>
      <c r="J164" s="13">
        <f t="shared" si="2"/>
        <v>27624.30939226519</v>
      </c>
      <c r="K164" s="13">
        <f t="shared" si="3"/>
        <v>0</v>
      </c>
      <c r="L164" s="13">
        <f t="shared" si="4"/>
        <v>993953.15284982976</v>
      </c>
      <c r="M164" s="13">
        <f t="shared" si="5"/>
        <v>10993953.152849831</v>
      </c>
      <c r="N164" s="13">
        <f t="shared" si="6"/>
        <v>10999113.294456851</v>
      </c>
      <c r="O164" s="13">
        <f t="shared" si="7"/>
        <v>-5160.1416070200503</v>
      </c>
      <c r="P164" s="12">
        <f t="shared" si="8"/>
        <v>-4.6914159977064446E-4</v>
      </c>
    </row>
    <row r="165" spans="1:16" ht="14.4" x14ac:dyDescent="0.3">
      <c r="A165" s="7" t="s">
        <v>222</v>
      </c>
      <c r="B165" s="8">
        <v>45198</v>
      </c>
      <c r="C165" s="9">
        <v>49.32</v>
      </c>
      <c r="D165" s="8">
        <v>45379</v>
      </c>
      <c r="E165" s="9">
        <v>67.25</v>
      </c>
      <c r="F165" s="17">
        <v>36.35</v>
      </c>
      <c r="G165" s="11"/>
      <c r="H165" s="12">
        <f t="shared" si="0"/>
        <v>0.363544201135442</v>
      </c>
      <c r="I165" s="13">
        <f t="shared" si="1"/>
        <v>72708.840227088396</v>
      </c>
      <c r="J165" s="13">
        <f t="shared" si="2"/>
        <v>72708.840227088396</v>
      </c>
      <c r="K165" s="13">
        <f t="shared" si="3"/>
        <v>0</v>
      </c>
      <c r="L165" s="13">
        <f t="shared" si="4"/>
        <v>1066661.9930769182</v>
      </c>
      <c r="M165" s="13">
        <f t="shared" si="5"/>
        <v>11066661.993076919</v>
      </c>
      <c r="N165" s="13">
        <f t="shared" si="6"/>
        <v>11066661.993076919</v>
      </c>
      <c r="O165" s="13">
        <f t="shared" si="7"/>
        <v>0</v>
      </c>
      <c r="P165" s="12">
        <f t="shared" si="8"/>
        <v>0</v>
      </c>
    </row>
    <row r="166" spans="1:16" ht="14.4" x14ac:dyDescent="0.3">
      <c r="A166" s="7" t="s">
        <v>223</v>
      </c>
      <c r="B166" s="8">
        <v>45289</v>
      </c>
      <c r="C166" s="9">
        <v>78.2</v>
      </c>
      <c r="D166" s="8">
        <v>45379</v>
      </c>
      <c r="E166" s="9">
        <v>64.2</v>
      </c>
      <c r="F166" s="17">
        <v>-17.899999999999999</v>
      </c>
      <c r="G166" s="11"/>
      <c r="H166" s="12">
        <f t="shared" si="0"/>
        <v>-0.17902813299232737</v>
      </c>
      <c r="I166" s="13">
        <f t="shared" si="1"/>
        <v>-35805.626598465475</v>
      </c>
      <c r="J166" s="13">
        <f t="shared" si="2"/>
        <v>0</v>
      </c>
      <c r="K166" s="13">
        <f t="shared" si="3"/>
        <v>-35805.626598465475</v>
      </c>
      <c r="L166" s="13">
        <f t="shared" si="4"/>
        <v>1030856.3664784527</v>
      </c>
      <c r="M166" s="13">
        <f t="shared" si="5"/>
        <v>11030856.366478452</v>
      </c>
      <c r="N166" s="13">
        <f t="shared" si="6"/>
        <v>11066661.993076919</v>
      </c>
      <c r="O166" s="13">
        <f t="shared" si="7"/>
        <v>-35805.626598466188</v>
      </c>
      <c r="P166" s="12">
        <f t="shared" si="8"/>
        <v>-3.2354495529786187E-3</v>
      </c>
    </row>
    <row r="167" spans="1:16" ht="14.4" x14ac:dyDescent="0.3">
      <c r="A167" s="7" t="s">
        <v>224</v>
      </c>
      <c r="B167" s="8">
        <v>45289</v>
      </c>
      <c r="C167" s="9">
        <v>2739.75</v>
      </c>
      <c r="D167" s="8">
        <v>45379</v>
      </c>
      <c r="E167" s="9">
        <v>2388.0500000000002</v>
      </c>
      <c r="F167" s="17">
        <v>-12.84</v>
      </c>
      <c r="G167" s="11"/>
      <c r="H167" s="12">
        <f t="shared" si="0"/>
        <v>-0.12836937676795321</v>
      </c>
      <c r="I167" s="13">
        <f t="shared" si="1"/>
        <v>-25673.87535359064</v>
      </c>
      <c r="J167" s="13">
        <f t="shared" si="2"/>
        <v>0</v>
      </c>
      <c r="K167" s="13">
        <f t="shared" si="3"/>
        <v>-25673.87535359064</v>
      </c>
      <c r="L167" s="13">
        <f t="shared" si="4"/>
        <v>1005182.4911248621</v>
      </c>
      <c r="M167" s="13">
        <f t="shared" si="5"/>
        <v>11005182.491124863</v>
      </c>
      <c r="N167" s="13">
        <f t="shared" si="6"/>
        <v>11066661.993076919</v>
      </c>
      <c r="O167" s="13">
        <f t="shared" si="7"/>
        <v>-61479.501952055842</v>
      </c>
      <c r="P167" s="12">
        <f t="shared" si="8"/>
        <v>-5.5553790285197274E-3</v>
      </c>
    </row>
    <row r="168" spans="1:16" ht="14.4" x14ac:dyDescent="0.3">
      <c r="A168" s="7" t="s">
        <v>225</v>
      </c>
      <c r="B168" s="8">
        <v>45289</v>
      </c>
      <c r="C168" s="9">
        <v>271</v>
      </c>
      <c r="D168" s="8">
        <v>45379</v>
      </c>
      <c r="E168" s="9">
        <v>329.2</v>
      </c>
      <c r="F168" s="17">
        <v>21.48</v>
      </c>
      <c r="G168" s="11"/>
      <c r="H168" s="12">
        <f t="shared" si="0"/>
        <v>0.21476014760147596</v>
      </c>
      <c r="I168" s="13">
        <f t="shared" si="1"/>
        <v>42952.029520295197</v>
      </c>
      <c r="J168" s="13">
        <f t="shared" si="2"/>
        <v>42952.029520295197</v>
      </c>
      <c r="K168" s="13">
        <f t="shared" si="3"/>
        <v>0</v>
      </c>
      <c r="L168" s="13">
        <f t="shared" si="4"/>
        <v>1048134.5206451573</v>
      </c>
      <c r="M168" s="13">
        <f t="shared" si="5"/>
        <v>11048134.520645157</v>
      </c>
      <c r="N168" s="13">
        <f t="shared" si="6"/>
        <v>11066661.993076919</v>
      </c>
      <c r="O168" s="13">
        <f t="shared" si="7"/>
        <v>-18527.472431762144</v>
      </c>
      <c r="P168" s="12">
        <f t="shared" si="8"/>
        <v>-1.6741699026637444E-3</v>
      </c>
    </row>
    <row r="169" spans="1:16" ht="14.4" x14ac:dyDescent="0.3">
      <c r="A169" s="7" t="s">
        <v>226</v>
      </c>
      <c r="B169" s="8">
        <v>45289</v>
      </c>
      <c r="C169" s="9">
        <v>397.15</v>
      </c>
      <c r="D169" s="8">
        <v>45379</v>
      </c>
      <c r="E169" s="9">
        <v>276.39999999999998</v>
      </c>
      <c r="F169" s="17">
        <v>-30.4</v>
      </c>
      <c r="G169" s="11"/>
      <c r="H169" s="12">
        <f t="shared" si="0"/>
        <v>-0.30404129422132697</v>
      </c>
      <c r="I169" s="13">
        <f t="shared" si="1"/>
        <v>-60808.258844265394</v>
      </c>
      <c r="J169" s="13">
        <f t="shared" si="2"/>
        <v>0</v>
      </c>
      <c r="K169" s="13">
        <f t="shared" si="3"/>
        <v>-60808.258844265394</v>
      </c>
      <c r="L169" s="13">
        <f t="shared" si="4"/>
        <v>987326.26180089195</v>
      </c>
      <c r="M169" s="13">
        <f t="shared" si="5"/>
        <v>10987326.261800893</v>
      </c>
      <c r="N169" s="13">
        <f t="shared" si="6"/>
        <v>11066661.993076919</v>
      </c>
      <c r="O169" s="13">
        <f t="shared" si="7"/>
        <v>-79335.731276025996</v>
      </c>
      <c r="P169" s="12">
        <f t="shared" si="8"/>
        <v>-7.1688944078762713E-3</v>
      </c>
    </row>
    <row r="170" spans="1:16" ht="14.4" x14ac:dyDescent="0.3">
      <c r="A170" s="7" t="s">
        <v>227</v>
      </c>
      <c r="B170" s="8">
        <v>45289</v>
      </c>
      <c r="C170" s="9">
        <v>104.48</v>
      </c>
      <c r="D170" s="8">
        <v>45379</v>
      </c>
      <c r="E170" s="9">
        <v>125.8</v>
      </c>
      <c r="F170" s="17">
        <v>20.41</v>
      </c>
      <c r="G170" s="11"/>
      <c r="H170" s="12">
        <f t="shared" si="0"/>
        <v>0.20405819295558952</v>
      </c>
      <c r="I170" s="13">
        <f t="shared" si="1"/>
        <v>40811.638591117902</v>
      </c>
      <c r="J170" s="13">
        <f t="shared" si="2"/>
        <v>40811.638591117902</v>
      </c>
      <c r="K170" s="13">
        <f t="shared" si="3"/>
        <v>0</v>
      </c>
      <c r="L170" s="13">
        <f t="shared" si="4"/>
        <v>1028137.9003920099</v>
      </c>
      <c r="M170" s="13">
        <f t="shared" si="5"/>
        <v>11028137.900392011</v>
      </c>
      <c r="N170" s="13">
        <f t="shared" si="6"/>
        <v>11066661.993076919</v>
      </c>
      <c r="O170" s="13">
        <f t="shared" si="7"/>
        <v>-38524.092684907839</v>
      </c>
      <c r="P170" s="12">
        <f t="shared" si="8"/>
        <v>-3.4810941826006556E-3</v>
      </c>
    </row>
    <row r="171" spans="1:16" ht="14.4" x14ac:dyDescent="0.3">
      <c r="A171" s="7" t="s">
        <v>228</v>
      </c>
      <c r="B171" s="8">
        <v>45289</v>
      </c>
      <c r="C171" s="9">
        <v>311.14999999999998</v>
      </c>
      <c r="D171" s="8">
        <v>45379</v>
      </c>
      <c r="E171" s="9">
        <v>335.8</v>
      </c>
      <c r="F171" s="17">
        <v>7.92</v>
      </c>
      <c r="G171" s="11"/>
      <c r="H171" s="12">
        <f t="shared" si="0"/>
        <v>7.9222240077133327E-2</v>
      </c>
      <c r="I171" s="13">
        <f t="shared" si="1"/>
        <v>15844.448015426666</v>
      </c>
      <c r="J171" s="13">
        <f t="shared" si="2"/>
        <v>15844.448015426666</v>
      </c>
      <c r="K171" s="13">
        <f t="shared" si="3"/>
        <v>0</v>
      </c>
      <c r="L171" s="13">
        <f t="shared" si="4"/>
        <v>1043982.3484074365</v>
      </c>
      <c r="M171" s="13">
        <f t="shared" si="5"/>
        <v>11043982.348407436</v>
      </c>
      <c r="N171" s="13">
        <f t="shared" si="6"/>
        <v>11066661.993076919</v>
      </c>
      <c r="O171" s="13">
        <f t="shared" si="7"/>
        <v>-22679.644669482484</v>
      </c>
      <c r="P171" s="12">
        <f t="shared" si="8"/>
        <v>-2.0493663476548224E-3</v>
      </c>
    </row>
    <row r="172" spans="1:16" ht="14.4" x14ac:dyDescent="0.3">
      <c r="A172" s="7" t="s">
        <v>229</v>
      </c>
      <c r="B172" s="8">
        <v>45289</v>
      </c>
      <c r="C172" s="9">
        <v>836.6</v>
      </c>
      <c r="D172" s="8">
        <v>45379</v>
      </c>
      <c r="E172" s="9">
        <v>1096.8</v>
      </c>
      <c r="F172" s="17">
        <v>31.1</v>
      </c>
      <c r="G172" s="11"/>
      <c r="H172" s="12">
        <f t="shared" si="0"/>
        <v>0.31102079846999753</v>
      </c>
      <c r="I172" s="13">
        <f t="shared" si="1"/>
        <v>62204.159693999507</v>
      </c>
      <c r="J172" s="13">
        <f t="shared" si="2"/>
        <v>62204.159693999507</v>
      </c>
      <c r="K172" s="13">
        <f t="shared" si="3"/>
        <v>0</v>
      </c>
      <c r="L172" s="13">
        <f t="shared" si="4"/>
        <v>1106186.5081014361</v>
      </c>
      <c r="M172" s="13">
        <f t="shared" si="5"/>
        <v>11106186.508101435</v>
      </c>
      <c r="N172" s="13">
        <f t="shared" si="6"/>
        <v>11106186.508101435</v>
      </c>
      <c r="O172" s="13">
        <f t="shared" si="7"/>
        <v>0</v>
      </c>
      <c r="P172" s="12">
        <f t="shared" si="8"/>
        <v>0</v>
      </c>
    </row>
    <row r="173" spans="1:16" ht="14.4" x14ac:dyDescent="0.3">
      <c r="A173" s="7" t="s">
        <v>230</v>
      </c>
      <c r="B173" s="8">
        <v>45289</v>
      </c>
      <c r="C173" s="9">
        <v>130.6</v>
      </c>
      <c r="D173" s="8">
        <v>45379</v>
      </c>
      <c r="E173" s="9">
        <v>114.3</v>
      </c>
      <c r="F173" s="17">
        <v>-12.48</v>
      </c>
      <c r="G173" s="11"/>
      <c r="H173" s="12">
        <f t="shared" si="0"/>
        <v>-0.12480857580398161</v>
      </c>
      <c r="I173" s="13">
        <f t="shared" si="1"/>
        <v>-24961.715160796321</v>
      </c>
      <c r="J173" s="13">
        <f t="shared" si="2"/>
        <v>0</v>
      </c>
      <c r="K173" s="13">
        <f t="shared" si="3"/>
        <v>-24961.715160796321</v>
      </c>
      <c r="L173" s="13">
        <f t="shared" si="4"/>
        <v>1081224.7929406397</v>
      </c>
      <c r="M173" s="13">
        <f t="shared" si="5"/>
        <v>11081224.792940639</v>
      </c>
      <c r="N173" s="13">
        <f t="shared" si="6"/>
        <v>11106186.508101435</v>
      </c>
      <c r="O173" s="13">
        <f t="shared" si="7"/>
        <v>-24961.715160796419</v>
      </c>
      <c r="P173" s="12">
        <f t="shared" si="8"/>
        <v>-2.2475505109326261E-3</v>
      </c>
    </row>
    <row r="174" spans="1:16" ht="14.4" x14ac:dyDescent="0.3">
      <c r="A174" s="7" t="s">
        <v>231</v>
      </c>
      <c r="B174" s="8">
        <v>45289</v>
      </c>
      <c r="C174" s="9">
        <v>2804</v>
      </c>
      <c r="D174" s="8">
        <v>45379</v>
      </c>
      <c r="E174" s="9">
        <v>3327</v>
      </c>
      <c r="F174" s="17">
        <v>18.649999999999999</v>
      </c>
      <c r="G174" s="11"/>
      <c r="H174" s="12">
        <f t="shared" si="0"/>
        <v>0.18651925820256776</v>
      </c>
      <c r="I174" s="13">
        <f t="shared" si="1"/>
        <v>37303.851640513552</v>
      </c>
      <c r="J174" s="13">
        <f t="shared" si="2"/>
        <v>37303.851640513552</v>
      </c>
      <c r="K174" s="13">
        <f t="shared" si="3"/>
        <v>0</v>
      </c>
      <c r="L174" s="13">
        <f t="shared" si="4"/>
        <v>1118528.6445811533</v>
      </c>
      <c r="M174" s="13">
        <f t="shared" si="5"/>
        <v>11118528.644581154</v>
      </c>
      <c r="N174" s="13">
        <f t="shared" si="6"/>
        <v>11118528.644581154</v>
      </c>
      <c r="O174" s="13">
        <f t="shared" si="7"/>
        <v>0</v>
      </c>
      <c r="P174" s="12">
        <f t="shared" si="8"/>
        <v>0</v>
      </c>
    </row>
    <row r="175" spans="1:16" ht="14.4" x14ac:dyDescent="0.3">
      <c r="A175" s="7" t="s">
        <v>232</v>
      </c>
      <c r="B175" s="8">
        <v>45198</v>
      </c>
      <c r="C175" s="9">
        <v>432.2</v>
      </c>
      <c r="D175" s="8">
        <v>45379</v>
      </c>
      <c r="E175" s="9">
        <v>433.8</v>
      </c>
      <c r="F175" s="17">
        <v>0.37</v>
      </c>
      <c r="G175" s="11"/>
      <c r="H175" s="12">
        <f t="shared" si="0"/>
        <v>3.7019898195280489E-3</v>
      </c>
      <c r="I175" s="13">
        <f t="shared" si="1"/>
        <v>740.3979639056098</v>
      </c>
      <c r="J175" s="13">
        <f t="shared" si="2"/>
        <v>740.3979639056098</v>
      </c>
      <c r="K175" s="13">
        <f t="shared" si="3"/>
        <v>0</v>
      </c>
      <c r="L175" s="13">
        <f t="shared" si="4"/>
        <v>1119269.042545059</v>
      </c>
      <c r="M175" s="13">
        <f t="shared" si="5"/>
        <v>11119269.04254506</v>
      </c>
      <c r="N175" s="13">
        <f t="shared" si="6"/>
        <v>11119269.04254506</v>
      </c>
      <c r="O175" s="13">
        <f t="shared" si="7"/>
        <v>0</v>
      </c>
      <c r="P175" s="12">
        <f t="shared" si="8"/>
        <v>0</v>
      </c>
    </row>
    <row r="176" spans="1:16" ht="14.4" x14ac:dyDescent="0.3">
      <c r="A176" s="7" t="s">
        <v>233</v>
      </c>
      <c r="B176" s="8">
        <v>45289</v>
      </c>
      <c r="C176" s="9">
        <v>5526.6</v>
      </c>
      <c r="D176" s="8">
        <v>45379</v>
      </c>
      <c r="E176" s="9">
        <v>5328.45</v>
      </c>
      <c r="F176" s="17">
        <v>-3.59</v>
      </c>
      <c r="G176" s="11"/>
      <c r="H176" s="12">
        <f t="shared" si="0"/>
        <v>-3.5853870372380948E-2</v>
      </c>
      <c r="I176" s="13">
        <f t="shared" si="1"/>
        <v>-7170.7740744761895</v>
      </c>
      <c r="J176" s="13">
        <f t="shared" si="2"/>
        <v>0</v>
      </c>
      <c r="K176" s="13">
        <f t="shared" si="3"/>
        <v>-7170.7740744761895</v>
      </c>
      <c r="L176" s="13">
        <f t="shared" si="4"/>
        <v>1112098.2684705828</v>
      </c>
      <c r="M176" s="13">
        <f t="shared" si="5"/>
        <v>11112098.268470583</v>
      </c>
      <c r="N176" s="13">
        <f t="shared" si="6"/>
        <v>11119269.04254506</v>
      </c>
      <c r="O176" s="13">
        <f t="shared" si="7"/>
        <v>-7170.7740744762123</v>
      </c>
      <c r="P176" s="12">
        <f t="shared" si="8"/>
        <v>-6.4489617501285973E-4</v>
      </c>
    </row>
    <row r="177" spans="1:16" ht="14.4" x14ac:dyDescent="0.3">
      <c r="A177" s="7" t="s">
        <v>234</v>
      </c>
      <c r="B177" s="8">
        <v>45289</v>
      </c>
      <c r="C177" s="9">
        <v>6797.25</v>
      </c>
      <c r="D177" s="8">
        <v>45379</v>
      </c>
      <c r="E177" s="9">
        <v>9148.15</v>
      </c>
      <c r="F177" s="17">
        <v>34.590000000000003</v>
      </c>
      <c r="G177" s="11"/>
      <c r="H177" s="12">
        <f t="shared" si="0"/>
        <v>0.34586045827356648</v>
      </c>
      <c r="I177" s="13">
        <f t="shared" si="1"/>
        <v>69172.091654713295</v>
      </c>
      <c r="J177" s="13">
        <f t="shared" si="2"/>
        <v>69172.091654713295</v>
      </c>
      <c r="K177" s="13">
        <f t="shared" si="3"/>
        <v>0</v>
      </c>
      <c r="L177" s="13">
        <f t="shared" si="4"/>
        <v>1181270.3601252961</v>
      </c>
      <c r="M177" s="13">
        <f t="shared" si="5"/>
        <v>11181270.360125296</v>
      </c>
      <c r="N177" s="13">
        <f t="shared" si="6"/>
        <v>11181270.360125296</v>
      </c>
      <c r="O177" s="13">
        <f t="shared" si="7"/>
        <v>0</v>
      </c>
      <c r="P177" s="12">
        <f t="shared" si="8"/>
        <v>0</v>
      </c>
    </row>
    <row r="178" spans="1:16" ht="14.4" x14ac:dyDescent="0.3">
      <c r="A178" s="7" t="s">
        <v>235</v>
      </c>
      <c r="B178" s="8">
        <v>45289</v>
      </c>
      <c r="C178" s="9">
        <v>132.5</v>
      </c>
      <c r="D178" s="8">
        <v>45379</v>
      </c>
      <c r="E178" s="9">
        <v>121.65</v>
      </c>
      <c r="F178" s="17">
        <v>-8.19</v>
      </c>
      <c r="G178" s="11"/>
      <c r="H178" s="12">
        <f t="shared" si="0"/>
        <v>-8.1886792452830148E-2</v>
      </c>
      <c r="I178" s="13">
        <f t="shared" si="1"/>
        <v>-16377.35849056603</v>
      </c>
      <c r="J178" s="13">
        <f t="shared" si="2"/>
        <v>0</v>
      </c>
      <c r="K178" s="13">
        <f t="shared" si="3"/>
        <v>-16377.35849056603</v>
      </c>
      <c r="L178" s="13">
        <f t="shared" si="4"/>
        <v>1164893.00163473</v>
      </c>
      <c r="M178" s="13">
        <f t="shared" si="5"/>
        <v>11164893.00163473</v>
      </c>
      <c r="N178" s="13">
        <f t="shared" si="6"/>
        <v>11181270.360125296</v>
      </c>
      <c r="O178" s="13">
        <f t="shared" si="7"/>
        <v>-16377.358490565792</v>
      </c>
      <c r="P178" s="12">
        <f t="shared" si="8"/>
        <v>-1.4647135757463491E-3</v>
      </c>
    </row>
    <row r="179" spans="1:16" ht="14.4" x14ac:dyDescent="0.3">
      <c r="A179" s="7" t="s">
        <v>109</v>
      </c>
      <c r="B179" s="8">
        <v>45289</v>
      </c>
      <c r="C179" s="9">
        <v>1057</v>
      </c>
      <c r="D179" s="8">
        <v>45379</v>
      </c>
      <c r="E179" s="9">
        <v>1025.8499999999999</v>
      </c>
      <c r="F179" s="17">
        <v>-2.95</v>
      </c>
      <c r="G179" s="11"/>
      <c r="H179" s="12">
        <f t="shared" si="0"/>
        <v>-2.9470198675496776E-2</v>
      </c>
      <c r="I179" s="13">
        <f t="shared" si="1"/>
        <v>-5894.0397350993553</v>
      </c>
      <c r="J179" s="13">
        <f t="shared" si="2"/>
        <v>0</v>
      </c>
      <c r="K179" s="13">
        <f t="shared" si="3"/>
        <v>-5894.0397350993553</v>
      </c>
      <c r="L179" s="13">
        <f t="shared" si="4"/>
        <v>1158998.9618996307</v>
      </c>
      <c r="M179" s="13">
        <f t="shared" si="5"/>
        <v>11158998.961899631</v>
      </c>
      <c r="N179" s="13">
        <f t="shared" si="6"/>
        <v>11181270.360125296</v>
      </c>
      <c r="O179" s="13">
        <f t="shared" si="7"/>
        <v>-22271.398225665092</v>
      </c>
      <c r="P179" s="12">
        <f t="shared" si="8"/>
        <v>-1.9918486458470291E-3</v>
      </c>
    </row>
    <row r="180" spans="1:16" ht="14.4" x14ac:dyDescent="0.3">
      <c r="A180" s="7" t="s">
        <v>236</v>
      </c>
      <c r="B180" s="8">
        <v>45289</v>
      </c>
      <c r="C180" s="9">
        <v>599.25</v>
      </c>
      <c r="D180" s="8">
        <v>45379</v>
      </c>
      <c r="E180" s="9">
        <v>679.6</v>
      </c>
      <c r="F180" s="17">
        <v>13.41</v>
      </c>
      <c r="G180" s="11"/>
      <c r="H180" s="12">
        <f t="shared" si="0"/>
        <v>0.13408427200667505</v>
      </c>
      <c r="I180" s="13">
        <f t="shared" si="1"/>
        <v>26816.854401335011</v>
      </c>
      <c r="J180" s="13">
        <f t="shared" si="2"/>
        <v>26816.854401335011</v>
      </c>
      <c r="K180" s="13">
        <f t="shared" si="3"/>
        <v>0</v>
      </c>
      <c r="L180" s="13">
        <f t="shared" si="4"/>
        <v>1185815.8163009658</v>
      </c>
      <c r="M180" s="13">
        <f t="shared" si="5"/>
        <v>11185815.816300966</v>
      </c>
      <c r="N180" s="13">
        <f t="shared" si="6"/>
        <v>11185815.816300966</v>
      </c>
      <c r="O180" s="13">
        <f t="shared" si="7"/>
        <v>0</v>
      </c>
      <c r="P180" s="12">
        <f t="shared" si="8"/>
        <v>0</v>
      </c>
    </row>
    <row r="181" spans="1:16" ht="14.4" x14ac:dyDescent="0.3">
      <c r="A181" s="7" t="s">
        <v>237</v>
      </c>
      <c r="B181" s="8">
        <v>45289</v>
      </c>
      <c r="C181" s="9">
        <v>171.45</v>
      </c>
      <c r="D181" s="8">
        <v>45379</v>
      </c>
      <c r="E181" s="9">
        <v>201.95</v>
      </c>
      <c r="F181" s="17">
        <v>17.79</v>
      </c>
      <c r="G181" s="11"/>
      <c r="H181" s="12">
        <f t="shared" si="0"/>
        <v>0.1778944298629338</v>
      </c>
      <c r="I181" s="13">
        <f t="shared" si="1"/>
        <v>35578.885972586759</v>
      </c>
      <c r="J181" s="13">
        <f t="shared" si="2"/>
        <v>35578.885972586759</v>
      </c>
      <c r="K181" s="13">
        <f t="shared" si="3"/>
        <v>0</v>
      </c>
      <c r="L181" s="13">
        <f t="shared" si="4"/>
        <v>1221394.7022735525</v>
      </c>
      <c r="M181" s="13">
        <f t="shared" si="5"/>
        <v>11221394.702273553</v>
      </c>
      <c r="N181" s="13">
        <f t="shared" si="6"/>
        <v>11221394.702273553</v>
      </c>
      <c r="O181" s="13">
        <f t="shared" si="7"/>
        <v>0</v>
      </c>
      <c r="P181" s="12">
        <f t="shared" si="8"/>
        <v>0</v>
      </c>
    </row>
    <row r="182" spans="1:16" ht="14.4" x14ac:dyDescent="0.3">
      <c r="A182" s="7" t="s">
        <v>238</v>
      </c>
      <c r="B182" s="8">
        <v>45289</v>
      </c>
      <c r="C182" s="9">
        <v>4.1500000000000004</v>
      </c>
      <c r="D182" s="8">
        <v>45379</v>
      </c>
      <c r="E182" s="9">
        <v>3.65</v>
      </c>
      <c r="F182" s="17">
        <v>-12.05</v>
      </c>
      <c r="G182" s="11"/>
      <c r="H182" s="12">
        <f t="shared" si="0"/>
        <v>-0.12048192771084347</v>
      </c>
      <c r="I182" s="13">
        <f t="shared" si="1"/>
        <v>-24096.385542168693</v>
      </c>
      <c r="J182" s="13">
        <f t="shared" si="2"/>
        <v>0</v>
      </c>
      <c r="K182" s="13">
        <f t="shared" si="3"/>
        <v>-24096.385542168693</v>
      </c>
      <c r="L182" s="13">
        <f t="shared" si="4"/>
        <v>1197298.3167313838</v>
      </c>
      <c r="M182" s="13">
        <f t="shared" si="5"/>
        <v>11197298.316731384</v>
      </c>
      <c r="N182" s="13">
        <f t="shared" si="6"/>
        <v>11221394.702273553</v>
      </c>
      <c r="O182" s="13">
        <f t="shared" si="7"/>
        <v>-24096.385542169213</v>
      </c>
      <c r="P182" s="12">
        <f t="shared" si="8"/>
        <v>-2.1473610171904097E-3</v>
      </c>
    </row>
    <row r="183" spans="1:16" ht="14.4" x14ac:dyDescent="0.3">
      <c r="A183" s="7" t="s">
        <v>239</v>
      </c>
      <c r="B183" s="8">
        <v>45289</v>
      </c>
      <c r="C183" s="9">
        <v>1898.15</v>
      </c>
      <c r="D183" s="8">
        <v>45379</v>
      </c>
      <c r="E183" s="9">
        <v>1946.6</v>
      </c>
      <c r="F183" s="17">
        <v>2.5499999999999998</v>
      </c>
      <c r="G183" s="11"/>
      <c r="H183" s="12">
        <f t="shared" si="0"/>
        <v>2.5524853146484637E-2</v>
      </c>
      <c r="I183" s="13">
        <f t="shared" si="1"/>
        <v>5104.9706292969277</v>
      </c>
      <c r="J183" s="13">
        <f t="shared" si="2"/>
        <v>5104.9706292969277</v>
      </c>
      <c r="K183" s="13">
        <f t="shared" si="3"/>
        <v>0</v>
      </c>
      <c r="L183" s="13">
        <f t="shared" si="4"/>
        <v>1202403.2873606808</v>
      </c>
      <c r="M183" s="13">
        <f t="shared" si="5"/>
        <v>11202403.287360681</v>
      </c>
      <c r="N183" s="13">
        <f t="shared" si="6"/>
        <v>11221394.702273553</v>
      </c>
      <c r="O183" s="13">
        <f t="shared" si="7"/>
        <v>-18991.414912872016</v>
      </c>
      <c r="P183" s="12">
        <f t="shared" si="8"/>
        <v>-1.6924290978753459E-3</v>
      </c>
    </row>
    <row r="184" spans="1:16" ht="14.4" x14ac:dyDescent="0.3">
      <c r="A184" s="7" t="s">
        <v>240</v>
      </c>
      <c r="B184" s="8">
        <v>45289</v>
      </c>
      <c r="C184" s="9">
        <v>3186.4</v>
      </c>
      <c r="D184" s="8">
        <v>45379</v>
      </c>
      <c r="E184" s="9">
        <v>3405.55</v>
      </c>
      <c r="F184" s="17">
        <v>6.88</v>
      </c>
      <c r="G184" s="11"/>
      <c r="H184" s="12">
        <f t="shared" si="0"/>
        <v>6.8776675872457976E-2</v>
      </c>
      <c r="I184" s="13">
        <f t="shared" si="1"/>
        <v>13755.335174491594</v>
      </c>
      <c r="J184" s="13">
        <f t="shared" si="2"/>
        <v>13755.335174491594</v>
      </c>
      <c r="K184" s="13">
        <f t="shared" si="3"/>
        <v>0</v>
      </c>
      <c r="L184" s="13">
        <f t="shared" si="4"/>
        <v>1216158.6225351724</v>
      </c>
      <c r="M184" s="13">
        <f t="shared" si="5"/>
        <v>11216158.622535173</v>
      </c>
      <c r="N184" s="13">
        <f t="shared" si="6"/>
        <v>11221394.702273553</v>
      </c>
      <c r="O184" s="13">
        <f t="shared" si="7"/>
        <v>-5236.0797383803874</v>
      </c>
      <c r="P184" s="12">
        <f t="shared" si="8"/>
        <v>-4.6661577079358161E-4</v>
      </c>
    </row>
    <row r="185" spans="1:16" ht="14.4" x14ac:dyDescent="0.3">
      <c r="A185" s="7" t="s">
        <v>241</v>
      </c>
      <c r="B185" s="8">
        <v>45289</v>
      </c>
      <c r="C185" s="9">
        <v>123.65</v>
      </c>
      <c r="D185" s="8">
        <v>45379</v>
      </c>
      <c r="E185" s="9">
        <v>134.25</v>
      </c>
      <c r="F185" s="17">
        <v>8.57</v>
      </c>
      <c r="G185" s="11"/>
      <c r="H185" s="12">
        <f t="shared" si="0"/>
        <v>8.572583906186812E-2</v>
      </c>
      <c r="I185" s="13">
        <f t="shared" si="1"/>
        <v>17145.167812373624</v>
      </c>
      <c r="J185" s="13">
        <f t="shared" si="2"/>
        <v>17145.167812373624</v>
      </c>
      <c r="K185" s="13">
        <f t="shared" si="3"/>
        <v>0</v>
      </c>
      <c r="L185" s="13">
        <f t="shared" si="4"/>
        <v>1233303.7903475461</v>
      </c>
      <c r="M185" s="13">
        <f t="shared" si="5"/>
        <v>11233303.790347546</v>
      </c>
      <c r="N185" s="13">
        <f t="shared" si="6"/>
        <v>11233303.790347546</v>
      </c>
      <c r="O185" s="13">
        <f t="shared" si="7"/>
        <v>0</v>
      </c>
      <c r="P185" s="12">
        <f t="shared" si="8"/>
        <v>0</v>
      </c>
    </row>
    <row r="186" spans="1:16" ht="14.4" x14ac:dyDescent="0.3">
      <c r="A186" s="7" t="s">
        <v>242</v>
      </c>
      <c r="B186" s="8">
        <v>45289</v>
      </c>
      <c r="C186" s="9">
        <v>15.45</v>
      </c>
      <c r="D186" s="8">
        <v>45379</v>
      </c>
      <c r="E186" s="9">
        <v>14.7</v>
      </c>
      <c r="F186" s="17">
        <v>-4.8499999999999996</v>
      </c>
      <c r="G186" s="11"/>
      <c r="H186" s="12">
        <f t="shared" si="0"/>
        <v>-4.8543689320388349E-2</v>
      </c>
      <c r="I186" s="13">
        <f t="shared" si="1"/>
        <v>-9708.7378640776697</v>
      </c>
      <c r="J186" s="13">
        <f t="shared" si="2"/>
        <v>0</v>
      </c>
      <c r="K186" s="13">
        <f t="shared" si="3"/>
        <v>-9708.7378640776697</v>
      </c>
      <c r="L186" s="13">
        <f t="shared" si="4"/>
        <v>1223595.0524834685</v>
      </c>
      <c r="M186" s="13">
        <f t="shared" si="5"/>
        <v>11223595.052483469</v>
      </c>
      <c r="N186" s="13">
        <f t="shared" si="6"/>
        <v>11233303.790347546</v>
      </c>
      <c r="O186" s="13">
        <f t="shared" si="7"/>
        <v>-9708.7378640770912</v>
      </c>
      <c r="P186" s="12">
        <f t="shared" si="8"/>
        <v>-8.6428160808928981E-4</v>
      </c>
    </row>
    <row r="187" spans="1:16" ht="14.4" x14ac:dyDescent="0.3">
      <c r="A187" s="7" t="s">
        <v>243</v>
      </c>
      <c r="B187" s="8">
        <v>45289</v>
      </c>
      <c r="C187" s="9">
        <v>1073.46</v>
      </c>
      <c r="D187" s="8">
        <v>45379</v>
      </c>
      <c r="E187" s="9">
        <v>1082.74</v>
      </c>
      <c r="F187" s="17">
        <v>0.86</v>
      </c>
      <c r="G187" s="11"/>
      <c r="H187" s="12">
        <f t="shared" si="0"/>
        <v>8.6449425223110062E-3</v>
      </c>
      <c r="I187" s="13">
        <f t="shared" si="1"/>
        <v>1728.9885044622013</v>
      </c>
      <c r="J187" s="13">
        <f t="shared" si="2"/>
        <v>1728.9885044622013</v>
      </c>
      <c r="K187" s="13">
        <f t="shared" si="3"/>
        <v>0</v>
      </c>
      <c r="L187" s="13">
        <f t="shared" si="4"/>
        <v>1225324.0409879307</v>
      </c>
      <c r="M187" s="13">
        <f t="shared" si="5"/>
        <v>11225324.040987931</v>
      </c>
      <c r="N187" s="13">
        <f t="shared" si="6"/>
        <v>11233303.790347546</v>
      </c>
      <c r="O187" s="13">
        <f t="shared" si="7"/>
        <v>-7979.7493596151471</v>
      </c>
      <c r="P187" s="12">
        <f t="shared" si="8"/>
        <v>-7.1036531269384122E-4</v>
      </c>
    </row>
    <row r="188" spans="1:16" ht="14.4" x14ac:dyDescent="0.3">
      <c r="A188" s="7" t="s">
        <v>244</v>
      </c>
      <c r="B188" s="8">
        <v>45289</v>
      </c>
      <c r="C188" s="9">
        <v>332.15</v>
      </c>
      <c r="D188" s="8">
        <v>45379</v>
      </c>
      <c r="E188" s="9">
        <v>394.2</v>
      </c>
      <c r="F188" s="17">
        <v>18.68</v>
      </c>
      <c r="G188" s="11"/>
      <c r="H188" s="12">
        <f t="shared" si="0"/>
        <v>0.18681318681318687</v>
      </c>
      <c r="I188" s="13">
        <f t="shared" si="1"/>
        <v>37362.637362637375</v>
      </c>
      <c r="J188" s="13">
        <f t="shared" si="2"/>
        <v>37362.637362637375</v>
      </c>
      <c r="K188" s="13">
        <f t="shared" si="3"/>
        <v>0</v>
      </c>
      <c r="L188" s="13">
        <f t="shared" si="4"/>
        <v>1262686.6783505681</v>
      </c>
      <c r="M188" s="13">
        <f t="shared" si="5"/>
        <v>11262686.678350568</v>
      </c>
      <c r="N188" s="13">
        <f t="shared" si="6"/>
        <v>11262686.678350568</v>
      </c>
      <c r="O188" s="13">
        <f t="shared" si="7"/>
        <v>0</v>
      </c>
      <c r="P188" s="12">
        <f t="shared" si="8"/>
        <v>0</v>
      </c>
    </row>
    <row r="189" spans="1:16" ht="14.4" x14ac:dyDescent="0.3">
      <c r="A189" s="7" t="s">
        <v>245</v>
      </c>
      <c r="B189" s="8">
        <v>45289</v>
      </c>
      <c r="C189" s="9">
        <v>235.65</v>
      </c>
      <c r="D189" s="8">
        <v>45379</v>
      </c>
      <c r="E189" s="9">
        <v>240.05</v>
      </c>
      <c r="F189" s="17">
        <v>1.87</v>
      </c>
      <c r="G189" s="11"/>
      <c r="H189" s="12">
        <f t="shared" si="0"/>
        <v>1.8671758964566118E-2</v>
      </c>
      <c r="I189" s="13">
        <f t="shared" si="1"/>
        <v>3734.3517929132236</v>
      </c>
      <c r="J189" s="13">
        <f t="shared" si="2"/>
        <v>3734.3517929132236</v>
      </c>
      <c r="K189" s="13">
        <f t="shared" si="3"/>
        <v>0</v>
      </c>
      <c r="L189" s="13">
        <f t="shared" si="4"/>
        <v>1266421.0301434812</v>
      </c>
      <c r="M189" s="13">
        <f t="shared" si="5"/>
        <v>11266421.030143481</v>
      </c>
      <c r="N189" s="13">
        <f t="shared" si="6"/>
        <v>11266421.030143481</v>
      </c>
      <c r="O189" s="13">
        <f t="shared" si="7"/>
        <v>0</v>
      </c>
      <c r="P189" s="12">
        <f t="shared" si="8"/>
        <v>0</v>
      </c>
    </row>
    <row r="190" spans="1:16" ht="14.4" x14ac:dyDescent="0.3">
      <c r="A190" s="7" t="s">
        <v>246</v>
      </c>
      <c r="B190" s="8">
        <v>45289</v>
      </c>
      <c r="C190" s="9">
        <v>5202.6000000000004</v>
      </c>
      <c r="D190" s="8">
        <v>45379</v>
      </c>
      <c r="E190" s="9">
        <v>4942</v>
      </c>
      <c r="F190" s="17">
        <v>-5.01</v>
      </c>
      <c r="G190" s="11"/>
      <c r="H190" s="12">
        <f t="shared" si="0"/>
        <v>-5.0090339445661852E-2</v>
      </c>
      <c r="I190" s="13">
        <f t="shared" si="1"/>
        <v>-10018.06788913237</v>
      </c>
      <c r="J190" s="13">
        <f t="shared" si="2"/>
        <v>0</v>
      </c>
      <c r="K190" s="13">
        <f t="shared" si="3"/>
        <v>-10018.06788913237</v>
      </c>
      <c r="L190" s="13">
        <f t="shared" si="4"/>
        <v>1256402.9622543489</v>
      </c>
      <c r="M190" s="13">
        <f t="shared" si="5"/>
        <v>11256402.962254349</v>
      </c>
      <c r="N190" s="13">
        <f t="shared" si="6"/>
        <v>11266421.030143481</v>
      </c>
      <c r="O190" s="13">
        <f t="shared" si="7"/>
        <v>-10018.067889131606</v>
      </c>
      <c r="P190" s="12">
        <f t="shared" si="8"/>
        <v>-8.8919700962072272E-4</v>
      </c>
    </row>
    <row r="191" spans="1:16" ht="14.4" x14ac:dyDescent="0.3">
      <c r="A191" s="7" t="s">
        <v>247</v>
      </c>
      <c r="B191" s="8">
        <v>45289</v>
      </c>
      <c r="C191" s="9">
        <v>389.85</v>
      </c>
      <c r="D191" s="8">
        <v>45379</v>
      </c>
      <c r="E191" s="9">
        <v>321.64999999999998</v>
      </c>
      <c r="F191" s="17">
        <v>-17.489999999999998</v>
      </c>
      <c r="G191" s="11"/>
      <c r="H191" s="12">
        <f t="shared" si="0"/>
        <v>-0.17493907913299997</v>
      </c>
      <c r="I191" s="13">
        <f t="shared" si="1"/>
        <v>-34987.815826599995</v>
      </c>
      <c r="J191" s="13">
        <f t="shared" si="2"/>
        <v>0</v>
      </c>
      <c r="K191" s="13">
        <f t="shared" si="3"/>
        <v>-34987.815826599995</v>
      </c>
      <c r="L191" s="13">
        <f t="shared" si="4"/>
        <v>1221415.146427749</v>
      </c>
      <c r="M191" s="13">
        <f t="shared" si="5"/>
        <v>11221415.146427749</v>
      </c>
      <c r="N191" s="13">
        <f t="shared" si="6"/>
        <v>11266421.030143481</v>
      </c>
      <c r="O191" s="13">
        <f t="shared" si="7"/>
        <v>-45005.883715732023</v>
      </c>
      <c r="P191" s="12">
        <f t="shared" si="8"/>
        <v>-3.9946921560376717E-3</v>
      </c>
    </row>
    <row r="192" spans="1:16" ht="14.4" x14ac:dyDescent="0.3">
      <c r="A192" s="7" t="s">
        <v>248</v>
      </c>
      <c r="B192" s="8">
        <v>45289</v>
      </c>
      <c r="C192" s="9">
        <v>31.93</v>
      </c>
      <c r="D192" s="8">
        <v>45379</v>
      </c>
      <c r="E192" s="9">
        <v>34.090000000000003</v>
      </c>
      <c r="F192" s="17">
        <v>6.76</v>
      </c>
      <c r="G192" s="11"/>
      <c r="H192" s="12">
        <f t="shared" si="0"/>
        <v>6.7647979956154208E-2</v>
      </c>
      <c r="I192" s="13">
        <f t="shared" si="1"/>
        <v>13529.595991230841</v>
      </c>
      <c r="J192" s="13">
        <f t="shared" si="2"/>
        <v>13529.595991230841</v>
      </c>
      <c r="K192" s="13">
        <f t="shared" si="3"/>
        <v>0</v>
      </c>
      <c r="L192" s="13">
        <f t="shared" si="4"/>
        <v>1234944.7424189798</v>
      </c>
      <c r="M192" s="13">
        <f t="shared" si="5"/>
        <v>11234944.74241898</v>
      </c>
      <c r="N192" s="13">
        <f t="shared" si="6"/>
        <v>11266421.030143481</v>
      </c>
      <c r="O192" s="13">
        <f t="shared" si="7"/>
        <v>-31476.287724500522</v>
      </c>
      <c r="P192" s="12">
        <f t="shared" si="8"/>
        <v>-2.7938142592297266E-3</v>
      </c>
    </row>
    <row r="193" spans="1:16" ht="14.4" x14ac:dyDescent="0.3">
      <c r="A193" s="7" t="s">
        <v>249</v>
      </c>
      <c r="B193" s="8">
        <v>45289</v>
      </c>
      <c r="C193" s="9">
        <v>805.75</v>
      </c>
      <c r="D193" s="8">
        <v>45379</v>
      </c>
      <c r="E193" s="9">
        <v>970</v>
      </c>
      <c r="F193" s="17">
        <v>20.38</v>
      </c>
      <c r="G193" s="11"/>
      <c r="H193" s="12">
        <f t="shared" si="0"/>
        <v>0.20384734719205708</v>
      </c>
      <c r="I193" s="13">
        <f t="shared" si="1"/>
        <v>40769.469438411412</v>
      </c>
      <c r="J193" s="13">
        <f t="shared" si="2"/>
        <v>40769.469438411412</v>
      </c>
      <c r="K193" s="13">
        <f t="shared" si="3"/>
        <v>0</v>
      </c>
      <c r="L193" s="13">
        <f t="shared" si="4"/>
        <v>1275714.2118573911</v>
      </c>
      <c r="M193" s="13">
        <f t="shared" si="5"/>
        <v>11275714.211857392</v>
      </c>
      <c r="N193" s="13">
        <f t="shared" si="6"/>
        <v>11275714.211857392</v>
      </c>
      <c r="O193" s="13">
        <f t="shared" si="7"/>
        <v>0</v>
      </c>
      <c r="P193" s="12">
        <f t="shared" si="8"/>
        <v>0</v>
      </c>
    </row>
    <row r="194" spans="1:16" ht="14.4" x14ac:dyDescent="0.3">
      <c r="A194" s="7" t="s">
        <v>250</v>
      </c>
      <c r="B194" s="8">
        <v>45289</v>
      </c>
      <c r="C194" s="9">
        <v>328.5</v>
      </c>
      <c r="D194" s="8">
        <v>45379</v>
      </c>
      <c r="E194" s="9">
        <v>330.65</v>
      </c>
      <c r="F194" s="17">
        <v>0.65</v>
      </c>
      <c r="G194" s="11"/>
      <c r="H194" s="12">
        <f t="shared" si="0"/>
        <v>6.5449010654489411E-3</v>
      </c>
      <c r="I194" s="13">
        <f t="shared" si="1"/>
        <v>1308.9802130897883</v>
      </c>
      <c r="J194" s="13">
        <f t="shared" si="2"/>
        <v>1308.9802130897883</v>
      </c>
      <c r="K194" s="13">
        <f t="shared" si="3"/>
        <v>0</v>
      </c>
      <c r="L194" s="13">
        <f t="shared" si="4"/>
        <v>1277023.1920704809</v>
      </c>
      <c r="M194" s="13">
        <f t="shared" si="5"/>
        <v>11277023.19207048</v>
      </c>
      <c r="N194" s="13">
        <f t="shared" si="6"/>
        <v>11277023.19207048</v>
      </c>
      <c r="O194" s="13">
        <f t="shared" si="7"/>
        <v>0</v>
      </c>
      <c r="P194" s="12">
        <f t="shared" si="8"/>
        <v>0</v>
      </c>
    </row>
    <row r="195" spans="1:16" ht="14.4" x14ac:dyDescent="0.3">
      <c r="A195" s="7" t="s">
        <v>251</v>
      </c>
      <c r="B195" s="8">
        <v>45289</v>
      </c>
      <c r="C195" s="9">
        <v>219.2</v>
      </c>
      <c r="D195" s="8">
        <v>45379</v>
      </c>
      <c r="E195" s="9">
        <v>281.89999999999998</v>
      </c>
      <c r="F195" s="17">
        <v>28.6</v>
      </c>
      <c r="G195" s="11"/>
      <c r="H195" s="12">
        <f t="shared" si="0"/>
        <v>0.28604014598540145</v>
      </c>
      <c r="I195" s="13">
        <f t="shared" si="1"/>
        <v>57208.029197080294</v>
      </c>
      <c r="J195" s="13">
        <f t="shared" si="2"/>
        <v>57208.029197080294</v>
      </c>
      <c r="K195" s="13">
        <f t="shared" si="3"/>
        <v>0</v>
      </c>
      <c r="L195" s="13">
        <f t="shared" si="4"/>
        <v>1334231.2212675612</v>
      </c>
      <c r="M195" s="13">
        <f t="shared" si="5"/>
        <v>11334231.22126756</v>
      </c>
      <c r="N195" s="13">
        <f t="shared" si="6"/>
        <v>11334231.22126756</v>
      </c>
      <c r="O195" s="13">
        <f t="shared" si="7"/>
        <v>0</v>
      </c>
      <c r="P195" s="12">
        <f t="shared" si="8"/>
        <v>0</v>
      </c>
    </row>
    <row r="196" spans="1:16" ht="14.4" x14ac:dyDescent="0.3">
      <c r="A196" s="7" t="s">
        <v>252</v>
      </c>
      <c r="B196" s="8">
        <v>45289</v>
      </c>
      <c r="C196" s="9">
        <v>116.05</v>
      </c>
      <c r="D196" s="8">
        <v>45379</v>
      </c>
      <c r="E196" s="9">
        <v>133.55000000000001</v>
      </c>
      <c r="F196" s="17">
        <v>15.08</v>
      </c>
      <c r="G196" s="11"/>
      <c r="H196" s="12">
        <f t="shared" si="0"/>
        <v>0.15079707022834998</v>
      </c>
      <c r="I196" s="13">
        <f t="shared" si="1"/>
        <v>30159.414045669997</v>
      </c>
      <c r="J196" s="13">
        <f t="shared" si="2"/>
        <v>30159.414045669997</v>
      </c>
      <c r="K196" s="13">
        <f t="shared" si="3"/>
        <v>0</v>
      </c>
      <c r="L196" s="13">
        <f t="shared" si="4"/>
        <v>1364390.6353132313</v>
      </c>
      <c r="M196" s="13">
        <f t="shared" si="5"/>
        <v>11364390.635313231</v>
      </c>
      <c r="N196" s="13">
        <f t="shared" si="6"/>
        <v>11364390.635313231</v>
      </c>
      <c r="O196" s="13">
        <f t="shared" si="7"/>
        <v>0</v>
      </c>
      <c r="P196" s="12">
        <f t="shared" si="8"/>
        <v>0</v>
      </c>
    </row>
    <row r="197" spans="1:16" ht="14.4" x14ac:dyDescent="0.3">
      <c r="A197" s="7" t="s">
        <v>253</v>
      </c>
      <c r="B197" s="8">
        <v>45289</v>
      </c>
      <c r="C197" s="9">
        <v>177.8</v>
      </c>
      <c r="D197" s="8">
        <v>45379</v>
      </c>
      <c r="E197" s="9">
        <v>219.5</v>
      </c>
      <c r="F197" s="17">
        <v>23.45</v>
      </c>
      <c r="G197" s="11"/>
      <c r="H197" s="12">
        <f t="shared" si="0"/>
        <v>0.2345331833520809</v>
      </c>
      <c r="I197" s="13">
        <f t="shared" si="1"/>
        <v>46906.636670416177</v>
      </c>
      <c r="J197" s="13">
        <f t="shared" si="2"/>
        <v>46906.636670416177</v>
      </c>
      <c r="K197" s="13">
        <f t="shared" si="3"/>
        <v>0</v>
      </c>
      <c r="L197" s="13">
        <f t="shared" si="4"/>
        <v>1411297.2719836475</v>
      </c>
      <c r="M197" s="13">
        <f t="shared" si="5"/>
        <v>11411297.271983648</v>
      </c>
      <c r="N197" s="13">
        <f t="shared" si="6"/>
        <v>11411297.271983648</v>
      </c>
      <c r="O197" s="13">
        <f t="shared" si="7"/>
        <v>0</v>
      </c>
      <c r="P197" s="12">
        <f t="shared" si="8"/>
        <v>0</v>
      </c>
    </row>
    <row r="198" spans="1:16" ht="14.4" x14ac:dyDescent="0.3">
      <c r="A198" s="7" t="s">
        <v>254</v>
      </c>
      <c r="B198" s="8">
        <v>45289</v>
      </c>
      <c r="C198" s="9">
        <v>58.5</v>
      </c>
      <c r="D198" s="8">
        <v>45379</v>
      </c>
      <c r="E198" s="9">
        <v>37</v>
      </c>
      <c r="F198" s="17">
        <v>-36.75</v>
      </c>
      <c r="G198" s="11"/>
      <c r="H198" s="12">
        <f t="shared" si="0"/>
        <v>-0.36752136752136755</v>
      </c>
      <c r="I198" s="13">
        <f t="shared" si="1"/>
        <v>-73504.273504273515</v>
      </c>
      <c r="J198" s="13">
        <f t="shared" si="2"/>
        <v>0</v>
      </c>
      <c r="K198" s="13">
        <f t="shared" si="3"/>
        <v>-73504.273504273515</v>
      </c>
      <c r="L198" s="13">
        <f t="shared" si="4"/>
        <v>1337792.998479374</v>
      </c>
      <c r="M198" s="13">
        <f t="shared" si="5"/>
        <v>11337792.998479374</v>
      </c>
      <c r="N198" s="13">
        <f t="shared" si="6"/>
        <v>11411297.271983648</v>
      </c>
      <c r="O198" s="13">
        <f t="shared" si="7"/>
        <v>-73504.273504273966</v>
      </c>
      <c r="P198" s="12">
        <f t="shared" si="8"/>
        <v>-6.4413599744471981E-3</v>
      </c>
    </row>
    <row r="199" spans="1:16" ht="14.4" x14ac:dyDescent="0.3">
      <c r="A199" s="7" t="s">
        <v>255</v>
      </c>
      <c r="B199" s="8">
        <v>45289</v>
      </c>
      <c r="C199" s="9">
        <v>8.06</v>
      </c>
      <c r="D199" s="8">
        <v>45379</v>
      </c>
      <c r="E199" s="9">
        <v>5.07</v>
      </c>
      <c r="F199" s="17">
        <v>-37.1</v>
      </c>
      <c r="G199" s="11"/>
      <c r="H199" s="12">
        <f t="shared" si="0"/>
        <v>-0.37096774193548387</v>
      </c>
      <c r="I199" s="13">
        <f t="shared" si="1"/>
        <v>-74193.548387096773</v>
      </c>
      <c r="J199" s="13">
        <f t="shared" si="2"/>
        <v>0</v>
      </c>
      <c r="K199" s="13">
        <f t="shared" si="3"/>
        <v>-74193.548387096773</v>
      </c>
      <c r="L199" s="13">
        <f t="shared" si="4"/>
        <v>1263599.4500922773</v>
      </c>
      <c r="M199" s="13">
        <f t="shared" si="5"/>
        <v>11263599.450092277</v>
      </c>
      <c r="N199" s="13">
        <f t="shared" si="6"/>
        <v>11411297.271983648</v>
      </c>
      <c r="O199" s="13">
        <f t="shared" si="7"/>
        <v>-147697.82189137116</v>
      </c>
      <c r="P199" s="12">
        <f t="shared" si="8"/>
        <v>-1.2943122799367452E-2</v>
      </c>
    </row>
    <row r="200" spans="1:16" ht="14.4" x14ac:dyDescent="0.3">
      <c r="A200" s="7" t="s">
        <v>256</v>
      </c>
      <c r="B200" s="8">
        <v>45289</v>
      </c>
      <c r="C200" s="9">
        <v>494.76</v>
      </c>
      <c r="D200" s="8">
        <v>45379</v>
      </c>
      <c r="E200" s="9">
        <v>559.44000000000005</v>
      </c>
      <c r="F200" s="17">
        <v>13.07</v>
      </c>
      <c r="G200" s="11"/>
      <c r="H200" s="12">
        <f t="shared" si="0"/>
        <v>0.1307300509337862</v>
      </c>
      <c r="I200" s="13">
        <f t="shared" si="1"/>
        <v>26146.010186757241</v>
      </c>
      <c r="J200" s="13">
        <f t="shared" si="2"/>
        <v>26146.010186757241</v>
      </c>
      <c r="K200" s="13">
        <f t="shared" si="3"/>
        <v>0</v>
      </c>
      <c r="L200" s="13">
        <f t="shared" si="4"/>
        <v>1289745.4602790345</v>
      </c>
      <c r="M200" s="13">
        <f t="shared" si="5"/>
        <v>11289745.460279034</v>
      </c>
      <c r="N200" s="13">
        <f t="shared" si="6"/>
        <v>11411297.271983648</v>
      </c>
      <c r="O200" s="13">
        <f t="shared" si="7"/>
        <v>-121551.81170461327</v>
      </c>
      <c r="P200" s="12">
        <f t="shared" si="8"/>
        <v>-1.0651883726054547E-2</v>
      </c>
    </row>
    <row r="201" spans="1:16" ht="14.4" x14ac:dyDescent="0.3">
      <c r="A201" s="7" t="s">
        <v>257</v>
      </c>
      <c r="B201" s="8">
        <v>45289</v>
      </c>
      <c r="C201" s="9">
        <v>13.15</v>
      </c>
      <c r="D201" s="8">
        <v>45379</v>
      </c>
      <c r="E201" s="9">
        <v>20</v>
      </c>
      <c r="F201" s="17">
        <v>52.09</v>
      </c>
      <c r="G201" s="11"/>
      <c r="H201" s="12">
        <f t="shared" si="0"/>
        <v>0.52091254752851712</v>
      </c>
      <c r="I201" s="13">
        <f t="shared" si="1"/>
        <v>104182.50950570342</v>
      </c>
      <c r="J201" s="13">
        <f t="shared" si="2"/>
        <v>104182.50950570342</v>
      </c>
      <c r="K201" s="13">
        <f t="shared" si="3"/>
        <v>0</v>
      </c>
      <c r="L201" s="13">
        <f t="shared" si="4"/>
        <v>1393927.9697847378</v>
      </c>
      <c r="M201" s="13">
        <f t="shared" si="5"/>
        <v>11393927.969784738</v>
      </c>
      <c r="N201" s="13">
        <f t="shared" si="6"/>
        <v>11411297.271983648</v>
      </c>
      <c r="O201" s="13">
        <f t="shared" si="7"/>
        <v>-17369.302198909223</v>
      </c>
      <c r="P201" s="12">
        <f t="shared" si="8"/>
        <v>-1.5221146014268968E-3</v>
      </c>
    </row>
    <row r="202" spans="1:16" ht="14.4" x14ac:dyDescent="0.3">
      <c r="A202" s="7" t="s">
        <v>258</v>
      </c>
      <c r="B202" s="8">
        <v>45289</v>
      </c>
      <c r="C202" s="9">
        <v>571.05999999999995</v>
      </c>
      <c r="D202" s="8">
        <v>45379</v>
      </c>
      <c r="E202" s="9">
        <v>509.34</v>
      </c>
      <c r="F202" s="17">
        <v>-10.81</v>
      </c>
      <c r="G202" s="11"/>
      <c r="H202" s="12">
        <f t="shared" si="0"/>
        <v>-0.1080797114138619</v>
      </c>
      <c r="I202" s="13">
        <f t="shared" si="1"/>
        <v>-21615.942282772379</v>
      </c>
      <c r="J202" s="13">
        <f t="shared" si="2"/>
        <v>0</v>
      </c>
      <c r="K202" s="13">
        <f t="shared" si="3"/>
        <v>-21615.942282772379</v>
      </c>
      <c r="L202" s="13">
        <f t="shared" si="4"/>
        <v>1372312.0275019654</v>
      </c>
      <c r="M202" s="13">
        <f t="shared" si="5"/>
        <v>11372312.027501965</v>
      </c>
      <c r="N202" s="13">
        <f t="shared" si="6"/>
        <v>11411297.271983648</v>
      </c>
      <c r="O202" s="13">
        <f t="shared" si="7"/>
        <v>-38985.244481682777</v>
      </c>
      <c r="P202" s="12">
        <f t="shared" si="8"/>
        <v>-3.4163727008845067E-3</v>
      </c>
    </row>
    <row r="203" spans="1:16" ht="14.4" x14ac:dyDescent="0.3">
      <c r="A203" s="7" t="s">
        <v>259</v>
      </c>
      <c r="B203" s="8">
        <v>45289</v>
      </c>
      <c r="C203" s="9">
        <v>856.18</v>
      </c>
      <c r="D203" s="8">
        <v>45379</v>
      </c>
      <c r="E203" s="9">
        <v>875.95</v>
      </c>
      <c r="F203" s="17">
        <v>2.31</v>
      </c>
      <c r="G203" s="11"/>
      <c r="H203" s="12">
        <f t="shared" si="0"/>
        <v>2.3090938821276014E-2</v>
      </c>
      <c r="I203" s="13">
        <f t="shared" si="1"/>
        <v>4618.1877642552026</v>
      </c>
      <c r="J203" s="13">
        <f t="shared" si="2"/>
        <v>4618.1877642552026</v>
      </c>
      <c r="K203" s="13">
        <f t="shared" si="3"/>
        <v>0</v>
      </c>
      <c r="L203" s="13">
        <f t="shared" si="4"/>
        <v>1376930.2152662205</v>
      </c>
      <c r="M203" s="13">
        <f t="shared" si="5"/>
        <v>11376930.21526622</v>
      </c>
      <c r="N203" s="13">
        <f t="shared" si="6"/>
        <v>11411297.271983648</v>
      </c>
      <c r="O203" s="13">
        <f t="shared" si="7"/>
        <v>-34367.056717427447</v>
      </c>
      <c r="P203" s="12">
        <f t="shared" si="8"/>
        <v>-3.0116695672983162E-3</v>
      </c>
    </row>
    <row r="204" spans="1:16" ht="14.4" x14ac:dyDescent="0.3">
      <c r="A204" s="7" t="s">
        <v>260</v>
      </c>
      <c r="B204" s="8">
        <v>45289</v>
      </c>
      <c r="C204" s="9">
        <v>23.41</v>
      </c>
      <c r="D204" s="8">
        <v>45379</v>
      </c>
      <c r="E204" s="9">
        <v>22.69</v>
      </c>
      <c r="F204" s="17">
        <v>-3.08</v>
      </c>
      <c r="G204" s="11"/>
      <c r="H204" s="12">
        <f t="shared" si="0"/>
        <v>-3.0756087142246855E-2</v>
      </c>
      <c r="I204" s="13">
        <f t="shared" si="1"/>
        <v>-6151.2174284493713</v>
      </c>
      <c r="J204" s="13">
        <f t="shared" si="2"/>
        <v>0</v>
      </c>
      <c r="K204" s="13">
        <f t="shared" si="3"/>
        <v>-6151.2174284493713</v>
      </c>
      <c r="L204" s="13">
        <f t="shared" si="4"/>
        <v>1370778.9978377712</v>
      </c>
      <c r="M204" s="13">
        <f t="shared" si="5"/>
        <v>11370778.997837771</v>
      </c>
      <c r="N204" s="13">
        <f t="shared" si="6"/>
        <v>11411297.271983648</v>
      </c>
      <c r="O204" s="13">
        <f t="shared" si="7"/>
        <v>-40518.274145876989</v>
      </c>
      <c r="P204" s="12">
        <f t="shared" si="8"/>
        <v>-3.5507158546605471E-3</v>
      </c>
    </row>
    <row r="205" spans="1:16" ht="14.4" x14ac:dyDescent="0.3">
      <c r="A205" s="7" t="s">
        <v>261</v>
      </c>
      <c r="B205" s="8">
        <v>45289</v>
      </c>
      <c r="C205" s="9">
        <v>198.45</v>
      </c>
      <c r="D205" s="8">
        <v>45379</v>
      </c>
      <c r="E205" s="9">
        <v>387.15</v>
      </c>
      <c r="F205" s="17">
        <v>95.09</v>
      </c>
      <c r="G205" s="11"/>
      <c r="H205" s="12">
        <f t="shared" si="0"/>
        <v>0.95086923658352229</v>
      </c>
      <c r="I205" s="13">
        <f t="shared" si="1"/>
        <v>190173.84731670446</v>
      </c>
      <c r="J205" s="13">
        <f t="shared" si="2"/>
        <v>190173.84731670446</v>
      </c>
      <c r="K205" s="13">
        <f t="shared" si="3"/>
        <v>0</v>
      </c>
      <c r="L205" s="13">
        <f t="shared" si="4"/>
        <v>1560952.8451544757</v>
      </c>
      <c r="M205" s="13">
        <f t="shared" si="5"/>
        <v>11560952.845154475</v>
      </c>
      <c r="N205" s="13">
        <f t="shared" si="6"/>
        <v>11560952.845154475</v>
      </c>
      <c r="O205" s="13">
        <f t="shared" si="7"/>
        <v>0</v>
      </c>
      <c r="P205" s="12">
        <f t="shared" si="8"/>
        <v>0</v>
      </c>
    </row>
    <row r="206" spans="1:16" ht="14.4" x14ac:dyDescent="0.3">
      <c r="A206" s="7" t="s">
        <v>262</v>
      </c>
      <c r="B206" s="8">
        <v>45289</v>
      </c>
      <c r="C206" s="9">
        <v>105.15</v>
      </c>
      <c r="D206" s="8">
        <v>45379</v>
      </c>
      <c r="E206" s="9">
        <v>93.3</v>
      </c>
      <c r="F206" s="17">
        <v>-11.27</v>
      </c>
      <c r="G206" s="11"/>
      <c r="H206" s="12">
        <f t="shared" si="0"/>
        <v>-0.11269614835948652</v>
      </c>
      <c r="I206" s="13">
        <f t="shared" si="1"/>
        <v>-22539.229671897305</v>
      </c>
      <c r="J206" s="13">
        <f t="shared" si="2"/>
        <v>0</v>
      </c>
      <c r="K206" s="13">
        <f t="shared" si="3"/>
        <v>-22539.229671897305</v>
      </c>
      <c r="L206" s="13">
        <f t="shared" si="4"/>
        <v>1538413.6154825783</v>
      </c>
      <c r="M206" s="13">
        <f t="shared" si="5"/>
        <v>11538413.615482578</v>
      </c>
      <c r="N206" s="13">
        <f t="shared" si="6"/>
        <v>11560952.845154475</v>
      </c>
      <c r="O206" s="13">
        <f t="shared" si="7"/>
        <v>-22539.229671897367</v>
      </c>
      <c r="P206" s="12">
        <f t="shared" si="8"/>
        <v>-1.9495996544388813E-3</v>
      </c>
    </row>
    <row r="207" spans="1:16" ht="14.4" x14ac:dyDescent="0.3">
      <c r="A207" s="7" t="s">
        <v>263</v>
      </c>
      <c r="B207" s="8">
        <v>45289</v>
      </c>
      <c r="C207" s="9">
        <v>213.5</v>
      </c>
      <c r="D207" s="8">
        <v>45379</v>
      </c>
      <c r="E207" s="9">
        <v>223</v>
      </c>
      <c r="F207" s="17">
        <v>4.45</v>
      </c>
      <c r="G207" s="11"/>
      <c r="H207" s="12">
        <f t="shared" si="0"/>
        <v>4.449648711943794E-2</v>
      </c>
      <c r="I207" s="13">
        <f t="shared" si="1"/>
        <v>8899.2974238875886</v>
      </c>
      <c r="J207" s="13">
        <f t="shared" si="2"/>
        <v>8899.2974238875886</v>
      </c>
      <c r="K207" s="13">
        <f t="shared" si="3"/>
        <v>0</v>
      </c>
      <c r="L207" s="13">
        <f t="shared" si="4"/>
        <v>1547312.9129064658</v>
      </c>
      <c r="M207" s="13">
        <f t="shared" si="5"/>
        <v>11547312.912906466</v>
      </c>
      <c r="N207" s="13">
        <f t="shared" si="6"/>
        <v>11560952.845154475</v>
      </c>
      <c r="O207" s="13">
        <f t="shared" si="7"/>
        <v>-13639.932248009369</v>
      </c>
      <c r="P207" s="12">
        <f t="shared" si="8"/>
        <v>-1.1798276864113542E-3</v>
      </c>
    </row>
    <row r="208" spans="1:16" ht="14.4" x14ac:dyDescent="0.3">
      <c r="A208" s="7" t="s">
        <v>110</v>
      </c>
      <c r="B208" s="8">
        <v>45289</v>
      </c>
      <c r="C208" s="9">
        <v>1306.0999999999999</v>
      </c>
      <c r="D208" s="8">
        <v>45379</v>
      </c>
      <c r="E208" s="9">
        <v>1041.7</v>
      </c>
      <c r="F208" s="17">
        <v>-20.239999999999998</v>
      </c>
      <c r="G208" s="11"/>
      <c r="H208" s="12">
        <f t="shared" si="0"/>
        <v>-0.20243472934691056</v>
      </c>
      <c r="I208" s="13">
        <f t="shared" si="1"/>
        <v>-40486.945869382114</v>
      </c>
      <c r="J208" s="13">
        <f t="shared" si="2"/>
        <v>0</v>
      </c>
      <c r="K208" s="13">
        <f t="shared" si="3"/>
        <v>-40486.945869382114</v>
      </c>
      <c r="L208" s="13">
        <f t="shared" si="4"/>
        <v>1506825.9670370838</v>
      </c>
      <c r="M208" s="13">
        <f t="shared" si="5"/>
        <v>11506825.967037084</v>
      </c>
      <c r="N208" s="13">
        <f t="shared" si="6"/>
        <v>11560952.845154475</v>
      </c>
      <c r="O208" s="13">
        <f t="shared" si="7"/>
        <v>-54126.87811739184</v>
      </c>
      <c r="P208" s="12">
        <f t="shared" si="8"/>
        <v>-4.6818699844518403E-3</v>
      </c>
    </row>
    <row r="209" spans="1:16" ht="14.4" x14ac:dyDescent="0.3">
      <c r="A209" s="7" t="s">
        <v>264</v>
      </c>
      <c r="B209" s="8">
        <v>45289</v>
      </c>
      <c r="C209" s="9">
        <v>1073.3800000000001</v>
      </c>
      <c r="D209" s="8">
        <v>45379</v>
      </c>
      <c r="E209" s="9">
        <v>799.35</v>
      </c>
      <c r="F209" s="17">
        <v>-25.53</v>
      </c>
      <c r="G209" s="11"/>
      <c r="H209" s="12">
        <f t="shared" si="0"/>
        <v>-0.25529635357468933</v>
      </c>
      <c r="I209" s="13">
        <f t="shared" si="1"/>
        <v>-51059.270714937862</v>
      </c>
      <c r="J209" s="13">
        <f t="shared" si="2"/>
        <v>0</v>
      </c>
      <c r="K209" s="13">
        <f t="shared" si="3"/>
        <v>-51059.270714937862</v>
      </c>
      <c r="L209" s="13">
        <f t="shared" si="4"/>
        <v>1455766.6963221459</v>
      </c>
      <c r="M209" s="13">
        <f t="shared" si="5"/>
        <v>11455766.696322147</v>
      </c>
      <c r="N209" s="13">
        <f t="shared" si="6"/>
        <v>11560952.845154475</v>
      </c>
      <c r="O209" s="13">
        <f t="shared" si="7"/>
        <v>-105186.14883232862</v>
      </c>
      <c r="P209" s="12">
        <f t="shared" si="8"/>
        <v>-9.0983978778544309E-3</v>
      </c>
    </row>
    <row r="210" spans="1:16" ht="14.4" x14ac:dyDescent="0.3">
      <c r="A210" s="7" t="s">
        <v>265</v>
      </c>
      <c r="B210" s="8">
        <v>45289</v>
      </c>
      <c r="C210" s="9">
        <v>887.5</v>
      </c>
      <c r="D210" s="8">
        <v>45379</v>
      </c>
      <c r="E210" s="9">
        <v>929.7</v>
      </c>
      <c r="F210" s="17">
        <v>4.75</v>
      </c>
      <c r="G210" s="11"/>
      <c r="H210" s="12">
        <f t="shared" si="0"/>
        <v>4.7549295774647941E-2</v>
      </c>
      <c r="I210" s="13">
        <f t="shared" si="1"/>
        <v>9509.8591549295888</v>
      </c>
      <c r="J210" s="13">
        <f t="shared" si="2"/>
        <v>9509.8591549295888</v>
      </c>
      <c r="K210" s="13">
        <f t="shared" si="3"/>
        <v>0</v>
      </c>
      <c r="L210" s="13">
        <f t="shared" si="4"/>
        <v>1465276.5554770755</v>
      </c>
      <c r="M210" s="13">
        <f t="shared" si="5"/>
        <v>11465276.555477075</v>
      </c>
      <c r="N210" s="13">
        <f t="shared" si="6"/>
        <v>11560952.845154475</v>
      </c>
      <c r="O210" s="13">
        <f t="shared" si="7"/>
        <v>-95676.289677400142</v>
      </c>
      <c r="P210" s="12">
        <f t="shared" si="8"/>
        <v>-8.2758135042044385E-3</v>
      </c>
    </row>
    <row r="211" spans="1:16" ht="14.4" x14ac:dyDescent="0.3">
      <c r="A211" s="7" t="s">
        <v>266</v>
      </c>
      <c r="B211" s="8">
        <v>45289</v>
      </c>
      <c r="C211" s="9">
        <v>722.8</v>
      </c>
      <c r="D211" s="8">
        <v>45379</v>
      </c>
      <c r="E211" s="9">
        <v>677.1</v>
      </c>
      <c r="F211" s="17">
        <v>-6.32</v>
      </c>
      <c r="G211" s="11"/>
      <c r="H211" s="12">
        <f t="shared" si="0"/>
        <v>-6.3226342003320335E-2</v>
      </c>
      <c r="I211" s="13">
        <f t="shared" si="1"/>
        <v>-12645.268400664067</v>
      </c>
      <c r="J211" s="13">
        <f t="shared" si="2"/>
        <v>0</v>
      </c>
      <c r="K211" s="13">
        <f t="shared" si="3"/>
        <v>-12645.268400664067</v>
      </c>
      <c r="L211" s="13">
        <f t="shared" si="4"/>
        <v>1452631.2870764115</v>
      </c>
      <c r="M211" s="13">
        <f t="shared" si="5"/>
        <v>11452631.287076412</v>
      </c>
      <c r="N211" s="13">
        <f t="shared" si="6"/>
        <v>11560952.845154475</v>
      </c>
      <c r="O211" s="13">
        <f t="shared" si="7"/>
        <v>-108321.55807806365</v>
      </c>
      <c r="P211" s="12">
        <f t="shared" si="8"/>
        <v>-9.369604696853712E-3</v>
      </c>
    </row>
    <row r="212" spans="1:16" ht="14.4" x14ac:dyDescent="0.3">
      <c r="A212" s="7" t="s">
        <v>267</v>
      </c>
      <c r="B212" s="8">
        <v>45289</v>
      </c>
      <c r="C212" s="9">
        <v>314.75</v>
      </c>
      <c r="D212" s="8">
        <v>45379</v>
      </c>
      <c r="E212" s="9">
        <v>332.95</v>
      </c>
      <c r="F212" s="17">
        <v>5.78</v>
      </c>
      <c r="G212" s="11"/>
      <c r="H212" s="12">
        <f t="shared" si="0"/>
        <v>5.7823669579030942E-2</v>
      </c>
      <c r="I212" s="13">
        <f t="shared" si="1"/>
        <v>11564.733915806188</v>
      </c>
      <c r="J212" s="13">
        <f t="shared" si="2"/>
        <v>11564.733915806188</v>
      </c>
      <c r="K212" s="13">
        <f t="shared" si="3"/>
        <v>0</v>
      </c>
      <c r="L212" s="13">
        <f t="shared" si="4"/>
        <v>1464196.0209922178</v>
      </c>
      <c r="M212" s="13">
        <f t="shared" si="5"/>
        <v>11464196.020992218</v>
      </c>
      <c r="N212" s="13">
        <f t="shared" si="6"/>
        <v>11560952.845154475</v>
      </c>
      <c r="O212" s="13">
        <f t="shared" si="7"/>
        <v>-96756.824162257835</v>
      </c>
      <c r="P212" s="12">
        <f t="shared" si="8"/>
        <v>-8.3692776415753116E-3</v>
      </c>
    </row>
    <row r="213" spans="1:16" ht="14.4" x14ac:dyDescent="0.3">
      <c r="A213" s="7" t="s">
        <v>268</v>
      </c>
      <c r="B213" s="8">
        <v>45198</v>
      </c>
      <c r="C213" s="9">
        <v>709.65</v>
      </c>
      <c r="D213" s="8">
        <v>45289</v>
      </c>
      <c r="E213" s="9">
        <v>613.75</v>
      </c>
      <c r="F213" s="17">
        <v>-13.51</v>
      </c>
      <c r="G213" s="11"/>
      <c r="H213" s="12">
        <f t="shared" si="0"/>
        <v>-0.13513703938561261</v>
      </c>
      <c r="I213" s="13">
        <f t="shared" si="1"/>
        <v>-27027.407877122521</v>
      </c>
      <c r="J213" s="13">
        <f t="shared" si="2"/>
        <v>0</v>
      </c>
      <c r="K213" s="13">
        <f t="shared" si="3"/>
        <v>-27027.407877122521</v>
      </c>
      <c r="L213" s="13">
        <f t="shared" si="4"/>
        <v>1437168.6131150953</v>
      </c>
      <c r="M213" s="13">
        <f t="shared" si="5"/>
        <v>11437168.613115095</v>
      </c>
      <c r="N213" s="13">
        <f t="shared" si="6"/>
        <v>11560952.845154475</v>
      </c>
      <c r="O213" s="13">
        <f t="shared" si="7"/>
        <v>-123784.23203938082</v>
      </c>
      <c r="P213" s="12">
        <f t="shared" si="8"/>
        <v>-1.0707096006473404E-2</v>
      </c>
    </row>
    <row r="214" spans="1:16" ht="14.4" x14ac:dyDescent="0.3">
      <c r="A214" s="7" t="s">
        <v>269</v>
      </c>
      <c r="B214" s="8">
        <v>45198</v>
      </c>
      <c r="C214" s="9">
        <v>1076.5999999999999</v>
      </c>
      <c r="D214" s="8">
        <v>45289</v>
      </c>
      <c r="E214" s="9">
        <v>934.55</v>
      </c>
      <c r="F214" s="17">
        <v>-13.19</v>
      </c>
      <c r="G214" s="11"/>
      <c r="H214" s="12">
        <f t="shared" si="0"/>
        <v>-0.13194315437488385</v>
      </c>
      <c r="I214" s="13">
        <f t="shared" si="1"/>
        <v>-26388.63087497677</v>
      </c>
      <c r="J214" s="13">
        <f t="shared" si="2"/>
        <v>0</v>
      </c>
      <c r="K214" s="13">
        <f t="shared" si="3"/>
        <v>-26388.63087497677</v>
      </c>
      <c r="L214" s="13">
        <f t="shared" si="4"/>
        <v>1410779.9822401186</v>
      </c>
      <c r="M214" s="13">
        <f t="shared" si="5"/>
        <v>11410779.982240118</v>
      </c>
      <c r="N214" s="13">
        <f t="shared" si="6"/>
        <v>11560952.845154475</v>
      </c>
      <c r="O214" s="13">
        <f t="shared" si="7"/>
        <v>-150172.86291435733</v>
      </c>
      <c r="P214" s="12">
        <f t="shared" si="8"/>
        <v>-1.2989661399518558E-2</v>
      </c>
    </row>
    <row r="215" spans="1:16" ht="14.4" x14ac:dyDescent="0.3">
      <c r="A215" s="7" t="s">
        <v>270</v>
      </c>
      <c r="B215" s="8">
        <v>45198</v>
      </c>
      <c r="C215" s="9">
        <v>719.95</v>
      </c>
      <c r="D215" s="8">
        <v>45289</v>
      </c>
      <c r="E215" s="9">
        <v>760.35</v>
      </c>
      <c r="F215" s="17">
        <v>5.61</v>
      </c>
      <c r="G215" s="11"/>
      <c r="H215" s="12">
        <f t="shared" si="0"/>
        <v>5.6115007986665709E-2</v>
      </c>
      <c r="I215" s="13">
        <f t="shared" si="1"/>
        <v>11223.001597333141</v>
      </c>
      <c r="J215" s="13">
        <f t="shared" si="2"/>
        <v>11223.001597333141</v>
      </c>
      <c r="K215" s="13">
        <f t="shared" si="3"/>
        <v>0</v>
      </c>
      <c r="L215" s="13">
        <f t="shared" si="4"/>
        <v>1422002.9838374518</v>
      </c>
      <c r="M215" s="13">
        <f t="shared" si="5"/>
        <v>11422002.983837452</v>
      </c>
      <c r="N215" s="13">
        <f t="shared" si="6"/>
        <v>11560952.845154475</v>
      </c>
      <c r="O215" s="13">
        <f t="shared" si="7"/>
        <v>-138949.86131702363</v>
      </c>
      <c r="P215" s="12">
        <f t="shared" si="8"/>
        <v>-1.201889352703843E-2</v>
      </c>
    </row>
    <row r="216" spans="1:16" ht="14.4" x14ac:dyDescent="0.3">
      <c r="A216" s="7" t="s">
        <v>271</v>
      </c>
      <c r="B216" s="8">
        <v>45198</v>
      </c>
      <c r="C216" s="9">
        <v>703.3</v>
      </c>
      <c r="D216" s="8">
        <v>45289</v>
      </c>
      <c r="E216" s="9">
        <v>729.4</v>
      </c>
      <c r="F216" s="17">
        <v>3.71</v>
      </c>
      <c r="G216" s="11"/>
      <c r="H216" s="12">
        <f t="shared" si="0"/>
        <v>3.7110763543295927E-2</v>
      </c>
      <c r="I216" s="13">
        <f t="shared" si="1"/>
        <v>7422.152708659185</v>
      </c>
      <c r="J216" s="13">
        <f t="shared" si="2"/>
        <v>7422.152708659185</v>
      </c>
      <c r="K216" s="13">
        <f t="shared" si="3"/>
        <v>0</v>
      </c>
      <c r="L216" s="13">
        <f t="shared" si="4"/>
        <v>1429425.136546111</v>
      </c>
      <c r="M216" s="13">
        <f t="shared" si="5"/>
        <v>11429425.136546111</v>
      </c>
      <c r="N216" s="13">
        <f t="shared" si="6"/>
        <v>11560952.845154475</v>
      </c>
      <c r="O216" s="13">
        <f t="shared" si="7"/>
        <v>-131527.70860836469</v>
      </c>
      <c r="P216" s="12">
        <f t="shared" si="8"/>
        <v>-1.1376891712130086E-2</v>
      </c>
    </row>
    <row r="217" spans="1:16" ht="14.4" x14ac:dyDescent="0.3">
      <c r="A217" s="7" t="s">
        <v>272</v>
      </c>
      <c r="B217" s="8">
        <v>45198</v>
      </c>
      <c r="C217" s="9">
        <v>581.28</v>
      </c>
      <c r="D217" s="8">
        <v>45289</v>
      </c>
      <c r="E217" s="9">
        <v>564.4</v>
      </c>
      <c r="F217" s="17">
        <v>-2.9</v>
      </c>
      <c r="G217" s="11"/>
      <c r="H217" s="12">
        <f t="shared" si="0"/>
        <v>-2.9039361409303601E-2</v>
      </c>
      <c r="I217" s="13">
        <f t="shared" si="1"/>
        <v>-5807.8722818607202</v>
      </c>
      <c r="J217" s="13">
        <f t="shared" si="2"/>
        <v>0</v>
      </c>
      <c r="K217" s="13">
        <f t="shared" si="3"/>
        <v>-5807.8722818607202</v>
      </c>
      <c r="L217" s="13">
        <f t="shared" si="4"/>
        <v>1423617.2642642502</v>
      </c>
      <c r="M217" s="13">
        <f t="shared" si="5"/>
        <v>11423617.26426425</v>
      </c>
      <c r="N217" s="13">
        <f t="shared" si="6"/>
        <v>11560952.845154475</v>
      </c>
      <c r="O217" s="13">
        <f t="shared" si="7"/>
        <v>-137335.58089022525</v>
      </c>
      <c r="P217" s="12">
        <f t="shared" si="8"/>
        <v>-1.1879261400827052E-2</v>
      </c>
    </row>
    <row r="218" spans="1:16" ht="14.4" x14ac:dyDescent="0.3">
      <c r="A218" s="7" t="s">
        <v>273</v>
      </c>
      <c r="B218" s="8">
        <v>45198</v>
      </c>
      <c r="C218" s="9">
        <v>384.45</v>
      </c>
      <c r="D218" s="8">
        <v>45289</v>
      </c>
      <c r="E218" s="9">
        <v>354.15</v>
      </c>
      <c r="F218" s="17">
        <v>-7.88</v>
      </c>
      <c r="G218" s="11"/>
      <c r="H218" s="12">
        <f t="shared" si="0"/>
        <v>-7.8813889972688289E-2</v>
      </c>
      <c r="I218" s="13">
        <f t="shared" si="1"/>
        <v>-15762.777994537657</v>
      </c>
      <c r="J218" s="13">
        <f t="shared" si="2"/>
        <v>0</v>
      </c>
      <c r="K218" s="13">
        <f t="shared" si="3"/>
        <v>-15762.777994537657</v>
      </c>
      <c r="L218" s="13">
        <f t="shared" si="4"/>
        <v>1407854.4862697124</v>
      </c>
      <c r="M218" s="13">
        <f t="shared" si="5"/>
        <v>11407854.486269712</v>
      </c>
      <c r="N218" s="13">
        <f t="shared" si="6"/>
        <v>11560952.845154475</v>
      </c>
      <c r="O218" s="13">
        <f t="shared" si="7"/>
        <v>-153098.35888476297</v>
      </c>
      <c r="P218" s="12">
        <f t="shared" si="8"/>
        <v>-1.3242711127303909E-2</v>
      </c>
    </row>
    <row r="219" spans="1:16" ht="14.4" x14ac:dyDescent="0.3">
      <c r="A219" s="7" t="s">
        <v>274</v>
      </c>
      <c r="B219" s="8">
        <v>45198</v>
      </c>
      <c r="C219" s="9">
        <v>136.44999999999999</v>
      </c>
      <c r="D219" s="8">
        <v>45289</v>
      </c>
      <c r="E219" s="9">
        <v>171.03</v>
      </c>
      <c r="F219" s="17">
        <v>25.34</v>
      </c>
      <c r="G219" s="11"/>
      <c r="H219" s="12">
        <f t="shared" si="0"/>
        <v>0.25342616342982788</v>
      </c>
      <c r="I219" s="13">
        <f t="shared" si="1"/>
        <v>50685.232685965573</v>
      </c>
      <c r="J219" s="13">
        <f t="shared" si="2"/>
        <v>50685.232685965573</v>
      </c>
      <c r="K219" s="13">
        <f t="shared" si="3"/>
        <v>0</v>
      </c>
      <c r="L219" s="13">
        <f t="shared" si="4"/>
        <v>1458539.7189556779</v>
      </c>
      <c r="M219" s="13">
        <f t="shared" si="5"/>
        <v>11458539.718955677</v>
      </c>
      <c r="N219" s="13">
        <f t="shared" si="6"/>
        <v>11560952.845154475</v>
      </c>
      <c r="O219" s="13">
        <f t="shared" si="7"/>
        <v>-102413.12619879842</v>
      </c>
      <c r="P219" s="12">
        <f t="shared" si="8"/>
        <v>-8.8585367980047319E-3</v>
      </c>
    </row>
    <row r="220" spans="1:16" ht="14.4" x14ac:dyDescent="0.3">
      <c r="A220" s="7" t="s">
        <v>275</v>
      </c>
      <c r="B220" s="8">
        <v>45198</v>
      </c>
      <c r="C220" s="9">
        <v>295.2</v>
      </c>
      <c r="D220" s="8">
        <v>45289</v>
      </c>
      <c r="E220" s="9">
        <v>376</v>
      </c>
      <c r="F220" s="17">
        <v>27.37</v>
      </c>
      <c r="G220" s="11"/>
      <c r="H220" s="12">
        <f t="shared" si="0"/>
        <v>0.27371273712737132</v>
      </c>
      <c r="I220" s="13">
        <f t="shared" si="1"/>
        <v>54742.547425474266</v>
      </c>
      <c r="J220" s="13">
        <f t="shared" si="2"/>
        <v>54742.547425474266</v>
      </c>
      <c r="K220" s="13">
        <f t="shared" si="3"/>
        <v>0</v>
      </c>
      <c r="L220" s="13">
        <f t="shared" si="4"/>
        <v>1513282.2663811522</v>
      </c>
      <c r="M220" s="13">
        <f t="shared" si="5"/>
        <v>11513282.266381152</v>
      </c>
      <c r="N220" s="13">
        <f t="shared" si="6"/>
        <v>11560952.845154475</v>
      </c>
      <c r="O220" s="13">
        <f t="shared" si="7"/>
        <v>-47670.578773323447</v>
      </c>
      <c r="P220" s="12">
        <f t="shared" si="8"/>
        <v>-4.1234126124217816E-3</v>
      </c>
    </row>
    <row r="221" spans="1:16" ht="14.4" x14ac:dyDescent="0.3">
      <c r="A221" s="7" t="s">
        <v>100</v>
      </c>
      <c r="B221" s="8">
        <v>45198</v>
      </c>
      <c r="C221" s="9">
        <v>453.7</v>
      </c>
      <c r="D221" s="8">
        <v>45289</v>
      </c>
      <c r="E221" s="9">
        <v>417.1</v>
      </c>
      <c r="F221" s="17">
        <v>-8.07</v>
      </c>
      <c r="G221" s="11"/>
      <c r="H221" s="12">
        <f t="shared" si="0"/>
        <v>-8.0670046286092062E-2</v>
      </c>
      <c r="I221" s="13">
        <f t="shared" si="1"/>
        <v>-16134.009257218413</v>
      </c>
      <c r="J221" s="13">
        <f t="shared" si="2"/>
        <v>0</v>
      </c>
      <c r="K221" s="13">
        <f t="shared" si="3"/>
        <v>-16134.009257218413</v>
      </c>
      <c r="L221" s="13">
        <f t="shared" si="4"/>
        <v>1497148.2571239339</v>
      </c>
      <c r="M221" s="13">
        <f t="shared" si="5"/>
        <v>11497148.257123934</v>
      </c>
      <c r="N221" s="13">
        <f t="shared" si="6"/>
        <v>11560952.845154475</v>
      </c>
      <c r="O221" s="13">
        <f t="shared" si="7"/>
        <v>-63804.588030541316</v>
      </c>
      <c r="P221" s="12">
        <f t="shared" si="8"/>
        <v>-5.5189731231611791E-3</v>
      </c>
    </row>
    <row r="222" spans="1:16" ht="14.4" x14ac:dyDescent="0.3">
      <c r="A222" s="7" t="s">
        <v>276</v>
      </c>
      <c r="B222" s="8">
        <v>45198</v>
      </c>
      <c r="C222" s="9">
        <v>37.299999999999997</v>
      </c>
      <c r="D222" s="8">
        <v>45289</v>
      </c>
      <c r="E222" s="9">
        <v>38</v>
      </c>
      <c r="F222" s="17">
        <v>1.88</v>
      </c>
      <c r="G222" s="11"/>
      <c r="H222" s="12">
        <f t="shared" si="0"/>
        <v>1.876675603217166E-2</v>
      </c>
      <c r="I222" s="13">
        <f t="shared" si="1"/>
        <v>3753.3512064343322</v>
      </c>
      <c r="J222" s="13">
        <f t="shared" si="2"/>
        <v>3753.3512064343322</v>
      </c>
      <c r="K222" s="13">
        <f t="shared" si="3"/>
        <v>0</v>
      </c>
      <c r="L222" s="13">
        <f t="shared" si="4"/>
        <v>1500901.6083303683</v>
      </c>
      <c r="M222" s="13">
        <f t="shared" si="5"/>
        <v>11500901.608330369</v>
      </c>
      <c r="N222" s="13">
        <f t="shared" si="6"/>
        <v>11560952.845154475</v>
      </c>
      <c r="O222" s="13">
        <f t="shared" si="7"/>
        <v>-60051.236824106425</v>
      </c>
      <c r="P222" s="12">
        <f t="shared" si="8"/>
        <v>-5.1943155229869833E-3</v>
      </c>
    </row>
    <row r="223" spans="1:16" ht="14.4" x14ac:dyDescent="0.3">
      <c r="A223" s="7" t="s">
        <v>277</v>
      </c>
      <c r="B223" s="8">
        <v>45198</v>
      </c>
      <c r="C223" s="9">
        <v>61.25</v>
      </c>
      <c r="D223" s="8">
        <v>45289</v>
      </c>
      <c r="E223" s="9">
        <v>77.849999999999994</v>
      </c>
      <c r="F223" s="17">
        <v>27.1</v>
      </c>
      <c r="G223" s="11"/>
      <c r="H223" s="12">
        <f t="shared" si="0"/>
        <v>0.27102040816326523</v>
      </c>
      <c r="I223" s="13">
        <f t="shared" si="1"/>
        <v>54204.081632653048</v>
      </c>
      <c r="J223" s="13">
        <f t="shared" si="2"/>
        <v>54204.081632653048</v>
      </c>
      <c r="K223" s="13">
        <f t="shared" si="3"/>
        <v>0</v>
      </c>
      <c r="L223" s="13">
        <f t="shared" si="4"/>
        <v>1555105.6899630213</v>
      </c>
      <c r="M223" s="13">
        <f t="shared" si="5"/>
        <v>11555105.68996302</v>
      </c>
      <c r="N223" s="13">
        <f t="shared" si="6"/>
        <v>11560952.845154475</v>
      </c>
      <c r="O223" s="13">
        <f t="shared" si="7"/>
        <v>-5847.1551914550364</v>
      </c>
      <c r="P223" s="12">
        <f t="shared" si="8"/>
        <v>-5.0576758419231384E-4</v>
      </c>
    </row>
    <row r="224" spans="1:16" ht="14.4" x14ac:dyDescent="0.3">
      <c r="A224" s="7" t="s">
        <v>278</v>
      </c>
      <c r="B224" s="8">
        <v>45198</v>
      </c>
      <c r="C224" s="9">
        <v>86.85</v>
      </c>
      <c r="D224" s="8">
        <v>45289</v>
      </c>
      <c r="E224" s="9">
        <v>97.2</v>
      </c>
      <c r="F224" s="17">
        <v>11.92</v>
      </c>
      <c r="G224" s="11"/>
      <c r="H224" s="12">
        <f t="shared" si="0"/>
        <v>0.11917098445595865</v>
      </c>
      <c r="I224" s="13">
        <f t="shared" si="1"/>
        <v>23834.196891191732</v>
      </c>
      <c r="J224" s="13">
        <f t="shared" si="2"/>
        <v>23834.196891191732</v>
      </c>
      <c r="K224" s="13">
        <f t="shared" si="3"/>
        <v>0</v>
      </c>
      <c r="L224" s="13">
        <f t="shared" si="4"/>
        <v>1578939.886854213</v>
      </c>
      <c r="M224" s="13">
        <f t="shared" si="5"/>
        <v>11578939.886854213</v>
      </c>
      <c r="N224" s="13">
        <f t="shared" si="6"/>
        <v>11578939.886854213</v>
      </c>
      <c r="O224" s="13">
        <f t="shared" si="7"/>
        <v>0</v>
      </c>
      <c r="P224" s="12">
        <f t="shared" si="8"/>
        <v>0</v>
      </c>
    </row>
    <row r="225" spans="1:16" ht="14.4" x14ac:dyDescent="0.3">
      <c r="A225" s="7" t="s">
        <v>279</v>
      </c>
      <c r="B225" s="8">
        <v>45198</v>
      </c>
      <c r="C225" s="9">
        <v>119.49</v>
      </c>
      <c r="D225" s="8">
        <v>45289</v>
      </c>
      <c r="E225" s="9">
        <v>121.97</v>
      </c>
      <c r="F225" s="17">
        <v>2.08</v>
      </c>
      <c r="G225" s="11"/>
      <c r="H225" s="12">
        <f t="shared" si="0"/>
        <v>2.0754874884927645E-2</v>
      </c>
      <c r="I225" s="13">
        <f t="shared" si="1"/>
        <v>4150.9749769855289</v>
      </c>
      <c r="J225" s="13">
        <f t="shared" si="2"/>
        <v>4150.9749769855289</v>
      </c>
      <c r="K225" s="13">
        <f t="shared" si="3"/>
        <v>0</v>
      </c>
      <c r="L225" s="13">
        <f t="shared" si="4"/>
        <v>1583090.8618311984</v>
      </c>
      <c r="M225" s="13">
        <f t="shared" si="5"/>
        <v>11583090.861831199</v>
      </c>
      <c r="N225" s="13">
        <f t="shared" si="6"/>
        <v>11583090.861831199</v>
      </c>
      <c r="O225" s="13">
        <f t="shared" si="7"/>
        <v>0</v>
      </c>
      <c r="P225" s="12">
        <f t="shared" si="8"/>
        <v>0</v>
      </c>
    </row>
    <row r="226" spans="1:16" ht="14.4" x14ac:dyDescent="0.3">
      <c r="A226" s="7" t="s">
        <v>280</v>
      </c>
      <c r="B226" s="8">
        <v>45198</v>
      </c>
      <c r="C226" s="9">
        <v>437.4</v>
      </c>
      <c r="D226" s="8">
        <v>45289</v>
      </c>
      <c r="E226" s="9">
        <v>409.05</v>
      </c>
      <c r="F226" s="17">
        <v>-6.48</v>
      </c>
      <c r="G226" s="11"/>
      <c r="H226" s="12">
        <f t="shared" si="0"/>
        <v>-6.4814814814814742E-2</v>
      </c>
      <c r="I226" s="13">
        <f t="shared" si="1"/>
        <v>-12962.962962962949</v>
      </c>
      <c r="J226" s="13">
        <f t="shared" si="2"/>
        <v>0</v>
      </c>
      <c r="K226" s="13">
        <f t="shared" si="3"/>
        <v>-12962.962962962949</v>
      </c>
      <c r="L226" s="13">
        <f t="shared" si="4"/>
        <v>1570127.8988682355</v>
      </c>
      <c r="M226" s="13">
        <f t="shared" si="5"/>
        <v>11570127.898868235</v>
      </c>
      <c r="N226" s="13">
        <f t="shared" si="6"/>
        <v>11583090.861831199</v>
      </c>
      <c r="O226" s="13">
        <f t="shared" si="7"/>
        <v>-12962.96296296455</v>
      </c>
      <c r="P226" s="12">
        <f t="shared" si="8"/>
        <v>-1.1191281427032857E-3</v>
      </c>
    </row>
    <row r="227" spans="1:16" ht="14.4" x14ac:dyDescent="0.3">
      <c r="A227" s="7" t="s">
        <v>281</v>
      </c>
      <c r="B227" s="8">
        <v>45198</v>
      </c>
      <c r="C227" s="9">
        <v>614.20000000000005</v>
      </c>
      <c r="D227" s="8">
        <v>45289</v>
      </c>
      <c r="E227" s="9">
        <v>925.35</v>
      </c>
      <c r="F227" s="17">
        <v>50.66</v>
      </c>
      <c r="G227" s="11"/>
      <c r="H227" s="12">
        <f t="shared" si="0"/>
        <v>0.50659394334093122</v>
      </c>
      <c r="I227" s="13">
        <f t="shared" si="1"/>
        <v>101318.78866818624</v>
      </c>
      <c r="J227" s="13">
        <f t="shared" si="2"/>
        <v>101318.78866818624</v>
      </c>
      <c r="K227" s="13">
        <f t="shared" si="3"/>
        <v>0</v>
      </c>
      <c r="L227" s="13">
        <f t="shared" si="4"/>
        <v>1671446.6875364217</v>
      </c>
      <c r="M227" s="13">
        <f t="shared" si="5"/>
        <v>11671446.687536422</v>
      </c>
      <c r="N227" s="13">
        <f t="shared" si="6"/>
        <v>11671446.687536422</v>
      </c>
      <c r="O227" s="13">
        <f t="shared" si="7"/>
        <v>0</v>
      </c>
      <c r="P227" s="12">
        <f t="shared" si="8"/>
        <v>0</v>
      </c>
    </row>
    <row r="228" spans="1:16" ht="14.4" x14ac:dyDescent="0.3">
      <c r="A228" s="7" t="s">
        <v>282</v>
      </c>
      <c r="B228" s="8">
        <v>45198</v>
      </c>
      <c r="C228" s="9">
        <v>13.4</v>
      </c>
      <c r="D228" s="8">
        <v>45289</v>
      </c>
      <c r="E228" s="9">
        <v>11.6</v>
      </c>
      <c r="F228" s="17">
        <v>-13.43</v>
      </c>
      <c r="G228" s="11"/>
      <c r="H228" s="12">
        <f t="shared" si="0"/>
        <v>-0.13432835820895528</v>
      </c>
      <c r="I228" s="13">
        <f t="shared" si="1"/>
        <v>-26865.671641791057</v>
      </c>
      <c r="J228" s="13">
        <f t="shared" si="2"/>
        <v>0</v>
      </c>
      <c r="K228" s="13">
        <f t="shared" si="3"/>
        <v>-26865.671641791057</v>
      </c>
      <c r="L228" s="13">
        <f t="shared" si="4"/>
        <v>1644581.0158946307</v>
      </c>
      <c r="M228" s="13">
        <f t="shared" si="5"/>
        <v>11644581.015894631</v>
      </c>
      <c r="N228" s="13">
        <f t="shared" si="6"/>
        <v>11671446.687536422</v>
      </c>
      <c r="O228" s="13">
        <f t="shared" si="7"/>
        <v>-26865.671641791239</v>
      </c>
      <c r="P228" s="12">
        <f t="shared" si="8"/>
        <v>-2.3018287587673481E-3</v>
      </c>
    </row>
    <row r="229" spans="1:16" ht="14.4" x14ac:dyDescent="0.3">
      <c r="A229" s="7" t="s">
        <v>283</v>
      </c>
      <c r="B229" s="8">
        <v>45198</v>
      </c>
      <c r="C229" s="9">
        <v>146</v>
      </c>
      <c r="D229" s="8">
        <v>45289</v>
      </c>
      <c r="E229" s="9">
        <v>162.9</v>
      </c>
      <c r="F229" s="17">
        <v>11.58</v>
      </c>
      <c r="G229" s="11"/>
      <c r="H229" s="12">
        <f t="shared" si="0"/>
        <v>0.11575342465753428</v>
      </c>
      <c r="I229" s="13">
        <f t="shared" si="1"/>
        <v>23150.684931506858</v>
      </c>
      <c r="J229" s="13">
        <f t="shared" si="2"/>
        <v>23150.684931506858</v>
      </c>
      <c r="K229" s="13">
        <f t="shared" si="3"/>
        <v>0</v>
      </c>
      <c r="L229" s="13">
        <f t="shared" si="4"/>
        <v>1667731.7008261376</v>
      </c>
      <c r="M229" s="13">
        <f t="shared" si="5"/>
        <v>11667731.700826138</v>
      </c>
      <c r="N229" s="13">
        <f t="shared" si="6"/>
        <v>11671446.687536422</v>
      </c>
      <c r="O229" s="13">
        <f t="shared" si="7"/>
        <v>-3714.9867102839053</v>
      </c>
      <c r="P229" s="12">
        <f t="shared" si="8"/>
        <v>-3.1829702090410309E-4</v>
      </c>
    </row>
    <row r="230" spans="1:16" ht="14.4" x14ac:dyDescent="0.3">
      <c r="A230" s="7" t="s">
        <v>284</v>
      </c>
      <c r="B230" s="8">
        <v>45198</v>
      </c>
      <c r="C230" s="9">
        <v>73.150000000000006</v>
      </c>
      <c r="D230" s="8">
        <v>45289</v>
      </c>
      <c r="E230" s="9">
        <v>90.95</v>
      </c>
      <c r="F230" s="17">
        <v>24.33</v>
      </c>
      <c r="G230" s="11"/>
      <c r="H230" s="12">
        <f t="shared" si="0"/>
        <v>0.24333561175666432</v>
      </c>
      <c r="I230" s="13">
        <f t="shared" si="1"/>
        <v>48667.122351332866</v>
      </c>
      <c r="J230" s="13">
        <f t="shared" si="2"/>
        <v>48667.122351332866</v>
      </c>
      <c r="K230" s="13">
        <f t="shared" si="3"/>
        <v>0</v>
      </c>
      <c r="L230" s="13">
        <f t="shared" si="4"/>
        <v>1716398.8231774704</v>
      </c>
      <c r="M230" s="13">
        <f t="shared" si="5"/>
        <v>11716398.82317747</v>
      </c>
      <c r="N230" s="13">
        <f t="shared" si="6"/>
        <v>11716398.82317747</v>
      </c>
      <c r="O230" s="13">
        <f t="shared" si="7"/>
        <v>0</v>
      </c>
      <c r="P230" s="12">
        <f t="shared" si="8"/>
        <v>0</v>
      </c>
    </row>
    <row r="231" spans="1:16" ht="14.4" x14ac:dyDescent="0.3">
      <c r="A231" s="7" t="s">
        <v>285</v>
      </c>
      <c r="B231" s="8">
        <v>45198</v>
      </c>
      <c r="C231" s="9">
        <v>327.33999999999997</v>
      </c>
      <c r="D231" s="8">
        <v>45289</v>
      </c>
      <c r="E231" s="9">
        <v>428.21</v>
      </c>
      <c r="F231" s="17">
        <v>30.82</v>
      </c>
      <c r="G231" s="11"/>
      <c r="H231" s="12">
        <f t="shared" si="0"/>
        <v>0.30815054683204013</v>
      </c>
      <c r="I231" s="13">
        <f t="shared" si="1"/>
        <v>61630.109366408025</v>
      </c>
      <c r="J231" s="13">
        <f t="shared" si="2"/>
        <v>61630.109366408025</v>
      </c>
      <c r="K231" s="13">
        <f t="shared" si="3"/>
        <v>0</v>
      </c>
      <c r="L231" s="13">
        <f t="shared" si="4"/>
        <v>1778028.9325438784</v>
      </c>
      <c r="M231" s="13">
        <f t="shared" si="5"/>
        <v>11778028.932543878</v>
      </c>
      <c r="N231" s="13">
        <f t="shared" si="6"/>
        <v>11778028.932543878</v>
      </c>
      <c r="O231" s="13">
        <f t="shared" si="7"/>
        <v>0</v>
      </c>
      <c r="P231" s="12">
        <f t="shared" si="8"/>
        <v>0</v>
      </c>
    </row>
    <row r="232" spans="1:16" ht="14.4" x14ac:dyDescent="0.3">
      <c r="A232" s="7" t="s">
        <v>286</v>
      </c>
      <c r="B232" s="8">
        <v>45198</v>
      </c>
      <c r="C232" s="9">
        <v>1053.78</v>
      </c>
      <c r="D232" s="8">
        <v>45289</v>
      </c>
      <c r="E232" s="9">
        <v>983.75</v>
      </c>
      <c r="F232" s="17">
        <v>-6.65</v>
      </c>
      <c r="G232" s="11"/>
      <c r="H232" s="12">
        <f t="shared" si="0"/>
        <v>-6.645599650780995E-2</v>
      </c>
      <c r="I232" s="13">
        <f t="shared" si="1"/>
        <v>-13291.19930156199</v>
      </c>
      <c r="J232" s="13">
        <f t="shared" si="2"/>
        <v>0</v>
      </c>
      <c r="K232" s="13">
        <f t="shared" si="3"/>
        <v>-13291.19930156199</v>
      </c>
      <c r="L232" s="13">
        <f t="shared" si="4"/>
        <v>1764737.7332423164</v>
      </c>
      <c r="M232" s="13">
        <f t="shared" si="5"/>
        <v>11764737.733242316</v>
      </c>
      <c r="N232" s="13">
        <f t="shared" si="6"/>
        <v>11778028.932543878</v>
      </c>
      <c r="O232" s="13">
        <f t="shared" si="7"/>
        <v>-13291.199301561341</v>
      </c>
      <c r="P232" s="12">
        <f t="shared" si="8"/>
        <v>-1.1284739898062587E-3</v>
      </c>
    </row>
    <row r="233" spans="1:16" ht="14.4" x14ac:dyDescent="0.3">
      <c r="A233" s="7" t="s">
        <v>287</v>
      </c>
      <c r="B233" s="8">
        <v>45198</v>
      </c>
      <c r="C233" s="9">
        <v>83.88</v>
      </c>
      <c r="D233" s="8">
        <v>45289</v>
      </c>
      <c r="E233" s="9">
        <v>82.42</v>
      </c>
      <c r="F233" s="17">
        <v>-1.74</v>
      </c>
      <c r="G233" s="11"/>
      <c r="H233" s="12">
        <f t="shared" si="0"/>
        <v>-1.7405817835002311E-2</v>
      </c>
      <c r="I233" s="13">
        <f t="shared" si="1"/>
        <v>-3481.1635670004621</v>
      </c>
      <c r="J233" s="13">
        <f t="shared" si="2"/>
        <v>0</v>
      </c>
      <c r="K233" s="13">
        <f t="shared" si="3"/>
        <v>-3481.1635670004621</v>
      </c>
      <c r="L233" s="13">
        <f t="shared" si="4"/>
        <v>1761256.5696753159</v>
      </c>
      <c r="M233" s="13">
        <f t="shared" si="5"/>
        <v>11761256.569675315</v>
      </c>
      <c r="N233" s="13">
        <f t="shared" si="6"/>
        <v>11778028.932543878</v>
      </c>
      <c r="O233" s="13">
        <f t="shared" si="7"/>
        <v>-16772.362868562341</v>
      </c>
      <c r="P233" s="12">
        <f t="shared" si="8"/>
        <v>-1.4240381785969821E-3</v>
      </c>
    </row>
    <row r="234" spans="1:16" ht="14.4" x14ac:dyDescent="0.3">
      <c r="A234" s="7" t="s">
        <v>288</v>
      </c>
      <c r="B234" s="8">
        <v>45198</v>
      </c>
      <c r="C234" s="9">
        <v>26.51</v>
      </c>
      <c r="D234" s="8">
        <v>45289</v>
      </c>
      <c r="E234" s="9">
        <v>36.85</v>
      </c>
      <c r="F234" s="17">
        <v>39</v>
      </c>
      <c r="G234" s="11"/>
      <c r="H234" s="12">
        <f t="shared" si="0"/>
        <v>0.39004149377593356</v>
      </c>
      <c r="I234" s="13">
        <f t="shared" si="1"/>
        <v>78008.298755186712</v>
      </c>
      <c r="J234" s="13">
        <f t="shared" si="2"/>
        <v>78008.298755186712</v>
      </c>
      <c r="K234" s="13">
        <f t="shared" si="3"/>
        <v>0</v>
      </c>
      <c r="L234" s="13">
        <f t="shared" si="4"/>
        <v>1839264.8684305025</v>
      </c>
      <c r="M234" s="13">
        <f t="shared" si="5"/>
        <v>11839264.868430503</v>
      </c>
      <c r="N234" s="13">
        <f t="shared" si="6"/>
        <v>11839264.868430503</v>
      </c>
      <c r="O234" s="13">
        <f t="shared" si="7"/>
        <v>0</v>
      </c>
      <c r="P234" s="12">
        <f t="shared" si="8"/>
        <v>0</v>
      </c>
    </row>
    <row r="235" spans="1:16" ht="14.4" x14ac:dyDescent="0.3">
      <c r="A235" s="7" t="s">
        <v>289</v>
      </c>
      <c r="B235" s="8">
        <v>45198</v>
      </c>
      <c r="C235" s="9">
        <v>841.8</v>
      </c>
      <c r="D235" s="8">
        <v>45289</v>
      </c>
      <c r="E235" s="9">
        <v>799.65</v>
      </c>
      <c r="F235" s="17">
        <v>-5.01</v>
      </c>
      <c r="G235" s="11"/>
      <c r="H235" s="12">
        <f t="shared" si="0"/>
        <v>-5.0071275837491068E-2</v>
      </c>
      <c r="I235" s="13">
        <f t="shared" si="1"/>
        <v>-10014.255167498213</v>
      </c>
      <c r="J235" s="13">
        <f t="shared" si="2"/>
        <v>0</v>
      </c>
      <c r="K235" s="13">
        <f t="shared" si="3"/>
        <v>-10014.255167498213</v>
      </c>
      <c r="L235" s="13">
        <f t="shared" si="4"/>
        <v>1829250.6132630042</v>
      </c>
      <c r="M235" s="13">
        <f t="shared" si="5"/>
        <v>11829250.613263004</v>
      </c>
      <c r="N235" s="13">
        <f t="shared" si="6"/>
        <v>11839264.868430503</v>
      </c>
      <c r="O235" s="13">
        <f t="shared" si="7"/>
        <v>-10014.255167499185</v>
      </c>
      <c r="P235" s="12">
        <f t="shared" si="8"/>
        <v>-8.4585109622830376E-4</v>
      </c>
    </row>
    <row r="236" spans="1:16" ht="14.4" x14ac:dyDescent="0.3">
      <c r="A236" s="7" t="s">
        <v>290</v>
      </c>
      <c r="B236" s="8">
        <v>45198</v>
      </c>
      <c r="C236" s="9">
        <v>7.62</v>
      </c>
      <c r="D236" s="8">
        <v>45289</v>
      </c>
      <c r="E236" s="9">
        <v>11.8</v>
      </c>
      <c r="F236" s="17">
        <v>54.86</v>
      </c>
      <c r="G236" s="11"/>
      <c r="H236" s="12">
        <f t="shared" si="0"/>
        <v>0.54855643044619429</v>
      </c>
      <c r="I236" s="13">
        <f t="shared" si="1"/>
        <v>109711.28608923886</v>
      </c>
      <c r="J236" s="13">
        <f t="shared" si="2"/>
        <v>109711.28608923886</v>
      </c>
      <c r="K236" s="13">
        <f t="shared" si="3"/>
        <v>0</v>
      </c>
      <c r="L236" s="13">
        <f t="shared" si="4"/>
        <v>1938961.8993522432</v>
      </c>
      <c r="M236" s="13">
        <f t="shared" si="5"/>
        <v>11938961.899352243</v>
      </c>
      <c r="N236" s="13">
        <f t="shared" si="6"/>
        <v>11938961.899352243</v>
      </c>
      <c r="O236" s="13">
        <f t="shared" si="7"/>
        <v>0</v>
      </c>
      <c r="P236" s="12">
        <f t="shared" si="8"/>
        <v>0</v>
      </c>
    </row>
    <row r="237" spans="1:16" ht="14.4" x14ac:dyDescent="0.3">
      <c r="A237" s="7" t="s">
        <v>291</v>
      </c>
      <c r="B237" s="8">
        <v>45198</v>
      </c>
      <c r="C237" s="9">
        <v>86.9</v>
      </c>
      <c r="D237" s="8">
        <v>45289</v>
      </c>
      <c r="E237" s="9">
        <v>146.80000000000001</v>
      </c>
      <c r="F237" s="17">
        <v>68.930000000000007</v>
      </c>
      <c r="G237" s="11"/>
      <c r="H237" s="12">
        <f t="shared" si="0"/>
        <v>0.68929804372842352</v>
      </c>
      <c r="I237" s="13">
        <f t="shared" si="1"/>
        <v>137859.6087456847</v>
      </c>
      <c r="J237" s="13">
        <f t="shared" si="2"/>
        <v>137859.6087456847</v>
      </c>
      <c r="K237" s="13">
        <f t="shared" si="3"/>
        <v>0</v>
      </c>
      <c r="L237" s="13">
        <f t="shared" si="4"/>
        <v>2076821.5080979278</v>
      </c>
      <c r="M237" s="13">
        <f t="shared" si="5"/>
        <v>12076821.508097928</v>
      </c>
      <c r="N237" s="13">
        <f t="shared" si="6"/>
        <v>12076821.508097928</v>
      </c>
      <c r="O237" s="13">
        <f t="shared" si="7"/>
        <v>0</v>
      </c>
      <c r="P237" s="12">
        <f t="shared" si="8"/>
        <v>0</v>
      </c>
    </row>
    <row r="238" spans="1:16" ht="14.4" x14ac:dyDescent="0.3">
      <c r="A238" s="7" t="s">
        <v>292</v>
      </c>
      <c r="B238" s="8">
        <v>45198</v>
      </c>
      <c r="C238" s="9">
        <v>681.4</v>
      </c>
      <c r="D238" s="8">
        <v>45289</v>
      </c>
      <c r="E238" s="9">
        <v>706</v>
      </c>
      <c r="F238" s="17">
        <v>3.61</v>
      </c>
      <c r="G238" s="11"/>
      <c r="H238" s="12">
        <f t="shared" si="0"/>
        <v>3.6102142647490496E-2</v>
      </c>
      <c r="I238" s="13">
        <f t="shared" si="1"/>
        <v>7220.4285294980991</v>
      </c>
      <c r="J238" s="13">
        <f t="shared" si="2"/>
        <v>7220.4285294980991</v>
      </c>
      <c r="K238" s="13">
        <f t="shared" si="3"/>
        <v>0</v>
      </c>
      <c r="L238" s="13">
        <f t="shared" si="4"/>
        <v>2084041.936627426</v>
      </c>
      <c r="M238" s="13">
        <f t="shared" si="5"/>
        <v>12084041.936627425</v>
      </c>
      <c r="N238" s="13">
        <f t="shared" si="6"/>
        <v>12084041.936627425</v>
      </c>
      <c r="O238" s="13">
        <f t="shared" si="7"/>
        <v>0</v>
      </c>
      <c r="P238" s="12">
        <f t="shared" si="8"/>
        <v>0</v>
      </c>
    </row>
    <row r="239" spans="1:16" ht="14.4" x14ac:dyDescent="0.3">
      <c r="A239" s="7" t="s">
        <v>293</v>
      </c>
      <c r="B239" s="8">
        <v>45198</v>
      </c>
      <c r="C239" s="9">
        <v>1994.55</v>
      </c>
      <c r="D239" s="8">
        <v>45289</v>
      </c>
      <c r="E239" s="9">
        <v>1945.2</v>
      </c>
      <c r="F239" s="17">
        <v>-2.4700000000000002</v>
      </c>
      <c r="G239" s="11"/>
      <c r="H239" s="12">
        <f t="shared" si="0"/>
        <v>-2.4742423102955508E-2</v>
      </c>
      <c r="I239" s="13">
        <f t="shared" si="1"/>
        <v>-4948.4846205911017</v>
      </c>
      <c r="J239" s="13">
        <f t="shared" si="2"/>
        <v>0</v>
      </c>
      <c r="K239" s="13">
        <f t="shared" si="3"/>
        <v>-4948.4846205911017</v>
      </c>
      <c r="L239" s="13">
        <f t="shared" si="4"/>
        <v>2079093.4520068348</v>
      </c>
      <c r="M239" s="13">
        <f t="shared" si="5"/>
        <v>12079093.452006835</v>
      </c>
      <c r="N239" s="13">
        <f t="shared" si="6"/>
        <v>12084041.936627425</v>
      </c>
      <c r="O239" s="13">
        <f t="shared" si="7"/>
        <v>-4948.4846205897629</v>
      </c>
      <c r="P239" s="12">
        <f t="shared" si="8"/>
        <v>-4.095057470456654E-4</v>
      </c>
    </row>
    <row r="240" spans="1:16" ht="14.4" x14ac:dyDescent="0.3">
      <c r="A240" s="7" t="s">
        <v>294</v>
      </c>
      <c r="B240" s="8">
        <v>45198</v>
      </c>
      <c r="C240" s="9">
        <v>114</v>
      </c>
      <c r="D240" s="8">
        <v>45289</v>
      </c>
      <c r="E240" s="9">
        <v>110.45</v>
      </c>
      <c r="F240" s="17">
        <v>-3.11</v>
      </c>
      <c r="G240" s="11"/>
      <c r="H240" s="12">
        <f t="shared" si="0"/>
        <v>-3.1140350877192958E-2</v>
      </c>
      <c r="I240" s="13">
        <f t="shared" si="1"/>
        <v>-6228.0701754385918</v>
      </c>
      <c r="J240" s="13">
        <f t="shared" si="2"/>
        <v>0</v>
      </c>
      <c r="K240" s="13">
        <f t="shared" si="3"/>
        <v>-6228.0701754385918</v>
      </c>
      <c r="L240" s="13">
        <f t="shared" si="4"/>
        <v>2072865.3818313961</v>
      </c>
      <c r="M240" s="13">
        <f t="shared" si="5"/>
        <v>12072865.381831396</v>
      </c>
      <c r="N240" s="13">
        <f t="shared" si="6"/>
        <v>12084041.936627425</v>
      </c>
      <c r="O240" s="13">
        <f t="shared" si="7"/>
        <v>-11176.554796028882</v>
      </c>
      <c r="P240" s="12">
        <f t="shared" si="8"/>
        <v>-9.2490201992365671E-4</v>
      </c>
    </row>
    <row r="241" spans="1:16" ht="14.4" x14ac:dyDescent="0.3">
      <c r="A241" s="7" t="s">
        <v>295</v>
      </c>
      <c r="B241" s="8">
        <v>45107</v>
      </c>
      <c r="C241" s="9">
        <v>114.95</v>
      </c>
      <c r="D241" s="8">
        <v>45198</v>
      </c>
      <c r="E241" s="9">
        <v>136.94999999999999</v>
      </c>
      <c r="F241" s="17">
        <v>19.14</v>
      </c>
      <c r="G241" s="11"/>
      <c r="H241" s="12">
        <f t="shared" si="0"/>
        <v>0.1913875598086123</v>
      </c>
      <c r="I241" s="13">
        <f t="shared" si="1"/>
        <v>38277.511961722463</v>
      </c>
      <c r="J241" s="13">
        <f t="shared" si="2"/>
        <v>38277.511961722463</v>
      </c>
      <c r="K241" s="13">
        <f t="shared" si="3"/>
        <v>0</v>
      </c>
      <c r="L241" s="13">
        <f t="shared" si="4"/>
        <v>2111142.8937931187</v>
      </c>
      <c r="M241" s="13">
        <f t="shared" si="5"/>
        <v>12111142.893793119</v>
      </c>
      <c r="N241" s="13">
        <f t="shared" si="6"/>
        <v>12111142.893793119</v>
      </c>
      <c r="O241" s="13">
        <f t="shared" si="7"/>
        <v>0</v>
      </c>
      <c r="P241" s="12">
        <f t="shared" si="8"/>
        <v>0</v>
      </c>
    </row>
    <row r="242" spans="1:16" ht="14.4" x14ac:dyDescent="0.3">
      <c r="A242" s="7" t="s">
        <v>58</v>
      </c>
      <c r="B242" s="8">
        <v>45107</v>
      </c>
      <c r="C242" s="9">
        <v>201.8</v>
      </c>
      <c r="D242" s="8">
        <v>45198</v>
      </c>
      <c r="E242" s="9">
        <v>283.89999999999998</v>
      </c>
      <c r="F242" s="17">
        <v>40.68</v>
      </c>
      <c r="G242" s="11"/>
      <c r="H242" s="12">
        <f t="shared" si="0"/>
        <v>0.40683845391476692</v>
      </c>
      <c r="I242" s="13">
        <f t="shared" si="1"/>
        <v>81367.690782953388</v>
      </c>
      <c r="J242" s="13">
        <f t="shared" si="2"/>
        <v>81367.690782953388</v>
      </c>
      <c r="K242" s="13">
        <f t="shared" si="3"/>
        <v>0</v>
      </c>
      <c r="L242" s="13">
        <f t="shared" si="4"/>
        <v>2192510.5845760722</v>
      </c>
      <c r="M242" s="13">
        <f t="shared" si="5"/>
        <v>12192510.584576072</v>
      </c>
      <c r="N242" s="13">
        <f t="shared" si="6"/>
        <v>12192510.584576072</v>
      </c>
      <c r="O242" s="13">
        <f t="shared" si="7"/>
        <v>0</v>
      </c>
      <c r="P242" s="12">
        <f t="shared" si="8"/>
        <v>0</v>
      </c>
    </row>
    <row r="243" spans="1:16" ht="14.4" x14ac:dyDescent="0.3">
      <c r="A243" s="7" t="s">
        <v>296</v>
      </c>
      <c r="B243" s="8">
        <v>45107</v>
      </c>
      <c r="C243" s="9">
        <v>284.7</v>
      </c>
      <c r="D243" s="8">
        <v>45198</v>
      </c>
      <c r="E243" s="9">
        <v>267.85000000000002</v>
      </c>
      <c r="F243" s="17">
        <v>-5.92</v>
      </c>
      <c r="G243" s="11"/>
      <c r="H243" s="12">
        <f t="shared" si="0"/>
        <v>-5.9185107130312491E-2</v>
      </c>
      <c r="I243" s="13">
        <f t="shared" si="1"/>
        <v>-11837.021426062498</v>
      </c>
      <c r="J243" s="13">
        <f t="shared" si="2"/>
        <v>0</v>
      </c>
      <c r="K243" s="13">
        <f t="shared" si="3"/>
        <v>-11837.021426062498</v>
      </c>
      <c r="L243" s="13">
        <f t="shared" si="4"/>
        <v>2180673.5631500096</v>
      </c>
      <c r="M243" s="13">
        <f t="shared" si="5"/>
        <v>12180673.563150009</v>
      </c>
      <c r="N243" s="13">
        <f t="shared" si="6"/>
        <v>12192510.584576072</v>
      </c>
      <c r="O243" s="13">
        <f t="shared" si="7"/>
        <v>-11837.021426063031</v>
      </c>
      <c r="P243" s="12">
        <f t="shared" si="8"/>
        <v>-9.7084364569158157E-4</v>
      </c>
    </row>
    <row r="244" spans="1:16" ht="14.4" x14ac:dyDescent="0.3">
      <c r="A244" s="7" t="s">
        <v>297</v>
      </c>
      <c r="B244" s="8">
        <v>45107</v>
      </c>
      <c r="C244" s="9">
        <v>48.65</v>
      </c>
      <c r="D244" s="8">
        <v>45198</v>
      </c>
      <c r="E244" s="9">
        <v>49.35</v>
      </c>
      <c r="F244" s="17">
        <v>1.44</v>
      </c>
      <c r="G244" s="11"/>
      <c r="H244" s="12">
        <f t="shared" si="0"/>
        <v>1.4388489208633152E-2</v>
      </c>
      <c r="I244" s="13">
        <f t="shared" si="1"/>
        <v>2877.6978417266305</v>
      </c>
      <c r="J244" s="13">
        <f t="shared" si="2"/>
        <v>2877.6978417266305</v>
      </c>
      <c r="K244" s="13">
        <f t="shared" si="3"/>
        <v>0</v>
      </c>
      <c r="L244" s="13">
        <f t="shared" si="4"/>
        <v>2183551.2609917363</v>
      </c>
      <c r="M244" s="13">
        <f t="shared" si="5"/>
        <v>12183551.260991737</v>
      </c>
      <c r="N244" s="13">
        <f t="shared" si="6"/>
        <v>12192510.584576072</v>
      </c>
      <c r="O244" s="13">
        <f t="shared" si="7"/>
        <v>-8959.3235843349248</v>
      </c>
      <c r="P244" s="12">
        <f t="shared" si="8"/>
        <v>-7.3482188284246925E-4</v>
      </c>
    </row>
    <row r="245" spans="1:16" ht="14.4" x14ac:dyDescent="0.3">
      <c r="A245" s="7" t="s">
        <v>72</v>
      </c>
      <c r="B245" s="8">
        <v>45107</v>
      </c>
      <c r="C245" s="9">
        <v>45.85</v>
      </c>
      <c r="D245" s="8">
        <v>45198</v>
      </c>
      <c r="E245" s="9">
        <v>50.45</v>
      </c>
      <c r="F245" s="17">
        <v>10.029999999999999</v>
      </c>
      <c r="G245" s="11"/>
      <c r="H245" s="12">
        <f t="shared" si="0"/>
        <v>0.10032715376226829</v>
      </c>
      <c r="I245" s="13">
        <f t="shared" si="1"/>
        <v>20065.43075245366</v>
      </c>
      <c r="J245" s="13">
        <f t="shared" si="2"/>
        <v>20065.43075245366</v>
      </c>
      <c r="K245" s="13">
        <f t="shared" si="3"/>
        <v>0</v>
      </c>
      <c r="L245" s="13">
        <f t="shared" si="4"/>
        <v>2203616.6917441902</v>
      </c>
      <c r="M245" s="13">
        <f t="shared" si="5"/>
        <v>12203616.69174419</v>
      </c>
      <c r="N245" s="13">
        <f t="shared" si="6"/>
        <v>12203616.69174419</v>
      </c>
      <c r="O245" s="13">
        <f t="shared" si="7"/>
        <v>0</v>
      </c>
      <c r="P245" s="12">
        <f t="shared" si="8"/>
        <v>0</v>
      </c>
    </row>
    <row r="246" spans="1:16" ht="14.4" x14ac:dyDescent="0.3">
      <c r="A246" s="7" t="s">
        <v>298</v>
      </c>
      <c r="B246" s="8">
        <v>45107</v>
      </c>
      <c r="C246" s="9">
        <v>160.93</v>
      </c>
      <c r="D246" s="8">
        <v>45198</v>
      </c>
      <c r="E246" s="9">
        <v>252.2</v>
      </c>
      <c r="F246" s="17">
        <v>56.71</v>
      </c>
      <c r="G246" s="11"/>
      <c r="H246" s="12">
        <f t="shared" si="0"/>
        <v>0.56714099297831344</v>
      </c>
      <c r="I246" s="13">
        <f t="shared" si="1"/>
        <v>113428.19859566269</v>
      </c>
      <c r="J246" s="13">
        <f t="shared" si="2"/>
        <v>113428.19859566269</v>
      </c>
      <c r="K246" s="13">
        <f t="shared" si="3"/>
        <v>0</v>
      </c>
      <c r="L246" s="13">
        <f t="shared" si="4"/>
        <v>2317044.8903398528</v>
      </c>
      <c r="M246" s="13">
        <f t="shared" si="5"/>
        <v>12317044.890339853</v>
      </c>
      <c r="N246" s="13">
        <f t="shared" si="6"/>
        <v>12317044.890339853</v>
      </c>
      <c r="O246" s="13">
        <f t="shared" si="7"/>
        <v>0</v>
      </c>
      <c r="P246" s="12">
        <f t="shared" si="8"/>
        <v>0</v>
      </c>
    </row>
    <row r="247" spans="1:16" ht="14.4" x14ac:dyDescent="0.3">
      <c r="A247" s="7" t="s">
        <v>299</v>
      </c>
      <c r="B247" s="8">
        <v>45107</v>
      </c>
      <c r="C247" s="9">
        <v>1142.5999999999999</v>
      </c>
      <c r="D247" s="8">
        <v>45198</v>
      </c>
      <c r="E247" s="9">
        <v>1063.6500000000001</v>
      </c>
      <c r="F247" s="17">
        <v>-6.91</v>
      </c>
      <c r="G247" s="11"/>
      <c r="H247" s="12">
        <f t="shared" si="0"/>
        <v>-6.9096796779275188E-2</v>
      </c>
      <c r="I247" s="13">
        <f t="shared" si="1"/>
        <v>-13819.359355855038</v>
      </c>
      <c r="J247" s="13">
        <f t="shared" si="2"/>
        <v>0</v>
      </c>
      <c r="K247" s="13">
        <f t="shared" si="3"/>
        <v>-13819.359355855038</v>
      </c>
      <c r="L247" s="13">
        <f t="shared" si="4"/>
        <v>2303225.5309839975</v>
      </c>
      <c r="M247" s="13">
        <f t="shared" si="5"/>
        <v>12303225.530983998</v>
      </c>
      <c r="N247" s="13">
        <f t="shared" si="6"/>
        <v>12317044.890339853</v>
      </c>
      <c r="O247" s="13">
        <f t="shared" si="7"/>
        <v>-13819.359355855733</v>
      </c>
      <c r="P247" s="12">
        <f t="shared" si="8"/>
        <v>-1.1219703653669504E-3</v>
      </c>
    </row>
    <row r="248" spans="1:16" ht="14.4" x14ac:dyDescent="0.3">
      <c r="A248" s="7" t="s">
        <v>98</v>
      </c>
      <c r="B248" s="8">
        <v>45107</v>
      </c>
      <c r="C248" s="9">
        <v>10100.799999999999</v>
      </c>
      <c r="D248" s="8">
        <v>45198</v>
      </c>
      <c r="E248" s="9">
        <v>14245</v>
      </c>
      <c r="F248" s="17">
        <v>41.03</v>
      </c>
      <c r="G248" s="11"/>
      <c r="H248" s="12">
        <f t="shared" si="0"/>
        <v>0.41028433391414554</v>
      </c>
      <c r="I248" s="13">
        <f t="shared" si="1"/>
        <v>82056.866782829107</v>
      </c>
      <c r="J248" s="13">
        <f t="shared" si="2"/>
        <v>82056.866782829107</v>
      </c>
      <c r="K248" s="13">
        <f t="shared" si="3"/>
        <v>0</v>
      </c>
      <c r="L248" s="13">
        <f t="shared" si="4"/>
        <v>2385282.3977668267</v>
      </c>
      <c r="M248" s="13">
        <f t="shared" si="5"/>
        <v>12385282.397766827</v>
      </c>
      <c r="N248" s="13">
        <f t="shared" si="6"/>
        <v>12385282.397766827</v>
      </c>
      <c r="O248" s="13">
        <f t="shared" si="7"/>
        <v>0</v>
      </c>
      <c r="P248" s="12">
        <f t="shared" si="8"/>
        <v>0</v>
      </c>
    </row>
    <row r="249" spans="1:16" ht="14.4" x14ac:dyDescent="0.3">
      <c r="A249" s="7" t="s">
        <v>300</v>
      </c>
      <c r="B249" s="8">
        <v>45107</v>
      </c>
      <c r="C249" s="9">
        <v>105.71</v>
      </c>
      <c r="D249" s="8">
        <v>45198</v>
      </c>
      <c r="E249" s="9">
        <v>126.71</v>
      </c>
      <c r="F249" s="17">
        <v>19.87</v>
      </c>
      <c r="G249" s="11"/>
      <c r="H249" s="12">
        <f t="shared" si="0"/>
        <v>0.19865670229874186</v>
      </c>
      <c r="I249" s="13">
        <f t="shared" si="1"/>
        <v>39731.340459748368</v>
      </c>
      <c r="J249" s="13">
        <f t="shared" si="2"/>
        <v>39731.340459748368</v>
      </c>
      <c r="K249" s="13">
        <f t="shared" si="3"/>
        <v>0</v>
      </c>
      <c r="L249" s="13">
        <f t="shared" si="4"/>
        <v>2425013.7382265748</v>
      </c>
      <c r="M249" s="13">
        <f t="shared" si="5"/>
        <v>12425013.738226574</v>
      </c>
      <c r="N249" s="13">
        <f t="shared" si="6"/>
        <v>12425013.738226574</v>
      </c>
      <c r="O249" s="13">
        <f t="shared" si="7"/>
        <v>0</v>
      </c>
      <c r="P249" s="12">
        <f t="shared" si="8"/>
        <v>0</v>
      </c>
    </row>
    <row r="250" spans="1:16" ht="14.4" x14ac:dyDescent="0.3">
      <c r="A250" s="7" t="s">
        <v>301</v>
      </c>
      <c r="B250" s="8">
        <v>45107</v>
      </c>
      <c r="C250" s="9">
        <v>661.8</v>
      </c>
      <c r="D250" s="8">
        <v>45198</v>
      </c>
      <c r="E250" s="9">
        <v>647.29999999999995</v>
      </c>
      <c r="F250" s="17">
        <v>-2.19</v>
      </c>
      <c r="G250" s="11"/>
      <c r="H250" s="12">
        <f t="shared" si="0"/>
        <v>-2.1909942580840135E-2</v>
      </c>
      <c r="I250" s="13">
        <f t="shared" si="1"/>
        <v>-4381.9885161680268</v>
      </c>
      <c r="J250" s="13">
        <f t="shared" si="2"/>
        <v>0</v>
      </c>
      <c r="K250" s="13">
        <f t="shared" si="3"/>
        <v>-4381.9885161680268</v>
      </c>
      <c r="L250" s="13">
        <f t="shared" si="4"/>
        <v>2420631.7497104066</v>
      </c>
      <c r="M250" s="13">
        <f t="shared" si="5"/>
        <v>12420631.749710407</v>
      </c>
      <c r="N250" s="13">
        <f t="shared" si="6"/>
        <v>12425013.738226574</v>
      </c>
      <c r="O250" s="13">
        <f t="shared" si="7"/>
        <v>-4381.9885161668062</v>
      </c>
      <c r="P250" s="12">
        <f t="shared" si="8"/>
        <v>-3.5267474213612006E-4</v>
      </c>
    </row>
    <row r="251" spans="1:16" ht="14.4" x14ac:dyDescent="0.3">
      <c r="A251" s="7" t="s">
        <v>302</v>
      </c>
      <c r="B251" s="8">
        <v>45107</v>
      </c>
      <c r="C251" s="9">
        <v>70.7</v>
      </c>
      <c r="D251" s="8">
        <v>45198</v>
      </c>
      <c r="E251" s="9">
        <v>61.25</v>
      </c>
      <c r="F251" s="17">
        <v>-13.37</v>
      </c>
      <c r="G251" s="11"/>
      <c r="H251" s="12">
        <f t="shared" si="0"/>
        <v>-0.1336633663366337</v>
      </c>
      <c r="I251" s="13">
        <f t="shared" si="1"/>
        <v>-26732.67326732674</v>
      </c>
      <c r="J251" s="13">
        <f t="shared" si="2"/>
        <v>0</v>
      </c>
      <c r="K251" s="13">
        <f t="shared" si="3"/>
        <v>-26732.67326732674</v>
      </c>
      <c r="L251" s="13">
        <f t="shared" si="4"/>
        <v>2393899.0764430799</v>
      </c>
      <c r="M251" s="13">
        <f t="shared" si="5"/>
        <v>12393899.07644308</v>
      </c>
      <c r="N251" s="13">
        <f t="shared" si="6"/>
        <v>12425013.738226574</v>
      </c>
      <c r="O251" s="13">
        <f t="shared" si="7"/>
        <v>-31114.661783494055</v>
      </c>
      <c r="P251" s="12">
        <f t="shared" si="8"/>
        <v>-2.5041953625988553E-3</v>
      </c>
    </row>
    <row r="252" spans="1:16" ht="14.4" x14ac:dyDescent="0.3">
      <c r="A252" s="7" t="s">
        <v>303</v>
      </c>
      <c r="B252" s="8">
        <v>45107</v>
      </c>
      <c r="C252" s="9">
        <v>558.20000000000005</v>
      </c>
      <c r="D252" s="8">
        <v>45198</v>
      </c>
      <c r="E252" s="9">
        <v>603.6</v>
      </c>
      <c r="F252" s="17">
        <v>8.1300000000000008</v>
      </c>
      <c r="G252" s="11"/>
      <c r="H252" s="12">
        <f t="shared" si="0"/>
        <v>8.1332855607309157E-2</v>
      </c>
      <c r="I252" s="13">
        <f t="shared" si="1"/>
        <v>16266.571121461831</v>
      </c>
      <c r="J252" s="13">
        <f t="shared" si="2"/>
        <v>16266.571121461831</v>
      </c>
      <c r="K252" s="13">
        <f t="shared" si="3"/>
        <v>0</v>
      </c>
      <c r="L252" s="13">
        <f t="shared" si="4"/>
        <v>2410165.6475645415</v>
      </c>
      <c r="M252" s="13">
        <f t="shared" si="5"/>
        <v>12410165.647564542</v>
      </c>
      <c r="N252" s="13">
        <f t="shared" si="6"/>
        <v>12425013.738226574</v>
      </c>
      <c r="O252" s="13">
        <f t="shared" si="7"/>
        <v>-14848.090662032366</v>
      </c>
      <c r="P252" s="12">
        <f t="shared" si="8"/>
        <v>-1.1950160357852159E-3</v>
      </c>
    </row>
    <row r="253" spans="1:16" ht="14.4" x14ac:dyDescent="0.3">
      <c r="A253" s="7" t="s">
        <v>304</v>
      </c>
      <c r="B253" s="8">
        <v>45107</v>
      </c>
      <c r="C253" s="9">
        <v>243.65</v>
      </c>
      <c r="D253" s="8">
        <v>45198</v>
      </c>
      <c r="E253" s="9">
        <v>280.3</v>
      </c>
      <c r="F253" s="17">
        <v>15.04</v>
      </c>
      <c r="G253" s="11"/>
      <c r="H253" s="12">
        <f t="shared" si="0"/>
        <v>0.15042068540939874</v>
      </c>
      <c r="I253" s="13">
        <f t="shared" si="1"/>
        <v>30084.137081879748</v>
      </c>
      <c r="J253" s="13">
        <f t="shared" si="2"/>
        <v>30084.137081879748</v>
      </c>
      <c r="K253" s="13">
        <f t="shared" si="3"/>
        <v>0</v>
      </c>
      <c r="L253" s="13">
        <f t="shared" si="4"/>
        <v>2440249.7846464212</v>
      </c>
      <c r="M253" s="13">
        <f t="shared" si="5"/>
        <v>12440249.784646422</v>
      </c>
      <c r="N253" s="13">
        <f t="shared" si="6"/>
        <v>12440249.784646422</v>
      </c>
      <c r="O253" s="13">
        <f t="shared" si="7"/>
        <v>0</v>
      </c>
      <c r="P253" s="12">
        <f t="shared" si="8"/>
        <v>0</v>
      </c>
    </row>
    <row r="254" spans="1:16" ht="14.4" x14ac:dyDescent="0.3">
      <c r="A254" s="7" t="s">
        <v>305</v>
      </c>
      <c r="B254" s="8">
        <v>45107</v>
      </c>
      <c r="C254" s="9">
        <v>860.35</v>
      </c>
      <c r="D254" s="8">
        <v>45198</v>
      </c>
      <c r="E254" s="9">
        <v>935</v>
      </c>
      <c r="F254" s="17">
        <v>8.68</v>
      </c>
      <c r="G254" s="11"/>
      <c r="H254" s="12">
        <f t="shared" si="0"/>
        <v>8.676701342476896E-2</v>
      </c>
      <c r="I254" s="13">
        <f t="shared" si="1"/>
        <v>17353.402684953791</v>
      </c>
      <c r="J254" s="13">
        <f t="shared" si="2"/>
        <v>17353.402684953791</v>
      </c>
      <c r="K254" s="13">
        <f t="shared" si="3"/>
        <v>0</v>
      </c>
      <c r="L254" s="13">
        <f t="shared" si="4"/>
        <v>2457603.1873313752</v>
      </c>
      <c r="M254" s="13">
        <f t="shared" si="5"/>
        <v>12457603.187331375</v>
      </c>
      <c r="N254" s="13">
        <f t="shared" si="6"/>
        <v>12457603.187331375</v>
      </c>
      <c r="O254" s="13">
        <f t="shared" si="7"/>
        <v>0</v>
      </c>
      <c r="P254" s="12">
        <f t="shared" si="8"/>
        <v>0</v>
      </c>
    </row>
    <row r="255" spans="1:16" ht="14.4" x14ac:dyDescent="0.3">
      <c r="A255" s="7" t="s">
        <v>306</v>
      </c>
      <c r="B255" s="8">
        <v>45107</v>
      </c>
      <c r="C255" s="9">
        <v>326.07</v>
      </c>
      <c r="D255" s="8">
        <v>45198</v>
      </c>
      <c r="E255" s="9">
        <v>344.66</v>
      </c>
      <c r="F255" s="17">
        <v>5.7</v>
      </c>
      <c r="G255" s="11"/>
      <c r="H255" s="12">
        <f t="shared" si="0"/>
        <v>5.7012297972828016E-2</v>
      </c>
      <c r="I255" s="13">
        <f t="shared" si="1"/>
        <v>11402.459594565604</v>
      </c>
      <c r="J255" s="13">
        <f t="shared" si="2"/>
        <v>11402.459594565604</v>
      </c>
      <c r="K255" s="13">
        <f t="shared" si="3"/>
        <v>0</v>
      </c>
      <c r="L255" s="13">
        <f t="shared" si="4"/>
        <v>2469005.6469259406</v>
      </c>
      <c r="M255" s="13">
        <f t="shared" si="5"/>
        <v>12469005.646925941</v>
      </c>
      <c r="N255" s="13">
        <f t="shared" si="6"/>
        <v>12469005.646925941</v>
      </c>
      <c r="O255" s="13">
        <f t="shared" si="7"/>
        <v>0</v>
      </c>
      <c r="P255" s="12">
        <f t="shared" si="8"/>
        <v>0</v>
      </c>
    </row>
    <row r="256" spans="1:16" ht="14.4" x14ac:dyDescent="0.3">
      <c r="A256" s="7" t="s">
        <v>307</v>
      </c>
      <c r="B256" s="8">
        <v>45107</v>
      </c>
      <c r="C256" s="9">
        <v>155.08000000000001</v>
      </c>
      <c r="D256" s="8">
        <v>45198</v>
      </c>
      <c r="E256" s="9">
        <v>172.38</v>
      </c>
      <c r="F256" s="17">
        <v>11.16</v>
      </c>
      <c r="G256" s="11"/>
      <c r="H256" s="12">
        <f t="shared" si="0"/>
        <v>0.11155532628320855</v>
      </c>
      <c r="I256" s="13">
        <f t="shared" si="1"/>
        <v>22311.065256641708</v>
      </c>
      <c r="J256" s="13">
        <f t="shared" si="2"/>
        <v>22311.065256641708</v>
      </c>
      <c r="K256" s="13">
        <f t="shared" si="3"/>
        <v>0</v>
      </c>
      <c r="L256" s="13">
        <f t="shared" si="4"/>
        <v>2491316.7121825824</v>
      </c>
      <c r="M256" s="13">
        <f t="shared" si="5"/>
        <v>12491316.712182581</v>
      </c>
      <c r="N256" s="13">
        <f t="shared" si="6"/>
        <v>12491316.712182581</v>
      </c>
      <c r="O256" s="13">
        <f t="shared" si="7"/>
        <v>0</v>
      </c>
      <c r="P256" s="12">
        <f t="shared" si="8"/>
        <v>0</v>
      </c>
    </row>
    <row r="257" spans="1:16" ht="14.4" x14ac:dyDescent="0.3">
      <c r="A257" s="7" t="s">
        <v>308</v>
      </c>
      <c r="B257" s="8">
        <v>45107</v>
      </c>
      <c r="C257" s="9">
        <v>240.15</v>
      </c>
      <c r="D257" s="8">
        <v>45198</v>
      </c>
      <c r="E257" s="9">
        <v>227.05</v>
      </c>
      <c r="F257" s="17">
        <v>-5.45</v>
      </c>
      <c r="G257" s="11"/>
      <c r="H257" s="12">
        <f t="shared" si="0"/>
        <v>-5.4549240058296873E-2</v>
      </c>
      <c r="I257" s="13">
        <f t="shared" si="1"/>
        <v>-10909.848011659375</v>
      </c>
      <c r="J257" s="13">
        <f t="shared" si="2"/>
        <v>0</v>
      </c>
      <c r="K257" s="13">
        <f t="shared" si="3"/>
        <v>-10909.848011659375</v>
      </c>
      <c r="L257" s="13">
        <f t="shared" si="4"/>
        <v>2480406.8641709229</v>
      </c>
      <c r="M257" s="13">
        <f t="shared" si="5"/>
        <v>12480406.864170924</v>
      </c>
      <c r="N257" s="13">
        <f t="shared" si="6"/>
        <v>12491316.712182581</v>
      </c>
      <c r="O257" s="13">
        <f t="shared" si="7"/>
        <v>-10909.848011657596</v>
      </c>
      <c r="P257" s="12">
        <f t="shared" si="8"/>
        <v>-8.7339455583712762E-4</v>
      </c>
    </row>
    <row r="258" spans="1:16" ht="14.4" x14ac:dyDescent="0.3">
      <c r="A258" s="7" t="s">
        <v>309</v>
      </c>
      <c r="B258" s="8">
        <v>45107</v>
      </c>
      <c r="C258" s="9">
        <v>206.95</v>
      </c>
      <c r="D258" s="8">
        <v>45198</v>
      </c>
      <c r="E258" s="9">
        <v>223.45</v>
      </c>
      <c r="F258" s="17">
        <v>7.97</v>
      </c>
      <c r="G258" s="11"/>
      <c r="H258" s="12">
        <f t="shared" ref="H258:H512" si="9">(E258-C258)/C258</f>
        <v>7.9729403237496985E-2</v>
      </c>
      <c r="I258" s="13">
        <f t="shared" ref="I258:I512" si="10">10000000*0.02*H258</f>
        <v>15945.880647499396</v>
      </c>
      <c r="J258" s="13">
        <f t="shared" ref="J258:J512" si="11">IF(I258&gt;0, I258, 0)</f>
        <v>15945.880647499396</v>
      </c>
      <c r="K258" s="13">
        <f t="shared" ref="K258:K512" si="12">IF(I258&lt;0, I258, 0)</f>
        <v>0</v>
      </c>
      <c r="L258" s="13">
        <f t="shared" ref="L258:L512" si="13">SUM(I$3:I258)</f>
        <v>2496352.7448184225</v>
      </c>
      <c r="M258" s="13">
        <f t="shared" ref="M258:M512" si="14">10000000+L258</f>
        <v>12496352.744818423</v>
      </c>
      <c r="N258" s="13">
        <f t="shared" ref="N258:N512" si="15">MAX(M$3:M258)</f>
        <v>12496352.744818423</v>
      </c>
      <c r="O258" s="13">
        <f t="shared" ref="O258:O512" si="16">M258-N258</f>
        <v>0</v>
      </c>
      <c r="P258" s="12">
        <f t="shared" ref="P258:P512" si="17">O258/N258</f>
        <v>0</v>
      </c>
    </row>
    <row r="259" spans="1:16" ht="14.4" x14ac:dyDescent="0.3">
      <c r="A259" s="7" t="s">
        <v>310</v>
      </c>
      <c r="B259" s="8">
        <v>45107</v>
      </c>
      <c r="C259" s="9">
        <v>127.7</v>
      </c>
      <c r="D259" s="8">
        <v>45198</v>
      </c>
      <c r="E259" s="9">
        <v>133.1</v>
      </c>
      <c r="F259" s="17">
        <v>4.2300000000000004</v>
      </c>
      <c r="G259" s="11"/>
      <c r="H259" s="12">
        <f t="shared" si="9"/>
        <v>4.2286609240407134E-2</v>
      </c>
      <c r="I259" s="13">
        <f t="shared" si="10"/>
        <v>8457.3218480814267</v>
      </c>
      <c r="J259" s="13">
        <f t="shared" si="11"/>
        <v>8457.3218480814267</v>
      </c>
      <c r="K259" s="13">
        <f t="shared" si="12"/>
        <v>0</v>
      </c>
      <c r="L259" s="13">
        <f t="shared" si="13"/>
        <v>2504810.0666665039</v>
      </c>
      <c r="M259" s="13">
        <f t="shared" si="14"/>
        <v>12504810.066666504</v>
      </c>
      <c r="N259" s="13">
        <f t="shared" si="15"/>
        <v>12504810.066666504</v>
      </c>
      <c r="O259" s="13">
        <f t="shared" si="16"/>
        <v>0</v>
      </c>
      <c r="P259" s="12">
        <f t="shared" si="17"/>
        <v>0</v>
      </c>
    </row>
    <row r="260" spans="1:16" ht="14.4" x14ac:dyDescent="0.3">
      <c r="A260" s="7" t="s">
        <v>311</v>
      </c>
      <c r="B260" s="8">
        <v>45107</v>
      </c>
      <c r="C260" s="9">
        <v>327.36</v>
      </c>
      <c r="D260" s="8">
        <v>45198</v>
      </c>
      <c r="E260" s="9">
        <v>293.20999999999998</v>
      </c>
      <c r="F260" s="17">
        <v>-10.43</v>
      </c>
      <c r="G260" s="11"/>
      <c r="H260" s="12">
        <f t="shared" si="9"/>
        <v>-0.10431940371456511</v>
      </c>
      <c r="I260" s="13">
        <f t="shared" si="10"/>
        <v>-20863.880742913021</v>
      </c>
      <c r="J260" s="13">
        <f t="shared" si="11"/>
        <v>0</v>
      </c>
      <c r="K260" s="13">
        <f t="shared" si="12"/>
        <v>-20863.880742913021</v>
      </c>
      <c r="L260" s="13">
        <f t="shared" si="13"/>
        <v>2483946.1859235908</v>
      </c>
      <c r="M260" s="13">
        <f t="shared" si="14"/>
        <v>12483946.185923591</v>
      </c>
      <c r="N260" s="13">
        <f t="shared" si="15"/>
        <v>12504810.066666504</v>
      </c>
      <c r="O260" s="13">
        <f t="shared" si="16"/>
        <v>-20863.880742913112</v>
      </c>
      <c r="P260" s="12">
        <f t="shared" si="17"/>
        <v>-1.6684684238850614E-3</v>
      </c>
    </row>
    <row r="261" spans="1:16" ht="14.4" x14ac:dyDescent="0.3">
      <c r="A261" s="7" t="s">
        <v>312</v>
      </c>
      <c r="B261" s="8">
        <v>45107</v>
      </c>
      <c r="C261" s="9">
        <v>114</v>
      </c>
      <c r="D261" s="8">
        <v>45198</v>
      </c>
      <c r="E261" s="9">
        <v>152.1</v>
      </c>
      <c r="F261" s="17">
        <v>33.42</v>
      </c>
      <c r="G261" s="11"/>
      <c r="H261" s="12">
        <f t="shared" si="9"/>
        <v>0.3342105263157894</v>
      </c>
      <c r="I261" s="13">
        <f t="shared" si="10"/>
        <v>66842.105263157879</v>
      </c>
      <c r="J261" s="13">
        <f t="shared" si="11"/>
        <v>66842.105263157879</v>
      </c>
      <c r="K261" s="13">
        <f t="shared" si="12"/>
        <v>0</v>
      </c>
      <c r="L261" s="13">
        <f t="shared" si="13"/>
        <v>2550788.2911867485</v>
      </c>
      <c r="M261" s="13">
        <f t="shared" si="14"/>
        <v>12550788.291186748</v>
      </c>
      <c r="N261" s="13">
        <f t="shared" si="15"/>
        <v>12550788.291186748</v>
      </c>
      <c r="O261" s="13">
        <f t="shared" si="16"/>
        <v>0</v>
      </c>
      <c r="P261" s="12">
        <f t="shared" si="17"/>
        <v>0</v>
      </c>
    </row>
    <row r="262" spans="1:16" ht="14.4" x14ac:dyDescent="0.3">
      <c r="A262" s="7" t="s">
        <v>313</v>
      </c>
      <c r="B262" s="8">
        <v>45107</v>
      </c>
      <c r="C262" s="9">
        <v>108.45</v>
      </c>
      <c r="D262" s="8">
        <v>45198</v>
      </c>
      <c r="E262" s="9">
        <v>134.94999999999999</v>
      </c>
      <c r="F262" s="17">
        <v>24.44</v>
      </c>
      <c r="G262" s="11"/>
      <c r="H262" s="12">
        <f t="shared" si="9"/>
        <v>0.24435223605348072</v>
      </c>
      <c r="I262" s="13">
        <f t="shared" si="10"/>
        <v>48870.447210696148</v>
      </c>
      <c r="J262" s="13">
        <f t="shared" si="11"/>
        <v>48870.447210696148</v>
      </c>
      <c r="K262" s="13">
        <f t="shared" si="12"/>
        <v>0</v>
      </c>
      <c r="L262" s="13">
        <f t="shared" si="13"/>
        <v>2599658.7383974446</v>
      </c>
      <c r="M262" s="13">
        <f t="shared" si="14"/>
        <v>12599658.738397446</v>
      </c>
      <c r="N262" s="13">
        <f t="shared" si="15"/>
        <v>12599658.738397446</v>
      </c>
      <c r="O262" s="13">
        <f t="shared" si="16"/>
        <v>0</v>
      </c>
      <c r="P262" s="12">
        <f t="shared" si="17"/>
        <v>0</v>
      </c>
    </row>
    <row r="263" spans="1:16" ht="14.4" x14ac:dyDescent="0.3">
      <c r="A263" s="7" t="s">
        <v>314</v>
      </c>
      <c r="B263" s="8">
        <v>45107</v>
      </c>
      <c r="C263" s="9">
        <v>172.72</v>
      </c>
      <c r="D263" s="8">
        <v>45198</v>
      </c>
      <c r="E263" s="9">
        <v>251.9</v>
      </c>
      <c r="F263" s="17">
        <v>45.84</v>
      </c>
      <c r="G263" s="11"/>
      <c r="H263" s="12">
        <f t="shared" si="9"/>
        <v>0.45842982862436316</v>
      </c>
      <c r="I263" s="13">
        <f t="shared" si="10"/>
        <v>91685.965724872629</v>
      </c>
      <c r="J263" s="13">
        <f t="shared" si="11"/>
        <v>91685.965724872629</v>
      </c>
      <c r="K263" s="13">
        <f t="shared" si="12"/>
        <v>0</v>
      </c>
      <c r="L263" s="13">
        <f t="shared" si="13"/>
        <v>2691344.704122317</v>
      </c>
      <c r="M263" s="13">
        <f t="shared" si="14"/>
        <v>12691344.704122316</v>
      </c>
      <c r="N263" s="13">
        <f t="shared" si="15"/>
        <v>12691344.704122316</v>
      </c>
      <c r="O263" s="13">
        <f t="shared" si="16"/>
        <v>0</v>
      </c>
      <c r="P263" s="12">
        <f t="shared" si="17"/>
        <v>0</v>
      </c>
    </row>
    <row r="264" spans="1:16" ht="14.4" x14ac:dyDescent="0.3">
      <c r="A264" s="7" t="s">
        <v>315</v>
      </c>
      <c r="B264" s="8">
        <v>45107</v>
      </c>
      <c r="C264" s="9">
        <v>20</v>
      </c>
      <c r="D264" s="8">
        <v>45198</v>
      </c>
      <c r="E264" s="9">
        <v>29.25</v>
      </c>
      <c r="F264" s="17">
        <v>46.25</v>
      </c>
      <c r="G264" s="11"/>
      <c r="H264" s="12">
        <f t="shared" si="9"/>
        <v>0.46250000000000002</v>
      </c>
      <c r="I264" s="13">
        <f t="shared" si="10"/>
        <v>92500</v>
      </c>
      <c r="J264" s="13">
        <f t="shared" si="11"/>
        <v>92500</v>
      </c>
      <c r="K264" s="13">
        <f t="shared" si="12"/>
        <v>0</v>
      </c>
      <c r="L264" s="13">
        <f t="shared" si="13"/>
        <v>2783844.704122317</v>
      </c>
      <c r="M264" s="13">
        <f t="shared" si="14"/>
        <v>12783844.704122316</v>
      </c>
      <c r="N264" s="13">
        <f t="shared" si="15"/>
        <v>12783844.704122316</v>
      </c>
      <c r="O264" s="13">
        <f t="shared" si="16"/>
        <v>0</v>
      </c>
      <c r="P264" s="12">
        <f t="shared" si="17"/>
        <v>0</v>
      </c>
    </row>
    <row r="265" spans="1:16" ht="14.4" x14ac:dyDescent="0.3">
      <c r="A265" s="7" t="s">
        <v>316</v>
      </c>
      <c r="B265" s="8">
        <v>45107</v>
      </c>
      <c r="C265" s="9">
        <v>312.14999999999998</v>
      </c>
      <c r="D265" s="8">
        <v>45198</v>
      </c>
      <c r="E265" s="9">
        <v>384.4</v>
      </c>
      <c r="F265" s="17">
        <v>23.15</v>
      </c>
      <c r="G265" s="11"/>
      <c r="H265" s="12">
        <f t="shared" si="9"/>
        <v>0.23145923434246357</v>
      </c>
      <c r="I265" s="13">
        <f t="shared" si="10"/>
        <v>46291.846868492714</v>
      </c>
      <c r="J265" s="13">
        <f t="shared" si="11"/>
        <v>46291.846868492714</v>
      </c>
      <c r="K265" s="13">
        <f t="shared" si="12"/>
        <v>0</v>
      </c>
      <c r="L265" s="13">
        <f t="shared" si="13"/>
        <v>2830136.5509908097</v>
      </c>
      <c r="M265" s="13">
        <f t="shared" si="14"/>
        <v>12830136.550990809</v>
      </c>
      <c r="N265" s="13">
        <f t="shared" si="15"/>
        <v>12830136.550990809</v>
      </c>
      <c r="O265" s="13">
        <f t="shared" si="16"/>
        <v>0</v>
      </c>
      <c r="P265" s="12">
        <f t="shared" si="17"/>
        <v>0</v>
      </c>
    </row>
    <row r="266" spans="1:16" ht="14.4" x14ac:dyDescent="0.3">
      <c r="A266" s="7" t="s">
        <v>317</v>
      </c>
      <c r="B266" s="8">
        <v>45107</v>
      </c>
      <c r="C266" s="9">
        <v>146.78</v>
      </c>
      <c r="D266" s="8">
        <v>45198</v>
      </c>
      <c r="E266" s="9">
        <v>220.3</v>
      </c>
      <c r="F266" s="17">
        <v>50.09</v>
      </c>
      <c r="G266" s="11"/>
      <c r="H266" s="12">
        <f t="shared" si="9"/>
        <v>0.50088567924785399</v>
      </c>
      <c r="I266" s="13">
        <f t="shared" si="10"/>
        <v>100177.1358495708</v>
      </c>
      <c r="J266" s="13">
        <f t="shared" si="11"/>
        <v>100177.1358495708</v>
      </c>
      <c r="K266" s="13">
        <f t="shared" si="12"/>
        <v>0</v>
      </c>
      <c r="L266" s="13">
        <f t="shared" si="13"/>
        <v>2930313.6868403805</v>
      </c>
      <c r="M266" s="13">
        <f t="shared" si="14"/>
        <v>12930313.686840381</v>
      </c>
      <c r="N266" s="13">
        <f t="shared" si="15"/>
        <v>12930313.686840381</v>
      </c>
      <c r="O266" s="13">
        <f t="shared" si="16"/>
        <v>0</v>
      </c>
      <c r="P266" s="12">
        <f t="shared" si="17"/>
        <v>0</v>
      </c>
    </row>
    <row r="267" spans="1:16" ht="14.4" x14ac:dyDescent="0.3">
      <c r="A267" s="7" t="s">
        <v>106</v>
      </c>
      <c r="B267" s="8">
        <v>45107</v>
      </c>
      <c r="C267" s="9">
        <v>408</v>
      </c>
      <c r="D267" s="8">
        <v>45198</v>
      </c>
      <c r="E267" s="9">
        <v>362.45</v>
      </c>
      <c r="F267" s="17">
        <v>-11.16</v>
      </c>
      <c r="G267" s="11"/>
      <c r="H267" s="12">
        <f t="shared" si="9"/>
        <v>-0.11164215686274513</v>
      </c>
      <c r="I267" s="13">
        <f t="shared" si="10"/>
        <v>-22328.431372549025</v>
      </c>
      <c r="J267" s="13">
        <f t="shared" si="11"/>
        <v>0</v>
      </c>
      <c r="K267" s="13">
        <f t="shared" si="12"/>
        <v>-22328.431372549025</v>
      </c>
      <c r="L267" s="13">
        <f t="shared" si="13"/>
        <v>2907985.2554678316</v>
      </c>
      <c r="M267" s="13">
        <f t="shared" si="14"/>
        <v>12907985.255467832</v>
      </c>
      <c r="N267" s="13">
        <f t="shared" si="15"/>
        <v>12930313.686840381</v>
      </c>
      <c r="O267" s="13">
        <f t="shared" si="16"/>
        <v>-22328.431372549385</v>
      </c>
      <c r="P267" s="12">
        <f t="shared" si="17"/>
        <v>-1.7268282822305995E-3</v>
      </c>
    </row>
    <row r="268" spans="1:16" ht="14.4" x14ac:dyDescent="0.3">
      <c r="A268" s="7" t="s">
        <v>318</v>
      </c>
      <c r="B268" s="8">
        <v>45107</v>
      </c>
      <c r="C268" s="9">
        <v>1022.85</v>
      </c>
      <c r="D268" s="8">
        <v>45198</v>
      </c>
      <c r="E268" s="9">
        <v>1037.5999999999999</v>
      </c>
      <c r="F268" s="17">
        <v>1.44</v>
      </c>
      <c r="G268" s="11"/>
      <c r="H268" s="12">
        <f t="shared" si="9"/>
        <v>1.4420491763210525E-2</v>
      </c>
      <c r="I268" s="13">
        <f t="shared" si="10"/>
        <v>2884.0983526421051</v>
      </c>
      <c r="J268" s="13">
        <f t="shared" si="11"/>
        <v>2884.0983526421051</v>
      </c>
      <c r="K268" s="13">
        <f t="shared" si="12"/>
        <v>0</v>
      </c>
      <c r="L268" s="13">
        <f t="shared" si="13"/>
        <v>2910869.3538204739</v>
      </c>
      <c r="M268" s="13">
        <f t="shared" si="14"/>
        <v>12910869.353820473</v>
      </c>
      <c r="N268" s="13">
        <f t="shared" si="15"/>
        <v>12930313.686840381</v>
      </c>
      <c r="O268" s="13">
        <f t="shared" si="16"/>
        <v>-19444.333019908518</v>
      </c>
      <c r="P268" s="12">
        <f t="shared" si="17"/>
        <v>-1.5037789098417368E-3</v>
      </c>
    </row>
    <row r="269" spans="1:16" ht="14.4" x14ac:dyDescent="0.3">
      <c r="A269" s="7" t="s">
        <v>319</v>
      </c>
      <c r="B269" s="8">
        <v>45107</v>
      </c>
      <c r="C269" s="9">
        <v>267.2</v>
      </c>
      <c r="D269" s="8">
        <v>45198</v>
      </c>
      <c r="E269" s="9">
        <v>309.25</v>
      </c>
      <c r="F269" s="17">
        <v>15.74</v>
      </c>
      <c r="G269" s="11"/>
      <c r="H269" s="12">
        <f t="shared" si="9"/>
        <v>0.15737275449101801</v>
      </c>
      <c r="I269" s="13">
        <f t="shared" si="10"/>
        <v>31474.550898203601</v>
      </c>
      <c r="J269" s="13">
        <f t="shared" si="11"/>
        <v>31474.550898203601</v>
      </c>
      <c r="K269" s="13">
        <f t="shared" si="12"/>
        <v>0</v>
      </c>
      <c r="L269" s="13">
        <f t="shared" si="13"/>
        <v>2942343.9047186775</v>
      </c>
      <c r="M269" s="13">
        <f t="shared" si="14"/>
        <v>12942343.904718678</v>
      </c>
      <c r="N269" s="13">
        <f t="shared" si="15"/>
        <v>12942343.904718678</v>
      </c>
      <c r="O269" s="13">
        <f t="shared" si="16"/>
        <v>0</v>
      </c>
      <c r="P269" s="12">
        <f t="shared" si="17"/>
        <v>0</v>
      </c>
    </row>
    <row r="270" spans="1:16" ht="14.4" x14ac:dyDescent="0.3">
      <c r="A270" s="7" t="s">
        <v>320</v>
      </c>
      <c r="B270" s="8">
        <v>45107</v>
      </c>
      <c r="C270" s="9">
        <v>13.24</v>
      </c>
      <c r="D270" s="8">
        <v>45198</v>
      </c>
      <c r="E270" s="9">
        <v>16.600000000000001</v>
      </c>
      <c r="F270" s="17">
        <v>25.38</v>
      </c>
      <c r="G270" s="11"/>
      <c r="H270" s="12">
        <f t="shared" si="9"/>
        <v>0.25377643504531733</v>
      </c>
      <c r="I270" s="13">
        <f t="shared" si="10"/>
        <v>50755.287009063468</v>
      </c>
      <c r="J270" s="13">
        <f t="shared" si="11"/>
        <v>50755.287009063468</v>
      </c>
      <c r="K270" s="13">
        <f t="shared" si="12"/>
        <v>0</v>
      </c>
      <c r="L270" s="13">
        <f t="shared" si="13"/>
        <v>2993099.1917277412</v>
      </c>
      <c r="M270" s="13">
        <f t="shared" si="14"/>
        <v>12993099.191727741</v>
      </c>
      <c r="N270" s="13">
        <f t="shared" si="15"/>
        <v>12993099.191727741</v>
      </c>
      <c r="O270" s="13">
        <f t="shared" si="16"/>
        <v>0</v>
      </c>
      <c r="P270" s="12">
        <f t="shared" si="17"/>
        <v>0</v>
      </c>
    </row>
    <row r="271" spans="1:16" ht="14.4" x14ac:dyDescent="0.3">
      <c r="A271" s="7" t="s">
        <v>321</v>
      </c>
      <c r="B271" s="8">
        <v>45107</v>
      </c>
      <c r="C271" s="9">
        <v>88</v>
      </c>
      <c r="D271" s="8">
        <v>45198</v>
      </c>
      <c r="E271" s="9">
        <v>91.4</v>
      </c>
      <c r="F271" s="17">
        <v>3.86</v>
      </c>
      <c r="G271" s="11"/>
      <c r="H271" s="12">
        <f t="shared" si="9"/>
        <v>3.8636363636363698E-2</v>
      </c>
      <c r="I271" s="13">
        <f t="shared" si="10"/>
        <v>7727.2727272727398</v>
      </c>
      <c r="J271" s="13">
        <f t="shared" si="11"/>
        <v>7727.2727272727398</v>
      </c>
      <c r="K271" s="13">
        <f t="shared" si="12"/>
        <v>0</v>
      </c>
      <c r="L271" s="13">
        <f t="shared" si="13"/>
        <v>3000826.4644550141</v>
      </c>
      <c r="M271" s="13">
        <f t="shared" si="14"/>
        <v>13000826.464455014</v>
      </c>
      <c r="N271" s="13">
        <f t="shared" si="15"/>
        <v>13000826.464455014</v>
      </c>
      <c r="O271" s="13">
        <f t="shared" si="16"/>
        <v>0</v>
      </c>
      <c r="P271" s="12">
        <f t="shared" si="17"/>
        <v>0</v>
      </c>
    </row>
    <row r="272" spans="1:16" ht="14.4" x14ac:dyDescent="0.3">
      <c r="A272" s="7" t="s">
        <v>322</v>
      </c>
      <c r="B272" s="8">
        <v>45107</v>
      </c>
      <c r="C272" s="9">
        <v>384.65</v>
      </c>
      <c r="D272" s="8">
        <v>45198</v>
      </c>
      <c r="E272" s="9">
        <v>437.45</v>
      </c>
      <c r="F272" s="17">
        <v>13.73</v>
      </c>
      <c r="G272" s="11"/>
      <c r="H272" s="12">
        <f t="shared" si="9"/>
        <v>0.13726764591186796</v>
      </c>
      <c r="I272" s="13">
        <f t="shared" si="10"/>
        <v>27453.529182373593</v>
      </c>
      <c r="J272" s="13">
        <f t="shared" si="11"/>
        <v>27453.529182373593</v>
      </c>
      <c r="K272" s="13">
        <f t="shared" si="12"/>
        <v>0</v>
      </c>
      <c r="L272" s="13">
        <f t="shared" si="13"/>
        <v>3028279.9936373876</v>
      </c>
      <c r="M272" s="13">
        <f t="shared" si="14"/>
        <v>13028279.993637387</v>
      </c>
      <c r="N272" s="13">
        <f t="shared" si="15"/>
        <v>13028279.993637387</v>
      </c>
      <c r="O272" s="13">
        <f t="shared" si="16"/>
        <v>0</v>
      </c>
      <c r="P272" s="12">
        <f t="shared" si="17"/>
        <v>0</v>
      </c>
    </row>
    <row r="273" spans="1:16" ht="14.4" x14ac:dyDescent="0.3">
      <c r="A273" s="7" t="s">
        <v>323</v>
      </c>
      <c r="B273" s="8">
        <v>45107</v>
      </c>
      <c r="C273" s="9">
        <v>24.95</v>
      </c>
      <c r="D273" s="8">
        <v>45198</v>
      </c>
      <c r="E273" s="9">
        <v>33.549999999999997</v>
      </c>
      <c r="F273" s="17">
        <v>34.47</v>
      </c>
      <c r="G273" s="11"/>
      <c r="H273" s="12">
        <f t="shared" si="9"/>
        <v>0.34468937875751493</v>
      </c>
      <c r="I273" s="13">
        <f t="shared" si="10"/>
        <v>68937.875751502987</v>
      </c>
      <c r="J273" s="13">
        <f t="shared" si="11"/>
        <v>68937.875751502987</v>
      </c>
      <c r="K273" s="13">
        <f t="shared" si="12"/>
        <v>0</v>
      </c>
      <c r="L273" s="13">
        <f t="shared" si="13"/>
        <v>3097217.8693888905</v>
      </c>
      <c r="M273" s="13">
        <f t="shared" si="14"/>
        <v>13097217.86938889</v>
      </c>
      <c r="N273" s="13">
        <f t="shared" si="15"/>
        <v>13097217.86938889</v>
      </c>
      <c r="O273" s="13">
        <f t="shared" si="16"/>
        <v>0</v>
      </c>
      <c r="P273" s="12">
        <f t="shared" si="17"/>
        <v>0</v>
      </c>
    </row>
    <row r="274" spans="1:16" ht="14.4" x14ac:dyDescent="0.3">
      <c r="A274" s="7" t="s">
        <v>324</v>
      </c>
      <c r="B274" s="8">
        <v>45107</v>
      </c>
      <c r="C274" s="9">
        <v>882.35</v>
      </c>
      <c r="D274" s="8">
        <v>45198</v>
      </c>
      <c r="E274" s="9">
        <v>1462.2</v>
      </c>
      <c r="F274" s="17">
        <v>65.72</v>
      </c>
      <c r="G274" s="11"/>
      <c r="H274" s="12">
        <f t="shared" si="9"/>
        <v>0.65716552388507965</v>
      </c>
      <c r="I274" s="13">
        <f t="shared" si="10"/>
        <v>131433.10477701592</v>
      </c>
      <c r="J274" s="13">
        <f t="shared" si="11"/>
        <v>131433.10477701592</v>
      </c>
      <c r="K274" s="13">
        <f t="shared" si="12"/>
        <v>0</v>
      </c>
      <c r="L274" s="13">
        <f t="shared" si="13"/>
        <v>3228650.9741659062</v>
      </c>
      <c r="M274" s="13">
        <f t="shared" si="14"/>
        <v>13228650.974165905</v>
      </c>
      <c r="N274" s="13">
        <f t="shared" si="15"/>
        <v>13228650.974165905</v>
      </c>
      <c r="O274" s="13">
        <f t="shared" si="16"/>
        <v>0</v>
      </c>
      <c r="P274" s="12">
        <f t="shared" si="17"/>
        <v>0</v>
      </c>
    </row>
    <row r="275" spans="1:16" ht="14.4" x14ac:dyDescent="0.3">
      <c r="A275" s="7" t="s">
        <v>325</v>
      </c>
      <c r="B275" s="8">
        <v>45107</v>
      </c>
      <c r="C275" s="9">
        <v>512.5</v>
      </c>
      <c r="D275" s="8">
        <v>45198</v>
      </c>
      <c r="E275" s="9">
        <v>538.45000000000005</v>
      </c>
      <c r="F275" s="17">
        <v>5.0599999999999996</v>
      </c>
      <c r="G275" s="11"/>
      <c r="H275" s="12">
        <f t="shared" si="9"/>
        <v>5.0634146341463501E-2</v>
      </c>
      <c r="I275" s="13">
        <f t="shared" si="10"/>
        <v>10126.8292682927</v>
      </c>
      <c r="J275" s="13">
        <f t="shared" si="11"/>
        <v>10126.8292682927</v>
      </c>
      <c r="K275" s="13">
        <f t="shared" si="12"/>
        <v>0</v>
      </c>
      <c r="L275" s="13">
        <f t="shared" si="13"/>
        <v>3238777.8034341987</v>
      </c>
      <c r="M275" s="13">
        <f t="shared" si="14"/>
        <v>13238777.803434199</v>
      </c>
      <c r="N275" s="13">
        <f t="shared" si="15"/>
        <v>13238777.803434199</v>
      </c>
      <c r="O275" s="13">
        <f t="shared" si="16"/>
        <v>0</v>
      </c>
      <c r="P275" s="12">
        <f t="shared" si="17"/>
        <v>0</v>
      </c>
    </row>
    <row r="276" spans="1:16" ht="14.4" x14ac:dyDescent="0.3">
      <c r="A276" s="7" t="s">
        <v>326</v>
      </c>
      <c r="B276" s="8">
        <v>45107</v>
      </c>
      <c r="C276" s="9">
        <v>338.45</v>
      </c>
      <c r="D276" s="8">
        <v>45198</v>
      </c>
      <c r="E276" s="9">
        <v>376</v>
      </c>
      <c r="F276" s="17">
        <v>11.09</v>
      </c>
      <c r="G276" s="11"/>
      <c r="H276" s="12">
        <f t="shared" si="9"/>
        <v>0.11094696410104894</v>
      </c>
      <c r="I276" s="13">
        <f t="shared" si="10"/>
        <v>22189.392820209789</v>
      </c>
      <c r="J276" s="13">
        <f t="shared" si="11"/>
        <v>22189.392820209789</v>
      </c>
      <c r="K276" s="13">
        <f t="shared" si="12"/>
        <v>0</v>
      </c>
      <c r="L276" s="13">
        <f t="shared" si="13"/>
        <v>3260967.1962544085</v>
      </c>
      <c r="M276" s="13">
        <f t="shared" si="14"/>
        <v>13260967.196254408</v>
      </c>
      <c r="N276" s="13">
        <f t="shared" si="15"/>
        <v>13260967.196254408</v>
      </c>
      <c r="O276" s="13">
        <f t="shared" si="16"/>
        <v>0</v>
      </c>
      <c r="P276" s="12">
        <f t="shared" si="17"/>
        <v>0</v>
      </c>
    </row>
    <row r="277" spans="1:16" ht="14.4" x14ac:dyDescent="0.3">
      <c r="A277" s="7" t="s">
        <v>327</v>
      </c>
      <c r="B277" s="8">
        <v>45107</v>
      </c>
      <c r="C277" s="9">
        <v>31.39</v>
      </c>
      <c r="D277" s="8">
        <v>45198</v>
      </c>
      <c r="E277" s="9">
        <v>37.119999999999997</v>
      </c>
      <c r="F277" s="17">
        <v>18.25</v>
      </c>
      <c r="G277" s="11"/>
      <c r="H277" s="12">
        <f t="shared" si="9"/>
        <v>0.18254221089518946</v>
      </c>
      <c r="I277" s="13">
        <f t="shared" si="10"/>
        <v>36508.442179037891</v>
      </c>
      <c r="J277" s="13">
        <f t="shared" si="11"/>
        <v>36508.442179037891</v>
      </c>
      <c r="K277" s="13">
        <f t="shared" si="12"/>
        <v>0</v>
      </c>
      <c r="L277" s="13">
        <f t="shared" si="13"/>
        <v>3297475.6384334462</v>
      </c>
      <c r="M277" s="13">
        <f t="shared" si="14"/>
        <v>13297475.638433445</v>
      </c>
      <c r="N277" s="13">
        <f t="shared" si="15"/>
        <v>13297475.638433445</v>
      </c>
      <c r="O277" s="13">
        <f t="shared" si="16"/>
        <v>0</v>
      </c>
      <c r="P277" s="12">
        <f t="shared" si="17"/>
        <v>0</v>
      </c>
    </row>
    <row r="278" spans="1:16" ht="14.4" x14ac:dyDescent="0.3">
      <c r="A278" s="7" t="s">
        <v>328</v>
      </c>
      <c r="B278" s="8">
        <v>45107</v>
      </c>
      <c r="C278" s="9">
        <v>71.099999999999994</v>
      </c>
      <c r="D278" s="8">
        <v>45198</v>
      </c>
      <c r="E278" s="9">
        <v>81.55</v>
      </c>
      <c r="F278" s="17">
        <v>14.7</v>
      </c>
      <c r="G278" s="11"/>
      <c r="H278" s="12">
        <f t="shared" si="9"/>
        <v>0.14697609001406475</v>
      </c>
      <c r="I278" s="13">
        <f t="shared" si="10"/>
        <v>29395.218002812951</v>
      </c>
      <c r="J278" s="13">
        <f t="shared" si="11"/>
        <v>29395.218002812951</v>
      </c>
      <c r="K278" s="13">
        <f t="shared" si="12"/>
        <v>0</v>
      </c>
      <c r="L278" s="13">
        <f t="shared" si="13"/>
        <v>3326870.8564362591</v>
      </c>
      <c r="M278" s="13">
        <f t="shared" si="14"/>
        <v>13326870.85643626</v>
      </c>
      <c r="N278" s="13">
        <f t="shared" si="15"/>
        <v>13326870.85643626</v>
      </c>
      <c r="O278" s="13">
        <f t="shared" si="16"/>
        <v>0</v>
      </c>
      <c r="P278" s="12">
        <f t="shared" si="17"/>
        <v>0</v>
      </c>
    </row>
    <row r="279" spans="1:16" ht="14.4" x14ac:dyDescent="0.3">
      <c r="A279" s="7" t="s">
        <v>329</v>
      </c>
      <c r="B279" s="8">
        <v>45107</v>
      </c>
      <c r="C279" s="9">
        <v>7.47</v>
      </c>
      <c r="D279" s="8">
        <v>45198</v>
      </c>
      <c r="E279" s="9">
        <v>6.62</v>
      </c>
      <c r="F279" s="17">
        <v>-11.38</v>
      </c>
      <c r="G279" s="11"/>
      <c r="H279" s="12">
        <f t="shared" si="9"/>
        <v>-0.11378848728246314</v>
      </c>
      <c r="I279" s="13">
        <f t="shared" si="10"/>
        <v>-22757.697456492628</v>
      </c>
      <c r="J279" s="13">
        <f t="shared" si="11"/>
        <v>0</v>
      </c>
      <c r="K279" s="13">
        <f t="shared" si="12"/>
        <v>-22757.697456492628</v>
      </c>
      <c r="L279" s="13">
        <f t="shared" si="13"/>
        <v>3304113.1589797665</v>
      </c>
      <c r="M279" s="13">
        <f t="shared" si="14"/>
        <v>13304113.158979766</v>
      </c>
      <c r="N279" s="13">
        <f t="shared" si="15"/>
        <v>13326870.85643626</v>
      </c>
      <c r="O279" s="13">
        <f t="shared" si="16"/>
        <v>-22757.697456493974</v>
      </c>
      <c r="P279" s="12">
        <f t="shared" si="17"/>
        <v>-1.7076549853038503E-3</v>
      </c>
    </row>
    <row r="280" spans="1:16" ht="14.4" x14ac:dyDescent="0.3">
      <c r="A280" s="7" t="s">
        <v>330</v>
      </c>
      <c r="B280" s="8">
        <v>45107</v>
      </c>
      <c r="C280" s="9">
        <v>148.55000000000001</v>
      </c>
      <c r="D280" s="8">
        <v>45198</v>
      </c>
      <c r="E280" s="9">
        <v>155</v>
      </c>
      <c r="F280" s="17">
        <v>4.34</v>
      </c>
      <c r="G280" s="11"/>
      <c r="H280" s="12">
        <f t="shared" si="9"/>
        <v>4.341972399865357E-2</v>
      </c>
      <c r="I280" s="13">
        <f t="shared" si="10"/>
        <v>8683.9447997307143</v>
      </c>
      <c r="J280" s="13">
        <f t="shared" si="11"/>
        <v>8683.9447997307143</v>
      </c>
      <c r="K280" s="13">
        <f t="shared" si="12"/>
        <v>0</v>
      </c>
      <c r="L280" s="13">
        <f t="shared" si="13"/>
        <v>3312797.1037794971</v>
      </c>
      <c r="M280" s="13">
        <f t="shared" si="14"/>
        <v>13312797.103779497</v>
      </c>
      <c r="N280" s="13">
        <f t="shared" si="15"/>
        <v>13326870.85643626</v>
      </c>
      <c r="O280" s="13">
        <f t="shared" si="16"/>
        <v>-14073.75265676342</v>
      </c>
      <c r="P280" s="12">
        <f t="shared" si="17"/>
        <v>-1.0560432984136295E-3</v>
      </c>
    </row>
    <row r="281" spans="1:16" ht="14.4" x14ac:dyDescent="0.3">
      <c r="A281" s="7" t="s">
        <v>331</v>
      </c>
      <c r="B281" s="8">
        <v>45107</v>
      </c>
      <c r="C281" s="9">
        <v>13612.75</v>
      </c>
      <c r="D281" s="8">
        <v>45198</v>
      </c>
      <c r="E281" s="9">
        <v>16319.5</v>
      </c>
      <c r="F281" s="17">
        <v>19.88</v>
      </c>
      <c r="G281" s="11"/>
      <c r="H281" s="12">
        <f t="shared" si="9"/>
        <v>0.19883932342840352</v>
      </c>
      <c r="I281" s="13">
        <f t="shared" si="10"/>
        <v>39767.864685680703</v>
      </c>
      <c r="J281" s="13">
        <f t="shared" si="11"/>
        <v>39767.864685680703</v>
      </c>
      <c r="K281" s="13">
        <f t="shared" si="12"/>
        <v>0</v>
      </c>
      <c r="L281" s="13">
        <f t="shared" si="13"/>
        <v>3352564.9684651778</v>
      </c>
      <c r="M281" s="13">
        <f t="shared" si="14"/>
        <v>13352564.968465177</v>
      </c>
      <c r="N281" s="13">
        <f t="shared" si="15"/>
        <v>13352564.968465177</v>
      </c>
      <c r="O281" s="13">
        <f t="shared" si="16"/>
        <v>0</v>
      </c>
      <c r="P281" s="12">
        <f t="shared" si="17"/>
        <v>0</v>
      </c>
    </row>
    <row r="282" spans="1:16" ht="14.4" x14ac:dyDescent="0.3">
      <c r="A282" s="7" t="s">
        <v>332</v>
      </c>
      <c r="B282" s="8">
        <v>45107</v>
      </c>
      <c r="C282" s="9">
        <v>172.85</v>
      </c>
      <c r="D282" s="8">
        <v>45198</v>
      </c>
      <c r="E282" s="9">
        <v>244.7</v>
      </c>
      <c r="F282" s="17">
        <v>41.57</v>
      </c>
      <c r="G282" s="11"/>
      <c r="H282" s="12">
        <f t="shared" si="9"/>
        <v>0.41567833381544689</v>
      </c>
      <c r="I282" s="13">
        <f t="shared" si="10"/>
        <v>83135.666763089379</v>
      </c>
      <c r="J282" s="13">
        <f t="shared" si="11"/>
        <v>83135.666763089379</v>
      </c>
      <c r="K282" s="13">
        <f t="shared" si="12"/>
        <v>0</v>
      </c>
      <c r="L282" s="13">
        <f t="shared" si="13"/>
        <v>3435700.6352282674</v>
      </c>
      <c r="M282" s="13">
        <f t="shared" si="14"/>
        <v>13435700.635228267</v>
      </c>
      <c r="N282" s="13">
        <f t="shared" si="15"/>
        <v>13435700.635228267</v>
      </c>
      <c r="O282" s="13">
        <f t="shared" si="16"/>
        <v>0</v>
      </c>
      <c r="P282" s="12">
        <f t="shared" si="17"/>
        <v>0</v>
      </c>
    </row>
    <row r="283" spans="1:16" ht="14.4" x14ac:dyDescent="0.3">
      <c r="A283" s="7" t="s">
        <v>333</v>
      </c>
      <c r="B283" s="8">
        <v>45107</v>
      </c>
      <c r="C283" s="9">
        <v>16.46</v>
      </c>
      <c r="D283" s="8">
        <v>45198</v>
      </c>
      <c r="E283" s="9">
        <v>31.09</v>
      </c>
      <c r="F283" s="17">
        <v>88.88</v>
      </c>
      <c r="G283" s="11"/>
      <c r="H283" s="12">
        <f t="shared" si="9"/>
        <v>0.88882138517618459</v>
      </c>
      <c r="I283" s="13">
        <f t="shared" si="10"/>
        <v>177764.27703523691</v>
      </c>
      <c r="J283" s="13">
        <f t="shared" si="11"/>
        <v>177764.27703523691</v>
      </c>
      <c r="K283" s="13">
        <f t="shared" si="12"/>
        <v>0</v>
      </c>
      <c r="L283" s="13">
        <f t="shared" si="13"/>
        <v>3613464.9122635042</v>
      </c>
      <c r="M283" s="13">
        <f t="shared" si="14"/>
        <v>13613464.912263505</v>
      </c>
      <c r="N283" s="13">
        <f t="shared" si="15"/>
        <v>13613464.912263505</v>
      </c>
      <c r="O283" s="13">
        <f t="shared" si="16"/>
        <v>0</v>
      </c>
      <c r="P283" s="12">
        <f t="shared" si="17"/>
        <v>0</v>
      </c>
    </row>
    <row r="284" spans="1:16" ht="14.4" x14ac:dyDescent="0.3">
      <c r="A284" s="7" t="s">
        <v>334</v>
      </c>
      <c r="B284" s="8">
        <v>45107</v>
      </c>
      <c r="C284" s="9">
        <v>828.55</v>
      </c>
      <c r="D284" s="8">
        <v>45198</v>
      </c>
      <c r="E284" s="9">
        <v>718.6</v>
      </c>
      <c r="F284" s="17">
        <v>-13.27</v>
      </c>
      <c r="G284" s="11"/>
      <c r="H284" s="12">
        <f t="shared" si="9"/>
        <v>-0.13270170780278792</v>
      </c>
      <c r="I284" s="13">
        <f t="shared" si="10"/>
        <v>-26540.341560557583</v>
      </c>
      <c r="J284" s="13">
        <f t="shared" si="11"/>
        <v>0</v>
      </c>
      <c r="K284" s="13">
        <f t="shared" si="12"/>
        <v>-26540.341560557583</v>
      </c>
      <c r="L284" s="13">
        <f t="shared" si="13"/>
        <v>3586924.5707029467</v>
      </c>
      <c r="M284" s="13">
        <f t="shared" si="14"/>
        <v>13586924.570702948</v>
      </c>
      <c r="N284" s="13">
        <f t="shared" si="15"/>
        <v>13613464.912263505</v>
      </c>
      <c r="O284" s="13">
        <f t="shared" si="16"/>
        <v>-26540.341560557485</v>
      </c>
      <c r="P284" s="12">
        <f t="shared" si="17"/>
        <v>-1.9495655023614876E-3</v>
      </c>
    </row>
    <row r="285" spans="1:16" ht="14.4" x14ac:dyDescent="0.3">
      <c r="A285" s="7" t="s">
        <v>335</v>
      </c>
      <c r="B285" s="8">
        <v>45107</v>
      </c>
      <c r="C285" s="9">
        <v>61.98</v>
      </c>
      <c r="D285" s="8">
        <v>45198</v>
      </c>
      <c r="E285" s="9">
        <v>56.41</v>
      </c>
      <c r="F285" s="17">
        <v>-8.99</v>
      </c>
      <c r="G285" s="11"/>
      <c r="H285" s="12">
        <f t="shared" si="9"/>
        <v>-8.9867699257825118E-2</v>
      </c>
      <c r="I285" s="13">
        <f t="shared" si="10"/>
        <v>-17973.539851565023</v>
      </c>
      <c r="J285" s="13">
        <f t="shared" si="11"/>
        <v>0</v>
      </c>
      <c r="K285" s="13">
        <f t="shared" si="12"/>
        <v>-17973.539851565023</v>
      </c>
      <c r="L285" s="13">
        <f t="shared" si="13"/>
        <v>3568951.0308513818</v>
      </c>
      <c r="M285" s="13">
        <f t="shared" si="14"/>
        <v>13568951.030851383</v>
      </c>
      <c r="N285" s="13">
        <f t="shared" si="15"/>
        <v>13613464.912263505</v>
      </c>
      <c r="O285" s="13">
        <f t="shared" si="16"/>
        <v>-44513.881412122399</v>
      </c>
      <c r="P285" s="12">
        <f t="shared" si="17"/>
        <v>-3.2698421525311069E-3</v>
      </c>
    </row>
    <row r="286" spans="1:16" ht="14.4" x14ac:dyDescent="0.3">
      <c r="A286" s="7" t="s">
        <v>336</v>
      </c>
      <c r="B286" s="8">
        <v>45107</v>
      </c>
      <c r="C286" s="9">
        <v>704.9</v>
      </c>
      <c r="D286" s="8">
        <v>45198</v>
      </c>
      <c r="E286" s="9">
        <v>620.1</v>
      </c>
      <c r="F286" s="17">
        <v>-12.03</v>
      </c>
      <c r="G286" s="11"/>
      <c r="H286" s="12">
        <f t="shared" si="9"/>
        <v>-0.12030075187969919</v>
      </c>
      <c r="I286" s="13">
        <f t="shared" si="10"/>
        <v>-24060.150375939837</v>
      </c>
      <c r="J286" s="13">
        <f t="shared" si="11"/>
        <v>0</v>
      </c>
      <c r="K286" s="13">
        <f t="shared" si="12"/>
        <v>-24060.150375939837</v>
      </c>
      <c r="L286" s="13">
        <f t="shared" si="13"/>
        <v>3544890.8804754419</v>
      </c>
      <c r="M286" s="13">
        <f t="shared" si="14"/>
        <v>13544890.880475443</v>
      </c>
      <c r="N286" s="13">
        <f t="shared" si="15"/>
        <v>13613464.912263505</v>
      </c>
      <c r="O286" s="13">
        <f t="shared" si="16"/>
        <v>-68574.031788062304</v>
      </c>
      <c r="P286" s="12">
        <f t="shared" si="17"/>
        <v>-5.0372210330000789E-3</v>
      </c>
    </row>
    <row r="287" spans="1:16" ht="14.4" x14ac:dyDescent="0.3">
      <c r="A287" s="7" t="s">
        <v>337</v>
      </c>
      <c r="B287" s="8">
        <v>45107</v>
      </c>
      <c r="C287" s="9">
        <v>418.05</v>
      </c>
      <c r="D287" s="8">
        <v>45198</v>
      </c>
      <c r="E287" s="9">
        <v>439.05</v>
      </c>
      <c r="F287" s="17">
        <v>5.0199999999999996</v>
      </c>
      <c r="G287" s="11"/>
      <c r="H287" s="12">
        <f t="shared" si="9"/>
        <v>5.0233225690706852E-2</v>
      </c>
      <c r="I287" s="13">
        <f t="shared" si="10"/>
        <v>10046.64513814137</v>
      </c>
      <c r="J287" s="13">
        <f t="shared" si="11"/>
        <v>10046.64513814137</v>
      </c>
      <c r="K287" s="13">
        <f t="shared" si="12"/>
        <v>0</v>
      </c>
      <c r="L287" s="13">
        <f t="shared" si="13"/>
        <v>3554937.5256135832</v>
      </c>
      <c r="M287" s="13">
        <f t="shared" si="14"/>
        <v>13554937.525613584</v>
      </c>
      <c r="N287" s="13">
        <f t="shared" si="15"/>
        <v>13613464.912263505</v>
      </c>
      <c r="O287" s="13">
        <f t="shared" si="16"/>
        <v>-58527.386649921536</v>
      </c>
      <c r="P287" s="12">
        <f t="shared" si="17"/>
        <v>-4.2992277885990611E-3</v>
      </c>
    </row>
    <row r="288" spans="1:16" ht="14.4" x14ac:dyDescent="0.3">
      <c r="A288" s="7" t="s">
        <v>338</v>
      </c>
      <c r="B288" s="8">
        <v>45107</v>
      </c>
      <c r="C288" s="9">
        <v>66.010000000000005</v>
      </c>
      <c r="D288" s="8">
        <v>45198</v>
      </c>
      <c r="E288" s="9">
        <v>74.5</v>
      </c>
      <c r="F288" s="17">
        <v>12.86</v>
      </c>
      <c r="G288" s="11"/>
      <c r="H288" s="12">
        <f t="shared" si="9"/>
        <v>0.12861687623087403</v>
      </c>
      <c r="I288" s="13">
        <f t="shared" si="10"/>
        <v>25723.375246174808</v>
      </c>
      <c r="J288" s="13">
        <f t="shared" si="11"/>
        <v>25723.375246174808</v>
      </c>
      <c r="K288" s="13">
        <f t="shared" si="12"/>
        <v>0</v>
      </c>
      <c r="L288" s="13">
        <f t="shared" si="13"/>
        <v>3580660.9008597578</v>
      </c>
      <c r="M288" s="13">
        <f t="shared" si="14"/>
        <v>13580660.900859758</v>
      </c>
      <c r="N288" s="13">
        <f t="shared" si="15"/>
        <v>13613464.912263505</v>
      </c>
      <c r="O288" s="13">
        <f t="shared" si="16"/>
        <v>-32804.011403746903</v>
      </c>
      <c r="P288" s="12">
        <f t="shared" si="17"/>
        <v>-2.4096739232196394E-3</v>
      </c>
    </row>
    <row r="289" spans="1:16" ht="14.4" x14ac:dyDescent="0.3">
      <c r="A289" s="7" t="s">
        <v>339</v>
      </c>
      <c r="B289" s="8">
        <v>45107</v>
      </c>
      <c r="C289" s="9">
        <v>238.2</v>
      </c>
      <c r="D289" s="8">
        <v>45198</v>
      </c>
      <c r="E289" s="9">
        <v>311.35000000000002</v>
      </c>
      <c r="F289" s="17">
        <v>30.71</v>
      </c>
      <c r="G289" s="11"/>
      <c r="H289" s="12">
        <f t="shared" si="9"/>
        <v>0.30709487825356857</v>
      </c>
      <c r="I289" s="13">
        <f t="shared" si="10"/>
        <v>61418.975650713714</v>
      </c>
      <c r="J289" s="13">
        <f t="shared" si="11"/>
        <v>61418.975650713714</v>
      </c>
      <c r="K289" s="13">
        <f t="shared" si="12"/>
        <v>0</v>
      </c>
      <c r="L289" s="13">
        <f t="shared" si="13"/>
        <v>3642079.8765104716</v>
      </c>
      <c r="M289" s="13">
        <f t="shared" si="14"/>
        <v>13642079.876510471</v>
      </c>
      <c r="N289" s="13">
        <f t="shared" si="15"/>
        <v>13642079.876510471</v>
      </c>
      <c r="O289" s="13">
        <f t="shared" si="16"/>
        <v>0</v>
      </c>
      <c r="P289" s="12">
        <f t="shared" si="17"/>
        <v>0</v>
      </c>
    </row>
    <row r="290" spans="1:16" ht="14.4" x14ac:dyDescent="0.3">
      <c r="A290" s="7" t="s">
        <v>340</v>
      </c>
      <c r="B290" s="8">
        <v>45107</v>
      </c>
      <c r="C290" s="9">
        <v>465.35</v>
      </c>
      <c r="D290" s="8">
        <v>45198</v>
      </c>
      <c r="E290" s="9">
        <v>505.85</v>
      </c>
      <c r="F290" s="17">
        <v>8.6999999999999993</v>
      </c>
      <c r="G290" s="11"/>
      <c r="H290" s="12">
        <f t="shared" si="9"/>
        <v>8.703126678843881E-2</v>
      </c>
      <c r="I290" s="13">
        <f t="shared" si="10"/>
        <v>17406.253357687761</v>
      </c>
      <c r="J290" s="13">
        <f t="shared" si="11"/>
        <v>17406.253357687761</v>
      </c>
      <c r="K290" s="13">
        <f t="shared" si="12"/>
        <v>0</v>
      </c>
      <c r="L290" s="13">
        <f t="shared" si="13"/>
        <v>3659486.1298681595</v>
      </c>
      <c r="M290" s="13">
        <f t="shared" si="14"/>
        <v>13659486.129868159</v>
      </c>
      <c r="N290" s="13">
        <f t="shared" si="15"/>
        <v>13659486.129868159</v>
      </c>
      <c r="O290" s="13">
        <f t="shared" si="16"/>
        <v>0</v>
      </c>
      <c r="P290" s="12">
        <f t="shared" si="17"/>
        <v>0</v>
      </c>
    </row>
    <row r="291" spans="1:16" ht="14.4" x14ac:dyDescent="0.3">
      <c r="A291" s="7" t="s">
        <v>341</v>
      </c>
      <c r="B291" s="8">
        <v>45107</v>
      </c>
      <c r="C291" s="9">
        <v>288.14999999999998</v>
      </c>
      <c r="D291" s="8">
        <v>45198</v>
      </c>
      <c r="E291" s="9">
        <v>327.95</v>
      </c>
      <c r="F291" s="17">
        <v>13.81</v>
      </c>
      <c r="G291" s="11"/>
      <c r="H291" s="12">
        <f t="shared" si="9"/>
        <v>0.13812250563942396</v>
      </c>
      <c r="I291" s="13">
        <f t="shared" si="10"/>
        <v>27624.501127884792</v>
      </c>
      <c r="J291" s="13">
        <f t="shared" si="11"/>
        <v>27624.501127884792</v>
      </c>
      <c r="K291" s="13">
        <f t="shared" si="12"/>
        <v>0</v>
      </c>
      <c r="L291" s="13">
        <f t="shared" si="13"/>
        <v>3687110.6309960443</v>
      </c>
      <c r="M291" s="13">
        <f t="shared" si="14"/>
        <v>13687110.630996045</v>
      </c>
      <c r="N291" s="13">
        <f t="shared" si="15"/>
        <v>13687110.630996045</v>
      </c>
      <c r="O291" s="13">
        <f t="shared" si="16"/>
        <v>0</v>
      </c>
      <c r="P291" s="12">
        <f t="shared" si="17"/>
        <v>0</v>
      </c>
    </row>
    <row r="292" spans="1:16" ht="14.4" x14ac:dyDescent="0.3">
      <c r="A292" s="7" t="s">
        <v>107</v>
      </c>
      <c r="B292" s="8">
        <v>45107</v>
      </c>
      <c r="C292" s="9">
        <v>408.8</v>
      </c>
      <c r="D292" s="8">
        <v>45198</v>
      </c>
      <c r="E292" s="9">
        <v>486.4</v>
      </c>
      <c r="F292" s="17">
        <v>18.98</v>
      </c>
      <c r="G292" s="11"/>
      <c r="H292" s="12">
        <f t="shared" si="9"/>
        <v>0.18982387475538151</v>
      </c>
      <c r="I292" s="13">
        <f t="shared" si="10"/>
        <v>37964.774951076302</v>
      </c>
      <c r="J292" s="13">
        <f t="shared" si="11"/>
        <v>37964.774951076302</v>
      </c>
      <c r="K292" s="13">
        <f t="shared" si="12"/>
        <v>0</v>
      </c>
      <c r="L292" s="13">
        <f t="shared" si="13"/>
        <v>3725075.4059471204</v>
      </c>
      <c r="M292" s="13">
        <f t="shared" si="14"/>
        <v>13725075.405947121</v>
      </c>
      <c r="N292" s="13">
        <f t="shared" si="15"/>
        <v>13725075.405947121</v>
      </c>
      <c r="O292" s="13">
        <f t="shared" si="16"/>
        <v>0</v>
      </c>
      <c r="P292" s="12">
        <f t="shared" si="17"/>
        <v>0</v>
      </c>
    </row>
    <row r="293" spans="1:16" ht="14.4" x14ac:dyDescent="0.3">
      <c r="A293" s="7" t="s">
        <v>231</v>
      </c>
      <c r="B293" s="8">
        <v>45107</v>
      </c>
      <c r="C293" s="9">
        <v>1896.25</v>
      </c>
      <c r="D293" s="8">
        <v>45198</v>
      </c>
      <c r="E293" s="9">
        <v>1928.15</v>
      </c>
      <c r="F293" s="17">
        <v>1.68</v>
      </c>
      <c r="G293" s="11"/>
      <c r="H293" s="12">
        <f t="shared" si="9"/>
        <v>1.6822676334871504E-2</v>
      </c>
      <c r="I293" s="13">
        <f t="shared" si="10"/>
        <v>3364.5352669743006</v>
      </c>
      <c r="J293" s="13">
        <f t="shared" si="11"/>
        <v>3364.5352669743006</v>
      </c>
      <c r="K293" s="13">
        <f t="shared" si="12"/>
        <v>0</v>
      </c>
      <c r="L293" s="13">
        <f t="shared" si="13"/>
        <v>3728439.9412140949</v>
      </c>
      <c r="M293" s="13">
        <f t="shared" si="14"/>
        <v>13728439.941214096</v>
      </c>
      <c r="N293" s="13">
        <f t="shared" si="15"/>
        <v>13728439.941214096</v>
      </c>
      <c r="O293" s="13">
        <f t="shared" si="16"/>
        <v>0</v>
      </c>
      <c r="P293" s="12">
        <f t="shared" si="17"/>
        <v>0</v>
      </c>
    </row>
    <row r="294" spans="1:16" ht="14.4" x14ac:dyDescent="0.3">
      <c r="A294" s="7" t="s">
        <v>342</v>
      </c>
      <c r="B294" s="8">
        <v>45107</v>
      </c>
      <c r="C294" s="9">
        <v>316.60000000000002</v>
      </c>
      <c r="D294" s="8">
        <v>45198</v>
      </c>
      <c r="E294" s="9">
        <v>406.3</v>
      </c>
      <c r="F294" s="17">
        <v>28.33</v>
      </c>
      <c r="G294" s="11"/>
      <c r="H294" s="12">
        <f t="shared" si="9"/>
        <v>0.28332280480101069</v>
      </c>
      <c r="I294" s="13">
        <f t="shared" si="10"/>
        <v>56664.560960202136</v>
      </c>
      <c r="J294" s="13">
        <f t="shared" si="11"/>
        <v>56664.560960202136</v>
      </c>
      <c r="K294" s="13">
        <f t="shared" si="12"/>
        <v>0</v>
      </c>
      <c r="L294" s="13">
        <f t="shared" si="13"/>
        <v>3785104.5021742969</v>
      </c>
      <c r="M294" s="13">
        <f t="shared" si="14"/>
        <v>13785104.502174297</v>
      </c>
      <c r="N294" s="13">
        <f t="shared" si="15"/>
        <v>13785104.502174297</v>
      </c>
      <c r="O294" s="13">
        <f t="shared" si="16"/>
        <v>0</v>
      </c>
      <c r="P294" s="12">
        <f t="shared" si="17"/>
        <v>0</v>
      </c>
    </row>
    <row r="295" spans="1:16" ht="14.4" x14ac:dyDescent="0.3">
      <c r="A295" s="7" t="s">
        <v>343</v>
      </c>
      <c r="B295" s="8">
        <v>45107</v>
      </c>
      <c r="C295" s="9">
        <v>112.41</v>
      </c>
      <c r="D295" s="8">
        <v>45198</v>
      </c>
      <c r="E295" s="9">
        <v>133.76</v>
      </c>
      <c r="F295" s="17">
        <v>18.989999999999998</v>
      </c>
      <c r="G295" s="11"/>
      <c r="H295" s="12">
        <f t="shared" si="9"/>
        <v>0.18992972155502175</v>
      </c>
      <c r="I295" s="13">
        <f t="shared" si="10"/>
        <v>37985.94431100435</v>
      </c>
      <c r="J295" s="13">
        <f t="shared" si="11"/>
        <v>37985.94431100435</v>
      </c>
      <c r="K295" s="13">
        <f t="shared" si="12"/>
        <v>0</v>
      </c>
      <c r="L295" s="13">
        <f t="shared" si="13"/>
        <v>3823090.446485301</v>
      </c>
      <c r="M295" s="13">
        <f t="shared" si="14"/>
        <v>13823090.446485301</v>
      </c>
      <c r="N295" s="13">
        <f t="shared" si="15"/>
        <v>13823090.446485301</v>
      </c>
      <c r="O295" s="13">
        <f t="shared" si="16"/>
        <v>0</v>
      </c>
      <c r="P295" s="12">
        <f t="shared" si="17"/>
        <v>0</v>
      </c>
    </row>
    <row r="296" spans="1:16" ht="14.4" x14ac:dyDescent="0.3">
      <c r="A296" s="7" t="s">
        <v>344</v>
      </c>
      <c r="B296" s="8">
        <v>45107</v>
      </c>
      <c r="C296" s="9">
        <v>35.9</v>
      </c>
      <c r="D296" s="8">
        <v>45198</v>
      </c>
      <c r="E296" s="9">
        <v>47.17</v>
      </c>
      <c r="F296" s="17">
        <v>31.39</v>
      </c>
      <c r="G296" s="11"/>
      <c r="H296" s="12">
        <f t="shared" si="9"/>
        <v>0.31392757660167142</v>
      </c>
      <c r="I296" s="13">
        <f t="shared" si="10"/>
        <v>62785.515320334285</v>
      </c>
      <c r="J296" s="13">
        <f t="shared" si="11"/>
        <v>62785.515320334285</v>
      </c>
      <c r="K296" s="13">
        <f t="shared" si="12"/>
        <v>0</v>
      </c>
      <c r="L296" s="13">
        <f t="shared" si="13"/>
        <v>3885875.9618056351</v>
      </c>
      <c r="M296" s="13">
        <f t="shared" si="14"/>
        <v>13885875.961805634</v>
      </c>
      <c r="N296" s="13">
        <f t="shared" si="15"/>
        <v>13885875.961805634</v>
      </c>
      <c r="O296" s="13">
        <f t="shared" si="16"/>
        <v>0</v>
      </c>
      <c r="P296" s="12">
        <f t="shared" si="17"/>
        <v>0</v>
      </c>
    </row>
    <row r="297" spans="1:16" ht="14.4" x14ac:dyDescent="0.3">
      <c r="A297" s="7" t="s">
        <v>345</v>
      </c>
      <c r="B297" s="8">
        <v>45107</v>
      </c>
      <c r="C297" s="9">
        <v>472.7</v>
      </c>
      <c r="D297" s="8">
        <v>45198</v>
      </c>
      <c r="E297" s="9">
        <v>499.2</v>
      </c>
      <c r="F297" s="17">
        <v>5.61</v>
      </c>
      <c r="G297" s="11"/>
      <c r="H297" s="12">
        <f t="shared" si="9"/>
        <v>5.6060926591918768E-2</v>
      </c>
      <c r="I297" s="13">
        <f t="shared" si="10"/>
        <v>11212.185318383754</v>
      </c>
      <c r="J297" s="13">
        <f t="shared" si="11"/>
        <v>11212.185318383754</v>
      </c>
      <c r="K297" s="13">
        <f t="shared" si="12"/>
        <v>0</v>
      </c>
      <c r="L297" s="13">
        <f t="shared" si="13"/>
        <v>3897088.147124019</v>
      </c>
      <c r="M297" s="13">
        <f t="shared" si="14"/>
        <v>13897088.147124019</v>
      </c>
      <c r="N297" s="13">
        <f t="shared" si="15"/>
        <v>13897088.147124019</v>
      </c>
      <c r="O297" s="13">
        <f t="shared" si="16"/>
        <v>0</v>
      </c>
      <c r="P297" s="12">
        <f t="shared" si="17"/>
        <v>0</v>
      </c>
    </row>
    <row r="298" spans="1:16" ht="14.4" x14ac:dyDescent="0.3">
      <c r="A298" s="7" t="s">
        <v>346</v>
      </c>
      <c r="B298" s="8">
        <v>45107</v>
      </c>
      <c r="C298" s="9">
        <v>30.96</v>
      </c>
      <c r="D298" s="8">
        <v>45198</v>
      </c>
      <c r="E298" s="9">
        <v>40.020000000000003</v>
      </c>
      <c r="F298" s="17">
        <v>29.26</v>
      </c>
      <c r="G298" s="11"/>
      <c r="H298" s="12">
        <f t="shared" si="9"/>
        <v>0.29263565891472876</v>
      </c>
      <c r="I298" s="13">
        <f t="shared" si="10"/>
        <v>58527.131782945755</v>
      </c>
      <c r="J298" s="13">
        <f t="shared" si="11"/>
        <v>58527.131782945755</v>
      </c>
      <c r="K298" s="13">
        <f t="shared" si="12"/>
        <v>0</v>
      </c>
      <c r="L298" s="13">
        <f t="shared" si="13"/>
        <v>3955615.2789069647</v>
      </c>
      <c r="M298" s="13">
        <f t="shared" si="14"/>
        <v>13955615.278906964</v>
      </c>
      <c r="N298" s="13">
        <f t="shared" si="15"/>
        <v>13955615.278906964</v>
      </c>
      <c r="O298" s="13">
        <f t="shared" si="16"/>
        <v>0</v>
      </c>
      <c r="P298" s="12">
        <f t="shared" si="17"/>
        <v>0</v>
      </c>
    </row>
    <row r="299" spans="1:16" ht="14.4" x14ac:dyDescent="0.3">
      <c r="A299" s="7" t="s">
        <v>108</v>
      </c>
      <c r="B299" s="8">
        <v>45107</v>
      </c>
      <c r="C299" s="9">
        <v>971.4</v>
      </c>
      <c r="D299" s="8">
        <v>45198</v>
      </c>
      <c r="E299" s="9">
        <v>930.75</v>
      </c>
      <c r="F299" s="17">
        <v>-4.18</v>
      </c>
      <c r="G299" s="11"/>
      <c r="H299" s="12">
        <f t="shared" si="9"/>
        <v>-4.1846819024088919E-2</v>
      </c>
      <c r="I299" s="13">
        <f t="shared" si="10"/>
        <v>-8369.3638048177836</v>
      </c>
      <c r="J299" s="13">
        <f t="shared" si="11"/>
        <v>0</v>
      </c>
      <c r="K299" s="13">
        <f t="shared" si="12"/>
        <v>-8369.3638048177836</v>
      </c>
      <c r="L299" s="13">
        <f t="shared" si="13"/>
        <v>3947245.915102147</v>
      </c>
      <c r="M299" s="13">
        <f t="shared" si="14"/>
        <v>13947245.915102147</v>
      </c>
      <c r="N299" s="13">
        <f t="shared" si="15"/>
        <v>13955615.278906964</v>
      </c>
      <c r="O299" s="13">
        <f t="shared" si="16"/>
        <v>-8369.3638048171997</v>
      </c>
      <c r="P299" s="12">
        <f t="shared" si="17"/>
        <v>-5.997129927669307E-4</v>
      </c>
    </row>
    <row r="300" spans="1:16" ht="14.4" x14ac:dyDescent="0.3">
      <c r="A300" s="7" t="s">
        <v>347</v>
      </c>
      <c r="B300" s="8">
        <v>45107</v>
      </c>
      <c r="C300" s="9">
        <v>367.95</v>
      </c>
      <c r="D300" s="8">
        <v>45198</v>
      </c>
      <c r="E300" s="9">
        <v>350.1</v>
      </c>
      <c r="F300" s="17">
        <v>-4.8499999999999996</v>
      </c>
      <c r="G300" s="11"/>
      <c r="H300" s="12">
        <f t="shared" si="9"/>
        <v>-4.8512026090501335E-2</v>
      </c>
      <c r="I300" s="13">
        <f t="shared" si="10"/>
        <v>-9702.4052181002662</v>
      </c>
      <c r="J300" s="13">
        <f t="shared" si="11"/>
        <v>0</v>
      </c>
      <c r="K300" s="13">
        <f t="shared" si="12"/>
        <v>-9702.4052181002662</v>
      </c>
      <c r="L300" s="13">
        <f t="shared" si="13"/>
        <v>3937543.5098840469</v>
      </c>
      <c r="M300" s="13">
        <f t="shared" si="14"/>
        <v>13937543.509884046</v>
      </c>
      <c r="N300" s="13">
        <f t="shared" si="15"/>
        <v>13955615.278906964</v>
      </c>
      <c r="O300" s="13">
        <f t="shared" si="16"/>
        <v>-18071.769022917375</v>
      </c>
      <c r="P300" s="12">
        <f t="shared" si="17"/>
        <v>-1.2949460601878098E-3</v>
      </c>
    </row>
    <row r="301" spans="1:16" ht="14.4" x14ac:dyDescent="0.3">
      <c r="A301" s="7" t="s">
        <v>348</v>
      </c>
      <c r="B301" s="8">
        <v>45016</v>
      </c>
      <c r="C301" s="9">
        <v>639.29999999999995</v>
      </c>
      <c r="D301" s="8">
        <v>45107</v>
      </c>
      <c r="E301" s="9">
        <v>1073.4000000000001</v>
      </c>
      <c r="F301" s="17">
        <v>67.900000000000006</v>
      </c>
      <c r="G301" s="11"/>
      <c r="H301" s="12">
        <f t="shared" si="9"/>
        <v>0.67902393242609127</v>
      </c>
      <c r="I301" s="13">
        <f t="shared" si="10"/>
        <v>135804.78648521827</v>
      </c>
      <c r="J301" s="13">
        <f t="shared" si="11"/>
        <v>135804.78648521827</v>
      </c>
      <c r="K301" s="13">
        <f t="shared" si="12"/>
        <v>0</v>
      </c>
      <c r="L301" s="13">
        <f t="shared" si="13"/>
        <v>4073348.2963692653</v>
      </c>
      <c r="M301" s="13">
        <f t="shared" si="14"/>
        <v>14073348.296369266</v>
      </c>
      <c r="N301" s="13">
        <f t="shared" si="15"/>
        <v>14073348.296369266</v>
      </c>
      <c r="O301" s="13">
        <f t="shared" si="16"/>
        <v>0</v>
      </c>
      <c r="P301" s="12">
        <f t="shared" si="17"/>
        <v>0</v>
      </c>
    </row>
    <row r="302" spans="1:16" ht="14.4" x14ac:dyDescent="0.3">
      <c r="A302" s="7" t="s">
        <v>88</v>
      </c>
      <c r="B302" s="8">
        <v>45016</v>
      </c>
      <c r="C302" s="9">
        <v>812.6</v>
      </c>
      <c r="D302" s="8">
        <v>45107</v>
      </c>
      <c r="E302" s="9">
        <v>858.75</v>
      </c>
      <c r="F302" s="17">
        <v>5.68</v>
      </c>
      <c r="G302" s="11"/>
      <c r="H302" s="12">
        <f t="shared" si="9"/>
        <v>5.6793010091065688E-2</v>
      </c>
      <c r="I302" s="13">
        <f t="shared" si="10"/>
        <v>11358.602018213138</v>
      </c>
      <c r="J302" s="13">
        <f t="shared" si="11"/>
        <v>11358.602018213138</v>
      </c>
      <c r="K302" s="13">
        <f t="shared" si="12"/>
        <v>0</v>
      </c>
      <c r="L302" s="13">
        <f t="shared" si="13"/>
        <v>4084706.8983874787</v>
      </c>
      <c r="M302" s="13">
        <f t="shared" si="14"/>
        <v>14084706.898387479</v>
      </c>
      <c r="N302" s="13">
        <f t="shared" si="15"/>
        <v>14084706.898387479</v>
      </c>
      <c r="O302" s="13">
        <f t="shared" si="16"/>
        <v>0</v>
      </c>
      <c r="P302" s="12">
        <f t="shared" si="17"/>
        <v>0</v>
      </c>
    </row>
    <row r="303" spans="1:16" ht="14.4" x14ac:dyDescent="0.3">
      <c r="A303" s="7" t="s">
        <v>349</v>
      </c>
      <c r="B303" s="8">
        <v>45016</v>
      </c>
      <c r="C303" s="9">
        <v>2618.9499999999998</v>
      </c>
      <c r="D303" s="8">
        <v>45107</v>
      </c>
      <c r="E303" s="9">
        <v>2859.2</v>
      </c>
      <c r="F303" s="17">
        <v>9.17</v>
      </c>
      <c r="G303" s="11"/>
      <c r="H303" s="12">
        <f t="shared" si="9"/>
        <v>9.1735237404303255E-2</v>
      </c>
      <c r="I303" s="13">
        <f t="shared" si="10"/>
        <v>18347.047480860652</v>
      </c>
      <c r="J303" s="13">
        <f t="shared" si="11"/>
        <v>18347.047480860652</v>
      </c>
      <c r="K303" s="13">
        <f t="shared" si="12"/>
        <v>0</v>
      </c>
      <c r="L303" s="13">
        <f t="shared" si="13"/>
        <v>4103053.9458683394</v>
      </c>
      <c r="M303" s="13">
        <f t="shared" si="14"/>
        <v>14103053.945868339</v>
      </c>
      <c r="N303" s="13">
        <f t="shared" si="15"/>
        <v>14103053.945868339</v>
      </c>
      <c r="O303" s="13">
        <f t="shared" si="16"/>
        <v>0</v>
      </c>
      <c r="P303" s="12">
        <f t="shared" si="17"/>
        <v>0</v>
      </c>
    </row>
    <row r="304" spans="1:16" ht="14.4" x14ac:dyDescent="0.3">
      <c r="A304" s="7" t="s">
        <v>350</v>
      </c>
      <c r="B304" s="8">
        <v>45016</v>
      </c>
      <c r="C304" s="9">
        <v>513.45000000000005</v>
      </c>
      <c r="D304" s="8">
        <v>45107</v>
      </c>
      <c r="E304" s="9">
        <v>617.20000000000005</v>
      </c>
      <c r="F304" s="17">
        <v>20.21</v>
      </c>
      <c r="G304" s="11"/>
      <c r="H304" s="12">
        <f t="shared" si="9"/>
        <v>0.20206446586814683</v>
      </c>
      <c r="I304" s="13">
        <f t="shared" si="10"/>
        <v>40412.893173629367</v>
      </c>
      <c r="J304" s="13">
        <f t="shared" si="11"/>
        <v>40412.893173629367</v>
      </c>
      <c r="K304" s="13">
        <f t="shared" si="12"/>
        <v>0</v>
      </c>
      <c r="L304" s="13">
        <f t="shared" si="13"/>
        <v>4143466.8390419688</v>
      </c>
      <c r="M304" s="13">
        <f t="shared" si="14"/>
        <v>14143466.839041969</v>
      </c>
      <c r="N304" s="13">
        <f t="shared" si="15"/>
        <v>14143466.839041969</v>
      </c>
      <c r="O304" s="13">
        <f t="shared" si="16"/>
        <v>0</v>
      </c>
      <c r="P304" s="12">
        <f t="shared" si="17"/>
        <v>0</v>
      </c>
    </row>
    <row r="305" spans="1:16" ht="14.4" x14ac:dyDescent="0.3">
      <c r="A305" s="7" t="s">
        <v>351</v>
      </c>
      <c r="B305" s="8">
        <v>45016</v>
      </c>
      <c r="C305" s="9">
        <v>58.7</v>
      </c>
      <c r="D305" s="8">
        <v>45107</v>
      </c>
      <c r="E305" s="9">
        <v>48.05</v>
      </c>
      <c r="F305" s="17">
        <v>-18.14</v>
      </c>
      <c r="G305" s="11"/>
      <c r="H305" s="12">
        <f t="shared" si="9"/>
        <v>-0.18143100511073262</v>
      </c>
      <c r="I305" s="13">
        <f t="shared" si="10"/>
        <v>-36286.201022146524</v>
      </c>
      <c r="J305" s="13">
        <f t="shared" si="11"/>
        <v>0</v>
      </c>
      <c r="K305" s="13">
        <f t="shared" si="12"/>
        <v>-36286.201022146524</v>
      </c>
      <c r="L305" s="13">
        <f t="shared" si="13"/>
        <v>4107180.6380198221</v>
      </c>
      <c r="M305" s="13">
        <f t="shared" si="14"/>
        <v>14107180.638019823</v>
      </c>
      <c r="N305" s="13">
        <f t="shared" si="15"/>
        <v>14143466.839041969</v>
      </c>
      <c r="O305" s="13">
        <f t="shared" si="16"/>
        <v>-36286.20102214627</v>
      </c>
      <c r="P305" s="12">
        <f t="shared" si="17"/>
        <v>-2.5655803796266526E-3</v>
      </c>
    </row>
    <row r="306" spans="1:16" ht="14.4" x14ac:dyDescent="0.3">
      <c r="A306" s="7" t="s">
        <v>352</v>
      </c>
      <c r="B306" s="8">
        <v>45016</v>
      </c>
      <c r="C306" s="9">
        <v>865.35</v>
      </c>
      <c r="D306" s="8">
        <v>45107</v>
      </c>
      <c r="E306" s="9">
        <v>1030</v>
      </c>
      <c r="F306" s="17">
        <v>19.03</v>
      </c>
      <c r="G306" s="11"/>
      <c r="H306" s="12">
        <f t="shared" si="9"/>
        <v>0.19026983301554282</v>
      </c>
      <c r="I306" s="13">
        <f t="shared" si="10"/>
        <v>38053.966603108565</v>
      </c>
      <c r="J306" s="13">
        <f t="shared" si="11"/>
        <v>38053.966603108565</v>
      </c>
      <c r="K306" s="13">
        <f t="shared" si="12"/>
        <v>0</v>
      </c>
      <c r="L306" s="13">
        <f t="shared" si="13"/>
        <v>4145234.6046229308</v>
      </c>
      <c r="M306" s="13">
        <f t="shared" si="14"/>
        <v>14145234.60462293</v>
      </c>
      <c r="N306" s="13">
        <f t="shared" si="15"/>
        <v>14145234.60462293</v>
      </c>
      <c r="O306" s="13">
        <f t="shared" si="16"/>
        <v>0</v>
      </c>
      <c r="P306" s="12">
        <f t="shared" si="17"/>
        <v>0</v>
      </c>
    </row>
    <row r="307" spans="1:16" ht="14.4" x14ac:dyDescent="0.3">
      <c r="A307" s="7" t="s">
        <v>353</v>
      </c>
      <c r="B307" s="8">
        <v>44925</v>
      </c>
      <c r="C307" s="9">
        <v>123.5</v>
      </c>
      <c r="D307" s="8">
        <v>45016</v>
      </c>
      <c r="E307" s="9">
        <v>109.03</v>
      </c>
      <c r="F307" s="17">
        <v>-11.72</v>
      </c>
      <c r="G307" s="11"/>
      <c r="H307" s="12">
        <f t="shared" si="9"/>
        <v>-0.117165991902834</v>
      </c>
      <c r="I307" s="13">
        <f t="shared" si="10"/>
        <v>-23433.198380566799</v>
      </c>
      <c r="J307" s="13">
        <f t="shared" si="11"/>
        <v>0</v>
      </c>
      <c r="K307" s="13">
        <f t="shared" si="12"/>
        <v>-23433.198380566799</v>
      </c>
      <c r="L307" s="13">
        <f t="shared" si="13"/>
        <v>4121801.4062423641</v>
      </c>
      <c r="M307" s="13">
        <f t="shared" si="14"/>
        <v>14121801.406242363</v>
      </c>
      <c r="N307" s="13">
        <f t="shared" si="15"/>
        <v>14145234.60462293</v>
      </c>
      <c r="O307" s="13">
        <f t="shared" si="16"/>
        <v>-23433.198380567133</v>
      </c>
      <c r="P307" s="12">
        <f t="shared" si="17"/>
        <v>-1.6566143323567585E-3</v>
      </c>
    </row>
    <row r="308" spans="1:16" ht="14.4" x14ac:dyDescent="0.3">
      <c r="A308" s="7" t="s">
        <v>354</v>
      </c>
      <c r="B308" s="8">
        <v>44925</v>
      </c>
      <c r="C308" s="9">
        <v>112.25</v>
      </c>
      <c r="D308" s="8">
        <v>45016</v>
      </c>
      <c r="E308" s="9">
        <v>147.44999999999999</v>
      </c>
      <c r="F308" s="17">
        <v>31.36</v>
      </c>
      <c r="G308" s="11"/>
      <c r="H308" s="12">
        <f t="shared" si="9"/>
        <v>0.31358574610244977</v>
      </c>
      <c r="I308" s="13">
        <f t="shared" si="10"/>
        <v>62717.149220489955</v>
      </c>
      <c r="J308" s="13">
        <f t="shared" si="11"/>
        <v>62717.149220489955</v>
      </c>
      <c r="K308" s="13">
        <f t="shared" si="12"/>
        <v>0</v>
      </c>
      <c r="L308" s="13">
        <f t="shared" si="13"/>
        <v>4184518.555462854</v>
      </c>
      <c r="M308" s="13">
        <f t="shared" si="14"/>
        <v>14184518.555462854</v>
      </c>
      <c r="N308" s="13">
        <f t="shared" si="15"/>
        <v>14184518.555462854</v>
      </c>
      <c r="O308" s="13">
        <f t="shared" si="16"/>
        <v>0</v>
      </c>
      <c r="P308" s="12">
        <f t="shared" si="17"/>
        <v>0</v>
      </c>
    </row>
    <row r="309" spans="1:16" ht="14.4" x14ac:dyDescent="0.3">
      <c r="A309" s="7" t="s">
        <v>64</v>
      </c>
      <c r="B309" s="8">
        <v>44925</v>
      </c>
      <c r="C309" s="9">
        <v>1233.0999999999999</v>
      </c>
      <c r="D309" s="8">
        <v>45016</v>
      </c>
      <c r="E309" s="9">
        <v>961.3</v>
      </c>
      <c r="F309" s="17">
        <v>-22.04</v>
      </c>
      <c r="G309" s="11"/>
      <c r="H309" s="12">
        <f t="shared" si="9"/>
        <v>-0.22042007947449516</v>
      </c>
      <c r="I309" s="13">
        <f t="shared" si="10"/>
        <v>-44084.015894899028</v>
      </c>
      <c r="J309" s="13">
        <f t="shared" si="11"/>
        <v>0</v>
      </c>
      <c r="K309" s="13">
        <f t="shared" si="12"/>
        <v>-44084.015894899028</v>
      </c>
      <c r="L309" s="13">
        <f t="shared" si="13"/>
        <v>4140434.5395679548</v>
      </c>
      <c r="M309" s="13">
        <f t="shared" si="14"/>
        <v>14140434.539567955</v>
      </c>
      <c r="N309" s="13">
        <f t="shared" si="15"/>
        <v>14184518.555462854</v>
      </c>
      <c r="O309" s="13">
        <f t="shared" si="16"/>
        <v>-44084.015894899145</v>
      </c>
      <c r="P309" s="12">
        <f t="shared" si="17"/>
        <v>-3.107896522714277E-3</v>
      </c>
    </row>
    <row r="310" spans="1:16" ht="14.4" x14ac:dyDescent="0.3">
      <c r="A310" s="7" t="s">
        <v>355</v>
      </c>
      <c r="B310" s="8">
        <v>44925</v>
      </c>
      <c r="C310" s="9">
        <v>212.55</v>
      </c>
      <c r="D310" s="8">
        <v>45016</v>
      </c>
      <c r="E310" s="9">
        <v>154.85</v>
      </c>
      <c r="F310" s="17">
        <v>-27.15</v>
      </c>
      <c r="G310" s="11"/>
      <c r="H310" s="12">
        <f t="shared" si="9"/>
        <v>-0.27146553752058344</v>
      </c>
      <c r="I310" s="13">
        <f t="shared" si="10"/>
        <v>-54293.107504116691</v>
      </c>
      <c r="J310" s="13">
        <f t="shared" si="11"/>
        <v>0</v>
      </c>
      <c r="K310" s="13">
        <f t="shared" si="12"/>
        <v>-54293.107504116691</v>
      </c>
      <c r="L310" s="13">
        <f t="shared" si="13"/>
        <v>4086141.432063838</v>
      </c>
      <c r="M310" s="13">
        <f t="shared" si="14"/>
        <v>14086141.432063838</v>
      </c>
      <c r="N310" s="13">
        <f t="shared" si="15"/>
        <v>14184518.555462854</v>
      </c>
      <c r="O310" s="13">
        <f t="shared" si="16"/>
        <v>-98377.123399015516</v>
      </c>
      <c r="P310" s="12">
        <f t="shared" si="17"/>
        <v>-6.9355278442727085E-3</v>
      </c>
    </row>
    <row r="311" spans="1:16" ht="14.4" x14ac:dyDescent="0.3">
      <c r="A311" s="7" t="s">
        <v>356</v>
      </c>
      <c r="B311" s="8">
        <v>44925</v>
      </c>
      <c r="C311" s="9">
        <v>576.79999999999995</v>
      </c>
      <c r="D311" s="8">
        <v>45016</v>
      </c>
      <c r="E311" s="9">
        <v>503.53</v>
      </c>
      <c r="F311" s="17">
        <v>-12.7</v>
      </c>
      <c r="G311" s="11"/>
      <c r="H311" s="12">
        <f t="shared" si="9"/>
        <v>-0.1270284327323162</v>
      </c>
      <c r="I311" s="13">
        <f t="shared" si="10"/>
        <v>-25405.686546463239</v>
      </c>
      <c r="J311" s="13">
        <f t="shared" si="11"/>
        <v>0</v>
      </c>
      <c r="K311" s="13">
        <f t="shared" si="12"/>
        <v>-25405.686546463239</v>
      </c>
      <c r="L311" s="13">
        <f t="shared" si="13"/>
        <v>4060735.7455173749</v>
      </c>
      <c r="M311" s="13">
        <f t="shared" si="14"/>
        <v>14060735.745517375</v>
      </c>
      <c r="N311" s="13">
        <f t="shared" si="15"/>
        <v>14184518.555462854</v>
      </c>
      <c r="O311" s="13">
        <f t="shared" si="16"/>
        <v>-123782.80994547904</v>
      </c>
      <c r="P311" s="12">
        <f t="shared" si="17"/>
        <v>-8.7266134174012432E-3</v>
      </c>
    </row>
    <row r="312" spans="1:16" ht="14.4" x14ac:dyDescent="0.3">
      <c r="A312" s="7" t="s">
        <v>357</v>
      </c>
      <c r="B312" s="8">
        <v>44925</v>
      </c>
      <c r="C312" s="9">
        <v>163</v>
      </c>
      <c r="D312" s="8">
        <v>45016</v>
      </c>
      <c r="E312" s="9">
        <v>176.08</v>
      </c>
      <c r="F312" s="17">
        <v>8.02</v>
      </c>
      <c r="G312" s="11"/>
      <c r="H312" s="12">
        <f t="shared" si="9"/>
        <v>8.024539877300621E-2</v>
      </c>
      <c r="I312" s="13">
        <f t="shared" si="10"/>
        <v>16049.079754601242</v>
      </c>
      <c r="J312" s="13">
        <f t="shared" si="11"/>
        <v>16049.079754601242</v>
      </c>
      <c r="K312" s="13">
        <f t="shared" si="12"/>
        <v>0</v>
      </c>
      <c r="L312" s="13">
        <f t="shared" si="13"/>
        <v>4076784.8252719762</v>
      </c>
      <c r="M312" s="13">
        <f t="shared" si="14"/>
        <v>14076784.825271975</v>
      </c>
      <c r="N312" s="13">
        <f t="shared" si="15"/>
        <v>14184518.555462854</v>
      </c>
      <c r="O312" s="13">
        <f t="shared" si="16"/>
        <v>-107733.73019087873</v>
      </c>
      <c r="P312" s="12">
        <f t="shared" si="17"/>
        <v>-7.595162977835964E-3</v>
      </c>
    </row>
    <row r="313" spans="1:16" ht="14.4" x14ac:dyDescent="0.3">
      <c r="A313" s="7" t="s">
        <v>103</v>
      </c>
      <c r="B313" s="8">
        <v>44925</v>
      </c>
      <c r="C313" s="9">
        <v>206.45</v>
      </c>
      <c r="D313" s="8">
        <v>45016</v>
      </c>
      <c r="E313" s="9">
        <v>148.44999999999999</v>
      </c>
      <c r="F313" s="17">
        <v>-28.09</v>
      </c>
      <c r="G313" s="11"/>
      <c r="H313" s="12">
        <f t="shared" si="9"/>
        <v>-0.28093969484136594</v>
      </c>
      <c r="I313" s="13">
        <f t="shared" si="10"/>
        <v>-56187.938968273185</v>
      </c>
      <c r="J313" s="13">
        <f t="shared" si="11"/>
        <v>0</v>
      </c>
      <c r="K313" s="13">
        <f t="shared" si="12"/>
        <v>-56187.938968273185</v>
      </c>
      <c r="L313" s="13">
        <f t="shared" si="13"/>
        <v>4020596.8863037028</v>
      </c>
      <c r="M313" s="13">
        <f t="shared" si="14"/>
        <v>14020596.886303702</v>
      </c>
      <c r="N313" s="13">
        <f t="shared" si="15"/>
        <v>14184518.555462854</v>
      </c>
      <c r="O313" s="13">
        <f t="shared" si="16"/>
        <v>-163921.66915915161</v>
      </c>
      <c r="P313" s="12">
        <f t="shared" si="17"/>
        <v>-1.1556378774380101E-2</v>
      </c>
    </row>
    <row r="314" spans="1:16" ht="14.4" x14ac:dyDescent="0.3">
      <c r="A314" s="7" t="s">
        <v>358</v>
      </c>
      <c r="B314" s="8">
        <v>44925</v>
      </c>
      <c r="C314" s="9">
        <v>86.6</v>
      </c>
      <c r="D314" s="8">
        <v>45016</v>
      </c>
      <c r="E314" s="9">
        <v>80.599999999999994</v>
      </c>
      <c r="F314" s="17">
        <v>-6.93</v>
      </c>
      <c r="G314" s="11"/>
      <c r="H314" s="12">
        <f t="shared" si="9"/>
        <v>-6.9284064665127029E-2</v>
      </c>
      <c r="I314" s="13">
        <f t="shared" si="10"/>
        <v>-13856.812933025405</v>
      </c>
      <c r="J314" s="13">
        <f t="shared" si="11"/>
        <v>0</v>
      </c>
      <c r="K314" s="13">
        <f t="shared" si="12"/>
        <v>-13856.812933025405</v>
      </c>
      <c r="L314" s="13">
        <f t="shared" si="13"/>
        <v>4006740.0733706774</v>
      </c>
      <c r="M314" s="13">
        <f t="shared" si="14"/>
        <v>14006740.073370676</v>
      </c>
      <c r="N314" s="13">
        <f t="shared" si="15"/>
        <v>14184518.555462854</v>
      </c>
      <c r="O314" s="13">
        <f t="shared" si="16"/>
        <v>-177778.4820921775</v>
      </c>
      <c r="P314" s="12">
        <f t="shared" si="17"/>
        <v>-1.2533275725717883E-2</v>
      </c>
    </row>
    <row r="315" spans="1:16" ht="14.4" x14ac:dyDescent="0.3">
      <c r="A315" s="7" t="s">
        <v>276</v>
      </c>
      <c r="B315" s="8">
        <v>44925</v>
      </c>
      <c r="C315" s="9">
        <v>32.25</v>
      </c>
      <c r="D315" s="8">
        <v>45016</v>
      </c>
      <c r="E315" s="9">
        <v>21.1</v>
      </c>
      <c r="F315" s="17">
        <v>-34.57</v>
      </c>
      <c r="G315" s="11"/>
      <c r="H315" s="12">
        <f t="shared" si="9"/>
        <v>-0.34573643410852711</v>
      </c>
      <c r="I315" s="13">
        <f t="shared" si="10"/>
        <v>-69147.28682170542</v>
      </c>
      <c r="J315" s="13">
        <f t="shared" si="11"/>
        <v>0</v>
      </c>
      <c r="K315" s="13">
        <f t="shared" si="12"/>
        <v>-69147.28682170542</v>
      </c>
      <c r="L315" s="13">
        <f t="shared" si="13"/>
        <v>3937592.7865489721</v>
      </c>
      <c r="M315" s="13">
        <f t="shared" si="14"/>
        <v>13937592.786548972</v>
      </c>
      <c r="N315" s="13">
        <f t="shared" si="15"/>
        <v>14184518.555462854</v>
      </c>
      <c r="O315" s="13">
        <f t="shared" si="16"/>
        <v>-246925.76891388185</v>
      </c>
      <c r="P315" s="12">
        <f t="shared" si="17"/>
        <v>-1.7408117726969579E-2</v>
      </c>
    </row>
    <row r="316" spans="1:16" ht="14.4" x14ac:dyDescent="0.3">
      <c r="A316" s="7" t="s">
        <v>359</v>
      </c>
      <c r="B316" s="8">
        <v>44925</v>
      </c>
      <c r="C316" s="9">
        <v>85.5</v>
      </c>
      <c r="D316" s="8">
        <v>45016</v>
      </c>
      <c r="E316" s="9">
        <v>64.150000000000006</v>
      </c>
      <c r="F316" s="17">
        <v>-24.97</v>
      </c>
      <c r="G316" s="11"/>
      <c r="H316" s="12">
        <f t="shared" si="9"/>
        <v>-0.24970760233918121</v>
      </c>
      <c r="I316" s="13">
        <f t="shared" si="10"/>
        <v>-49941.520467836242</v>
      </c>
      <c r="J316" s="13">
        <f t="shared" si="11"/>
        <v>0</v>
      </c>
      <c r="K316" s="13">
        <f t="shared" si="12"/>
        <v>-49941.520467836242</v>
      </c>
      <c r="L316" s="13">
        <f t="shared" si="13"/>
        <v>3887651.2660811357</v>
      </c>
      <c r="M316" s="13">
        <f t="shared" si="14"/>
        <v>13887651.266081136</v>
      </c>
      <c r="N316" s="13">
        <f t="shared" si="15"/>
        <v>14184518.555462854</v>
      </c>
      <c r="O316" s="13">
        <f t="shared" si="16"/>
        <v>-296867.28938171826</v>
      </c>
      <c r="P316" s="12">
        <f t="shared" si="17"/>
        <v>-2.09289647879791E-2</v>
      </c>
    </row>
    <row r="317" spans="1:16" ht="14.4" x14ac:dyDescent="0.3">
      <c r="A317" s="7" t="s">
        <v>104</v>
      </c>
      <c r="B317" s="8">
        <v>44925</v>
      </c>
      <c r="C317" s="9">
        <v>32.65</v>
      </c>
      <c r="D317" s="8">
        <v>45016</v>
      </c>
      <c r="E317" s="9">
        <v>23.55</v>
      </c>
      <c r="F317" s="17">
        <v>-27.87</v>
      </c>
      <c r="G317" s="11"/>
      <c r="H317" s="12">
        <f t="shared" si="9"/>
        <v>-0.27871362940275646</v>
      </c>
      <c r="I317" s="13">
        <f t="shared" si="10"/>
        <v>-55742.72588055129</v>
      </c>
      <c r="J317" s="13">
        <f t="shared" si="11"/>
        <v>0</v>
      </c>
      <c r="K317" s="13">
        <f t="shared" si="12"/>
        <v>-55742.72588055129</v>
      </c>
      <c r="L317" s="13">
        <f t="shared" si="13"/>
        <v>3831908.5402005846</v>
      </c>
      <c r="M317" s="13">
        <f t="shared" si="14"/>
        <v>13831908.540200584</v>
      </c>
      <c r="N317" s="13">
        <f t="shared" si="15"/>
        <v>14184518.555462854</v>
      </c>
      <c r="O317" s="13">
        <f t="shared" si="16"/>
        <v>-352610.01526227035</v>
      </c>
      <c r="P317" s="12">
        <f t="shared" si="17"/>
        <v>-2.4858793330456069E-2</v>
      </c>
    </row>
    <row r="318" spans="1:16" ht="14.4" x14ac:dyDescent="0.3">
      <c r="A318" s="7" t="s">
        <v>105</v>
      </c>
      <c r="B318" s="8">
        <v>44925</v>
      </c>
      <c r="C318" s="9">
        <v>134.55000000000001</v>
      </c>
      <c r="D318" s="8">
        <v>45016</v>
      </c>
      <c r="E318" s="9">
        <v>95.35</v>
      </c>
      <c r="F318" s="17">
        <v>-29.13</v>
      </c>
      <c r="G318" s="11"/>
      <c r="H318" s="12">
        <f t="shared" si="9"/>
        <v>-0.29134150873281317</v>
      </c>
      <c r="I318" s="13">
        <f t="shared" si="10"/>
        <v>-58268.301746562633</v>
      </c>
      <c r="J318" s="13">
        <f t="shared" si="11"/>
        <v>0</v>
      </c>
      <c r="K318" s="13">
        <f t="shared" si="12"/>
        <v>-58268.301746562633</v>
      </c>
      <c r="L318" s="13">
        <f t="shared" si="13"/>
        <v>3773640.238454022</v>
      </c>
      <c r="M318" s="13">
        <f t="shared" si="14"/>
        <v>13773640.238454022</v>
      </c>
      <c r="N318" s="13">
        <f t="shared" si="15"/>
        <v>14184518.555462854</v>
      </c>
      <c r="O318" s="13">
        <f t="shared" si="16"/>
        <v>-410878.31700883247</v>
      </c>
      <c r="P318" s="12">
        <f t="shared" si="17"/>
        <v>-2.8966673447692857E-2</v>
      </c>
    </row>
    <row r="319" spans="1:16" ht="14.4" x14ac:dyDescent="0.3">
      <c r="A319" s="7" t="s">
        <v>360</v>
      </c>
      <c r="B319" s="8">
        <v>44925</v>
      </c>
      <c r="C319" s="9">
        <v>96.26</v>
      </c>
      <c r="D319" s="8">
        <v>45016</v>
      </c>
      <c r="E319" s="9">
        <v>74.900000000000006</v>
      </c>
      <c r="F319" s="17">
        <v>-22.19</v>
      </c>
      <c r="G319" s="11"/>
      <c r="H319" s="12">
        <f t="shared" si="9"/>
        <v>-0.22189902347808019</v>
      </c>
      <c r="I319" s="13">
        <f t="shared" si="10"/>
        <v>-44379.80469561604</v>
      </c>
      <c r="J319" s="13">
        <f t="shared" si="11"/>
        <v>0</v>
      </c>
      <c r="K319" s="13">
        <f t="shared" si="12"/>
        <v>-44379.80469561604</v>
      </c>
      <c r="L319" s="13">
        <f t="shared" si="13"/>
        <v>3729260.433758406</v>
      </c>
      <c r="M319" s="13">
        <f t="shared" si="14"/>
        <v>13729260.433758406</v>
      </c>
      <c r="N319" s="13">
        <f t="shared" si="15"/>
        <v>14184518.555462854</v>
      </c>
      <c r="O319" s="13">
        <f t="shared" si="16"/>
        <v>-455258.12170444801</v>
      </c>
      <c r="P319" s="12">
        <f t="shared" si="17"/>
        <v>-3.2095422902394907E-2</v>
      </c>
    </row>
    <row r="320" spans="1:16" ht="14.4" x14ac:dyDescent="0.3">
      <c r="A320" s="7" t="s">
        <v>361</v>
      </c>
      <c r="B320" s="8">
        <v>44925</v>
      </c>
      <c r="C320" s="9">
        <v>141.9</v>
      </c>
      <c r="D320" s="8">
        <v>45016</v>
      </c>
      <c r="E320" s="9">
        <v>244.1</v>
      </c>
      <c r="F320" s="17">
        <v>72.02</v>
      </c>
      <c r="G320" s="11"/>
      <c r="H320" s="12">
        <f t="shared" si="9"/>
        <v>0.72022551092318521</v>
      </c>
      <c r="I320" s="13">
        <f t="shared" si="10"/>
        <v>144045.10218463704</v>
      </c>
      <c r="J320" s="13">
        <f t="shared" si="11"/>
        <v>144045.10218463704</v>
      </c>
      <c r="K320" s="13">
        <f t="shared" si="12"/>
        <v>0</v>
      </c>
      <c r="L320" s="13">
        <f t="shared" si="13"/>
        <v>3873305.535943043</v>
      </c>
      <c r="M320" s="13">
        <f t="shared" si="14"/>
        <v>13873305.535943042</v>
      </c>
      <c r="N320" s="13">
        <f t="shared" si="15"/>
        <v>14184518.555462854</v>
      </c>
      <c r="O320" s="13">
        <f t="shared" si="16"/>
        <v>-311213.0195198115</v>
      </c>
      <c r="P320" s="12">
        <f t="shared" si="17"/>
        <v>-2.1940330107288322E-2</v>
      </c>
    </row>
    <row r="321" spans="1:16" ht="14.4" x14ac:dyDescent="0.3">
      <c r="A321" s="7" t="s">
        <v>362</v>
      </c>
      <c r="B321" s="8">
        <v>44925</v>
      </c>
      <c r="C321" s="9">
        <v>101.85</v>
      </c>
      <c r="D321" s="8">
        <v>45016</v>
      </c>
      <c r="E321" s="9">
        <v>63.78</v>
      </c>
      <c r="F321" s="17">
        <v>-37.380000000000003</v>
      </c>
      <c r="G321" s="11"/>
      <c r="H321" s="12">
        <f t="shared" si="9"/>
        <v>-0.3737849779086892</v>
      </c>
      <c r="I321" s="13">
        <f t="shared" si="10"/>
        <v>-74756.995581737836</v>
      </c>
      <c r="J321" s="13">
        <f t="shared" si="11"/>
        <v>0</v>
      </c>
      <c r="K321" s="13">
        <f t="shared" si="12"/>
        <v>-74756.995581737836</v>
      </c>
      <c r="L321" s="13">
        <f t="shared" si="13"/>
        <v>3798548.5403613052</v>
      </c>
      <c r="M321" s="13">
        <f t="shared" si="14"/>
        <v>13798548.540361306</v>
      </c>
      <c r="N321" s="13">
        <f t="shared" si="15"/>
        <v>14184518.555462854</v>
      </c>
      <c r="O321" s="13">
        <f t="shared" si="16"/>
        <v>-385970.01510154828</v>
      </c>
      <c r="P321" s="12">
        <f t="shared" si="17"/>
        <v>-2.7210653191531865E-2</v>
      </c>
    </row>
    <row r="322" spans="1:16" ht="14.4" x14ac:dyDescent="0.3">
      <c r="A322" s="7" t="s">
        <v>208</v>
      </c>
      <c r="B322" s="8">
        <v>44925</v>
      </c>
      <c r="C322" s="9">
        <v>382.5</v>
      </c>
      <c r="D322" s="8">
        <v>45016</v>
      </c>
      <c r="E322" s="9">
        <v>284.7</v>
      </c>
      <c r="F322" s="17">
        <v>-25.57</v>
      </c>
      <c r="G322" s="11"/>
      <c r="H322" s="12">
        <f t="shared" si="9"/>
        <v>-0.25568627450980397</v>
      </c>
      <c r="I322" s="13">
        <f t="shared" si="10"/>
        <v>-51137.25490196079</v>
      </c>
      <c r="J322" s="13">
        <f t="shared" si="11"/>
        <v>0</v>
      </c>
      <c r="K322" s="13">
        <f t="shared" si="12"/>
        <v>-51137.25490196079</v>
      </c>
      <c r="L322" s="13">
        <f t="shared" si="13"/>
        <v>3747411.2854593443</v>
      </c>
      <c r="M322" s="13">
        <f t="shared" si="14"/>
        <v>13747411.285459343</v>
      </c>
      <c r="N322" s="13">
        <f t="shared" si="15"/>
        <v>14184518.555462854</v>
      </c>
      <c r="O322" s="13">
        <f t="shared" si="16"/>
        <v>-437107.27000351064</v>
      </c>
      <c r="P322" s="12">
        <f t="shared" si="17"/>
        <v>-3.0815798808706725E-2</v>
      </c>
    </row>
    <row r="323" spans="1:16" ht="14.4" x14ac:dyDescent="0.3">
      <c r="A323" s="7" t="s">
        <v>363</v>
      </c>
      <c r="B323" s="8">
        <v>44834</v>
      </c>
      <c r="C323" s="9">
        <v>669.95</v>
      </c>
      <c r="D323" s="8">
        <v>44925</v>
      </c>
      <c r="E323" s="9">
        <v>839.6</v>
      </c>
      <c r="F323" s="17">
        <v>25.32</v>
      </c>
      <c r="G323" s="11"/>
      <c r="H323" s="12">
        <f t="shared" si="9"/>
        <v>0.25322785282483762</v>
      </c>
      <c r="I323" s="13">
        <f t="shared" si="10"/>
        <v>50645.570564967522</v>
      </c>
      <c r="J323" s="13">
        <f t="shared" si="11"/>
        <v>50645.570564967522</v>
      </c>
      <c r="K323" s="13">
        <f t="shared" si="12"/>
        <v>0</v>
      </c>
      <c r="L323" s="13">
        <f t="shared" si="13"/>
        <v>3798056.8560243119</v>
      </c>
      <c r="M323" s="13">
        <f t="shared" si="14"/>
        <v>13798056.856024312</v>
      </c>
      <c r="N323" s="13">
        <f t="shared" si="15"/>
        <v>14184518.555462854</v>
      </c>
      <c r="O323" s="13">
        <f t="shared" si="16"/>
        <v>-386461.69943854213</v>
      </c>
      <c r="P323" s="12">
        <f t="shared" si="17"/>
        <v>-2.7245316640634586E-2</v>
      </c>
    </row>
    <row r="324" spans="1:16" ht="14.4" x14ac:dyDescent="0.3">
      <c r="A324" s="7" t="s">
        <v>364</v>
      </c>
      <c r="B324" s="8">
        <v>44834</v>
      </c>
      <c r="C324" s="9">
        <v>348.7</v>
      </c>
      <c r="D324" s="8">
        <v>44925</v>
      </c>
      <c r="E324" s="9">
        <v>484.7</v>
      </c>
      <c r="F324" s="17">
        <v>39</v>
      </c>
      <c r="G324" s="11"/>
      <c r="H324" s="12">
        <f t="shared" si="9"/>
        <v>0.3900200745626613</v>
      </c>
      <c r="I324" s="13">
        <f t="shared" si="10"/>
        <v>78004.014912532264</v>
      </c>
      <c r="J324" s="13">
        <f t="shared" si="11"/>
        <v>78004.014912532264</v>
      </c>
      <c r="K324" s="13">
        <f t="shared" si="12"/>
        <v>0</v>
      </c>
      <c r="L324" s="13">
        <f t="shared" si="13"/>
        <v>3876060.870936844</v>
      </c>
      <c r="M324" s="13">
        <f t="shared" si="14"/>
        <v>13876060.870936844</v>
      </c>
      <c r="N324" s="13">
        <f t="shared" si="15"/>
        <v>14184518.555462854</v>
      </c>
      <c r="O324" s="13">
        <f t="shared" si="16"/>
        <v>-308457.68452600949</v>
      </c>
      <c r="P324" s="12">
        <f t="shared" si="17"/>
        <v>-2.1746080652643218E-2</v>
      </c>
    </row>
    <row r="325" spans="1:16" ht="14.4" x14ac:dyDescent="0.3">
      <c r="A325" s="7" t="s">
        <v>365</v>
      </c>
      <c r="B325" s="8">
        <v>44834</v>
      </c>
      <c r="C325" s="9">
        <v>103.4</v>
      </c>
      <c r="D325" s="8">
        <v>44925</v>
      </c>
      <c r="E325" s="9">
        <v>94.1</v>
      </c>
      <c r="F325" s="17">
        <v>-8.99</v>
      </c>
      <c r="G325" s="11"/>
      <c r="H325" s="12">
        <f t="shared" si="9"/>
        <v>-8.9941972920696431E-2</v>
      </c>
      <c r="I325" s="13">
        <f t="shared" si="10"/>
        <v>-17988.394584139285</v>
      </c>
      <c r="J325" s="13">
        <f t="shared" si="11"/>
        <v>0</v>
      </c>
      <c r="K325" s="13">
        <f t="shared" si="12"/>
        <v>-17988.394584139285</v>
      </c>
      <c r="L325" s="13">
        <f t="shared" si="13"/>
        <v>3858072.4763527047</v>
      </c>
      <c r="M325" s="13">
        <f t="shared" si="14"/>
        <v>13858072.476352705</v>
      </c>
      <c r="N325" s="13">
        <f t="shared" si="15"/>
        <v>14184518.555462854</v>
      </c>
      <c r="O325" s="13">
        <f t="shared" si="16"/>
        <v>-326446.07911014929</v>
      </c>
      <c r="P325" s="12">
        <f t="shared" si="17"/>
        <v>-2.3014251617614882E-2</v>
      </c>
    </row>
    <row r="326" spans="1:16" ht="14.4" x14ac:dyDescent="0.3">
      <c r="A326" s="7" t="s">
        <v>366</v>
      </c>
      <c r="B326" s="8">
        <v>44834</v>
      </c>
      <c r="C326" s="9">
        <v>193.7</v>
      </c>
      <c r="D326" s="8">
        <v>44925</v>
      </c>
      <c r="E326" s="9">
        <v>212.4</v>
      </c>
      <c r="F326" s="17">
        <v>9.65</v>
      </c>
      <c r="G326" s="11"/>
      <c r="H326" s="12">
        <f t="shared" si="9"/>
        <v>9.6541042849767778E-2</v>
      </c>
      <c r="I326" s="13">
        <f t="shared" si="10"/>
        <v>19308.208569953556</v>
      </c>
      <c r="J326" s="13">
        <f t="shared" si="11"/>
        <v>19308.208569953556</v>
      </c>
      <c r="K326" s="13">
        <f t="shared" si="12"/>
        <v>0</v>
      </c>
      <c r="L326" s="13">
        <f t="shared" si="13"/>
        <v>3877380.6849226584</v>
      </c>
      <c r="M326" s="13">
        <f t="shared" si="14"/>
        <v>13877380.684922658</v>
      </c>
      <c r="N326" s="13">
        <f t="shared" si="15"/>
        <v>14184518.555462854</v>
      </c>
      <c r="O326" s="13">
        <f t="shared" si="16"/>
        <v>-307137.87054019608</v>
      </c>
      <c r="P326" s="12">
        <f t="shared" si="17"/>
        <v>-2.1653034562946708E-2</v>
      </c>
    </row>
    <row r="327" spans="1:16" ht="14.4" x14ac:dyDescent="0.3">
      <c r="A327" s="7" t="s">
        <v>367</v>
      </c>
      <c r="B327" s="8">
        <v>44834</v>
      </c>
      <c r="C327" s="9">
        <v>186.95</v>
      </c>
      <c r="D327" s="8">
        <v>44925</v>
      </c>
      <c r="E327" s="9">
        <v>149.6</v>
      </c>
      <c r="F327" s="17">
        <v>-19.98</v>
      </c>
      <c r="G327" s="11"/>
      <c r="H327" s="12">
        <f t="shared" si="9"/>
        <v>-0.19978603904787373</v>
      </c>
      <c r="I327" s="13">
        <f t="shared" si="10"/>
        <v>-39957.207809574749</v>
      </c>
      <c r="J327" s="13">
        <f t="shared" si="11"/>
        <v>0</v>
      </c>
      <c r="K327" s="13">
        <f t="shared" si="12"/>
        <v>-39957.207809574749</v>
      </c>
      <c r="L327" s="13">
        <f t="shared" si="13"/>
        <v>3837423.4771130835</v>
      </c>
      <c r="M327" s="13">
        <f t="shared" si="14"/>
        <v>13837423.477113083</v>
      </c>
      <c r="N327" s="13">
        <f t="shared" si="15"/>
        <v>14184518.555462854</v>
      </c>
      <c r="O327" s="13">
        <f t="shared" si="16"/>
        <v>-347095.07834977098</v>
      </c>
      <c r="P327" s="12">
        <f t="shared" si="17"/>
        <v>-2.446999360553517E-2</v>
      </c>
    </row>
    <row r="328" spans="1:16" ht="14.4" x14ac:dyDescent="0.3">
      <c r="A328" s="7" t="s">
        <v>274</v>
      </c>
      <c r="B328" s="8">
        <v>44834</v>
      </c>
      <c r="C328" s="9">
        <v>84.54</v>
      </c>
      <c r="D328" s="8">
        <v>44925</v>
      </c>
      <c r="E328" s="9">
        <v>103.18</v>
      </c>
      <c r="F328" s="17">
        <v>22.05</v>
      </c>
      <c r="G328" s="11"/>
      <c r="H328" s="12">
        <f t="shared" si="9"/>
        <v>0.22048734326945824</v>
      </c>
      <c r="I328" s="13">
        <f t="shared" si="10"/>
        <v>44097.46865389165</v>
      </c>
      <c r="J328" s="13">
        <f t="shared" si="11"/>
        <v>44097.46865389165</v>
      </c>
      <c r="K328" s="13">
        <f t="shared" si="12"/>
        <v>0</v>
      </c>
      <c r="L328" s="13">
        <f t="shared" si="13"/>
        <v>3881520.9457669752</v>
      </c>
      <c r="M328" s="13">
        <f t="shared" si="14"/>
        <v>13881520.945766974</v>
      </c>
      <c r="N328" s="13">
        <f t="shared" si="15"/>
        <v>14184518.555462854</v>
      </c>
      <c r="O328" s="13">
        <f t="shared" si="16"/>
        <v>-302997.60969587974</v>
      </c>
      <c r="P328" s="12">
        <f t="shared" si="17"/>
        <v>-2.1361148671428604E-2</v>
      </c>
    </row>
    <row r="329" spans="1:16" ht="14.4" x14ac:dyDescent="0.3">
      <c r="A329" s="7" t="s">
        <v>368</v>
      </c>
      <c r="B329" s="8">
        <v>44834</v>
      </c>
      <c r="C329" s="9">
        <v>283.2</v>
      </c>
      <c r="D329" s="8">
        <v>44925</v>
      </c>
      <c r="E329" s="9">
        <v>241.65</v>
      </c>
      <c r="F329" s="17">
        <v>-14.67</v>
      </c>
      <c r="G329" s="11"/>
      <c r="H329" s="12">
        <f t="shared" si="9"/>
        <v>-0.1467161016949152</v>
      </c>
      <c r="I329" s="13">
        <f t="shared" si="10"/>
        <v>-29343.220338983039</v>
      </c>
      <c r="J329" s="13">
        <f t="shared" si="11"/>
        <v>0</v>
      </c>
      <c r="K329" s="13">
        <f t="shared" si="12"/>
        <v>-29343.220338983039</v>
      </c>
      <c r="L329" s="13">
        <f t="shared" si="13"/>
        <v>3852177.7254279922</v>
      </c>
      <c r="M329" s="13">
        <f t="shared" si="14"/>
        <v>13852177.725427993</v>
      </c>
      <c r="N329" s="13">
        <f t="shared" si="15"/>
        <v>14184518.555462854</v>
      </c>
      <c r="O329" s="13">
        <f t="shared" si="16"/>
        <v>-332340.83003486134</v>
      </c>
      <c r="P329" s="12">
        <f t="shared" si="17"/>
        <v>-2.3429828001237843E-2</v>
      </c>
    </row>
    <row r="330" spans="1:16" ht="14.4" x14ac:dyDescent="0.3">
      <c r="A330" s="7" t="s">
        <v>369</v>
      </c>
      <c r="B330" s="8">
        <v>44834</v>
      </c>
      <c r="C330" s="9">
        <v>97.05</v>
      </c>
      <c r="D330" s="8">
        <v>44925</v>
      </c>
      <c r="E330" s="9">
        <v>112.1</v>
      </c>
      <c r="F330" s="17">
        <v>15.51</v>
      </c>
      <c r="G330" s="11"/>
      <c r="H330" s="12">
        <f t="shared" si="9"/>
        <v>0.15507470376094795</v>
      </c>
      <c r="I330" s="13">
        <f t="shared" si="10"/>
        <v>31014.940752189592</v>
      </c>
      <c r="J330" s="13">
        <f t="shared" si="11"/>
        <v>31014.940752189592</v>
      </c>
      <c r="K330" s="13">
        <f t="shared" si="12"/>
        <v>0</v>
      </c>
      <c r="L330" s="13">
        <f t="shared" si="13"/>
        <v>3883192.6661801818</v>
      </c>
      <c r="M330" s="13">
        <f t="shared" si="14"/>
        <v>13883192.666180182</v>
      </c>
      <c r="N330" s="13">
        <f t="shared" si="15"/>
        <v>14184518.555462854</v>
      </c>
      <c r="O330" s="13">
        <f t="shared" si="16"/>
        <v>-301325.88928267173</v>
      </c>
      <c r="P330" s="12">
        <f t="shared" si="17"/>
        <v>-2.1243293390921805E-2</v>
      </c>
    </row>
    <row r="331" spans="1:16" ht="14.4" x14ac:dyDescent="0.3">
      <c r="A331" s="7" t="s">
        <v>230</v>
      </c>
      <c r="B331" s="8">
        <v>44834</v>
      </c>
      <c r="C331" s="9">
        <v>98.8</v>
      </c>
      <c r="D331" s="8">
        <v>44925</v>
      </c>
      <c r="E331" s="9">
        <v>78.599999999999994</v>
      </c>
      <c r="F331" s="17">
        <v>-20.45</v>
      </c>
      <c r="G331" s="11"/>
      <c r="H331" s="12">
        <f t="shared" si="9"/>
        <v>-0.2044534412955466</v>
      </c>
      <c r="I331" s="13">
        <f t="shared" si="10"/>
        <v>-40890.688259109324</v>
      </c>
      <c r="J331" s="13">
        <f t="shared" si="11"/>
        <v>0</v>
      </c>
      <c r="K331" s="13">
        <f t="shared" si="12"/>
        <v>-40890.688259109324</v>
      </c>
      <c r="L331" s="13">
        <f t="shared" si="13"/>
        <v>3842301.9779210724</v>
      </c>
      <c r="M331" s="13">
        <f t="shared" si="14"/>
        <v>13842301.977921072</v>
      </c>
      <c r="N331" s="13">
        <f t="shared" si="15"/>
        <v>14184518.555462854</v>
      </c>
      <c r="O331" s="13">
        <f t="shared" si="16"/>
        <v>-342216.57754178159</v>
      </c>
      <c r="P331" s="12">
        <f t="shared" si="17"/>
        <v>-2.4126062241991601E-2</v>
      </c>
    </row>
    <row r="332" spans="1:16" ht="14.4" x14ac:dyDescent="0.3">
      <c r="A332" s="7" t="s">
        <v>370</v>
      </c>
      <c r="B332" s="8">
        <v>44834</v>
      </c>
      <c r="C332" s="9">
        <v>122.85</v>
      </c>
      <c r="D332" s="8">
        <v>44925</v>
      </c>
      <c r="E332" s="9">
        <v>123.35</v>
      </c>
      <c r="F332" s="17">
        <v>0.41</v>
      </c>
      <c r="G332" s="11"/>
      <c r="H332" s="12">
        <f t="shared" si="9"/>
        <v>4.0700040700040706E-3</v>
      </c>
      <c r="I332" s="13">
        <f t="shared" si="10"/>
        <v>814.0008140008141</v>
      </c>
      <c r="J332" s="13">
        <f t="shared" si="11"/>
        <v>814.0008140008141</v>
      </c>
      <c r="K332" s="13">
        <f t="shared" si="12"/>
        <v>0</v>
      </c>
      <c r="L332" s="13">
        <f t="shared" si="13"/>
        <v>3843115.978735073</v>
      </c>
      <c r="M332" s="13">
        <f t="shared" si="14"/>
        <v>13843115.978735073</v>
      </c>
      <c r="N332" s="13">
        <f t="shared" si="15"/>
        <v>14184518.555462854</v>
      </c>
      <c r="O332" s="13">
        <f t="shared" si="16"/>
        <v>-341402.57672778144</v>
      </c>
      <c r="P332" s="12">
        <f t="shared" si="17"/>
        <v>-2.4068675675728013E-2</v>
      </c>
    </row>
    <row r="333" spans="1:16" ht="14.4" x14ac:dyDescent="0.3">
      <c r="A333" s="7" t="s">
        <v>371</v>
      </c>
      <c r="B333" s="8">
        <v>44834</v>
      </c>
      <c r="C333" s="9">
        <v>367.55</v>
      </c>
      <c r="D333" s="8">
        <v>44925</v>
      </c>
      <c r="E333" s="9">
        <v>391.15</v>
      </c>
      <c r="F333" s="17">
        <v>6.42</v>
      </c>
      <c r="G333" s="11"/>
      <c r="H333" s="12">
        <f t="shared" si="9"/>
        <v>6.4208951163106959E-2</v>
      </c>
      <c r="I333" s="13">
        <f t="shared" si="10"/>
        <v>12841.790232621392</v>
      </c>
      <c r="J333" s="13">
        <f t="shared" si="11"/>
        <v>12841.790232621392</v>
      </c>
      <c r="K333" s="13">
        <f t="shared" si="12"/>
        <v>0</v>
      </c>
      <c r="L333" s="13">
        <f t="shared" si="13"/>
        <v>3855957.7689676946</v>
      </c>
      <c r="M333" s="13">
        <f t="shared" si="14"/>
        <v>13855957.768967696</v>
      </c>
      <c r="N333" s="13">
        <f t="shared" si="15"/>
        <v>14184518.555462854</v>
      </c>
      <c r="O333" s="13">
        <f t="shared" si="16"/>
        <v>-328560.78649515845</v>
      </c>
      <c r="P333" s="12">
        <f t="shared" si="17"/>
        <v>-2.3163337212359632E-2</v>
      </c>
    </row>
    <row r="334" spans="1:16" ht="14.4" x14ac:dyDescent="0.3">
      <c r="A334" s="7" t="s">
        <v>372</v>
      </c>
      <c r="B334" s="8">
        <v>44834</v>
      </c>
      <c r="C334" s="9">
        <v>349.1</v>
      </c>
      <c r="D334" s="8">
        <v>44925</v>
      </c>
      <c r="E334" s="9">
        <v>287.5</v>
      </c>
      <c r="F334" s="17">
        <v>-17.649999999999999</v>
      </c>
      <c r="G334" s="11"/>
      <c r="H334" s="12">
        <f t="shared" si="9"/>
        <v>-0.1764537381839015</v>
      </c>
      <c r="I334" s="13">
        <f t="shared" si="10"/>
        <v>-35290.747636780303</v>
      </c>
      <c r="J334" s="13">
        <f t="shared" si="11"/>
        <v>0</v>
      </c>
      <c r="K334" s="13">
        <f t="shared" si="12"/>
        <v>-35290.747636780303</v>
      </c>
      <c r="L334" s="13">
        <f t="shared" si="13"/>
        <v>3820667.0213309145</v>
      </c>
      <c r="M334" s="13">
        <f t="shared" si="14"/>
        <v>13820667.021330915</v>
      </c>
      <c r="N334" s="13">
        <f t="shared" si="15"/>
        <v>14184518.555462854</v>
      </c>
      <c r="O334" s="13">
        <f t="shared" si="16"/>
        <v>-363851.53413193859</v>
      </c>
      <c r="P334" s="12">
        <f t="shared" si="17"/>
        <v>-2.5651313628252063E-2</v>
      </c>
    </row>
    <row r="335" spans="1:16" ht="14.4" x14ac:dyDescent="0.3">
      <c r="A335" s="7" t="s">
        <v>373</v>
      </c>
      <c r="B335" s="8">
        <v>44834</v>
      </c>
      <c r="C335" s="9">
        <v>190.2</v>
      </c>
      <c r="D335" s="8">
        <v>44925</v>
      </c>
      <c r="E335" s="9">
        <v>190.85</v>
      </c>
      <c r="F335" s="17">
        <v>0.34</v>
      </c>
      <c r="G335" s="11"/>
      <c r="H335" s="12">
        <f t="shared" si="9"/>
        <v>3.4174553101998196E-3</v>
      </c>
      <c r="I335" s="13">
        <f t="shared" si="10"/>
        <v>683.49106203996394</v>
      </c>
      <c r="J335" s="13">
        <f t="shared" si="11"/>
        <v>683.49106203996394</v>
      </c>
      <c r="K335" s="13">
        <f t="shared" si="12"/>
        <v>0</v>
      </c>
      <c r="L335" s="13">
        <f t="shared" si="13"/>
        <v>3821350.5123929544</v>
      </c>
      <c r="M335" s="13">
        <f t="shared" si="14"/>
        <v>13821350.512392955</v>
      </c>
      <c r="N335" s="13">
        <f t="shared" si="15"/>
        <v>14184518.555462854</v>
      </c>
      <c r="O335" s="13">
        <f t="shared" si="16"/>
        <v>-363168.04306989908</v>
      </c>
      <c r="P335" s="12">
        <f t="shared" si="17"/>
        <v>-2.5603127920759281E-2</v>
      </c>
    </row>
    <row r="336" spans="1:16" ht="14.4" x14ac:dyDescent="0.3">
      <c r="A336" s="7" t="s">
        <v>374</v>
      </c>
      <c r="B336" s="8">
        <v>44834</v>
      </c>
      <c r="C336" s="9">
        <v>904.1</v>
      </c>
      <c r="D336" s="8">
        <v>44925</v>
      </c>
      <c r="E336" s="9">
        <v>1092.8</v>
      </c>
      <c r="F336" s="17">
        <v>20.87</v>
      </c>
      <c r="G336" s="11"/>
      <c r="H336" s="12">
        <f t="shared" si="9"/>
        <v>0.20871585001659101</v>
      </c>
      <c r="I336" s="13">
        <f t="shared" si="10"/>
        <v>41743.170003318206</v>
      </c>
      <c r="J336" s="13">
        <f t="shared" si="11"/>
        <v>41743.170003318206</v>
      </c>
      <c r="K336" s="13">
        <f t="shared" si="12"/>
        <v>0</v>
      </c>
      <c r="L336" s="13">
        <f t="shared" si="13"/>
        <v>3863093.6823962727</v>
      </c>
      <c r="M336" s="13">
        <f t="shared" si="14"/>
        <v>13863093.682396272</v>
      </c>
      <c r="N336" s="13">
        <f t="shared" si="15"/>
        <v>14184518.555462854</v>
      </c>
      <c r="O336" s="13">
        <f t="shared" si="16"/>
        <v>-321424.87306658179</v>
      </c>
      <c r="P336" s="12">
        <f t="shared" si="17"/>
        <v>-2.2660259621063564E-2</v>
      </c>
    </row>
    <row r="337" spans="1:16" ht="14.4" x14ac:dyDescent="0.3">
      <c r="A337" s="7" t="s">
        <v>375</v>
      </c>
      <c r="B337" s="8">
        <v>44834</v>
      </c>
      <c r="C337" s="9">
        <v>1251.8</v>
      </c>
      <c r="D337" s="8">
        <v>44925</v>
      </c>
      <c r="E337" s="9">
        <v>1254.8499999999999</v>
      </c>
      <c r="F337" s="17">
        <v>0.24</v>
      </c>
      <c r="G337" s="11"/>
      <c r="H337" s="12">
        <f t="shared" si="9"/>
        <v>2.4364914523086392E-3</v>
      </c>
      <c r="I337" s="13">
        <f t="shared" si="10"/>
        <v>487.29829046172785</v>
      </c>
      <c r="J337" s="13">
        <f t="shared" si="11"/>
        <v>487.29829046172785</v>
      </c>
      <c r="K337" s="13">
        <f t="shared" si="12"/>
        <v>0</v>
      </c>
      <c r="L337" s="13">
        <f t="shared" si="13"/>
        <v>3863580.9806867344</v>
      </c>
      <c r="M337" s="13">
        <f t="shared" si="14"/>
        <v>13863580.980686735</v>
      </c>
      <c r="N337" s="13">
        <f t="shared" si="15"/>
        <v>14184518.555462854</v>
      </c>
      <c r="O337" s="13">
        <f t="shared" si="16"/>
        <v>-320937.57477611862</v>
      </c>
      <c r="P337" s="12">
        <f t="shared" si="17"/>
        <v>-2.262590538559496E-2</v>
      </c>
    </row>
    <row r="338" spans="1:16" ht="14.4" x14ac:dyDescent="0.3">
      <c r="A338" s="7" t="s">
        <v>376</v>
      </c>
      <c r="B338" s="8">
        <v>44834</v>
      </c>
      <c r="C338" s="9">
        <v>505.95</v>
      </c>
      <c r="D338" s="8">
        <v>44925</v>
      </c>
      <c r="E338" s="9">
        <v>464.3</v>
      </c>
      <c r="F338" s="17">
        <v>-8.23</v>
      </c>
      <c r="G338" s="11"/>
      <c r="H338" s="12">
        <f t="shared" si="9"/>
        <v>-8.2320387390058258E-2</v>
      </c>
      <c r="I338" s="13">
        <f t="shared" si="10"/>
        <v>-16464.077478011652</v>
      </c>
      <c r="J338" s="13">
        <f t="shared" si="11"/>
        <v>0</v>
      </c>
      <c r="K338" s="13">
        <f t="shared" si="12"/>
        <v>-16464.077478011652</v>
      </c>
      <c r="L338" s="13">
        <f t="shared" si="13"/>
        <v>3847116.9032087228</v>
      </c>
      <c r="M338" s="13">
        <f t="shared" si="14"/>
        <v>13847116.903208723</v>
      </c>
      <c r="N338" s="13">
        <f t="shared" si="15"/>
        <v>14184518.555462854</v>
      </c>
      <c r="O338" s="13">
        <f t="shared" si="16"/>
        <v>-337401.65225413069</v>
      </c>
      <c r="P338" s="12">
        <f t="shared" si="17"/>
        <v>-2.3786612914273916E-2</v>
      </c>
    </row>
    <row r="339" spans="1:16" ht="14.4" x14ac:dyDescent="0.3">
      <c r="A339" s="7" t="s">
        <v>377</v>
      </c>
      <c r="B339" s="8">
        <v>44834</v>
      </c>
      <c r="C339" s="9">
        <v>109.4</v>
      </c>
      <c r="D339" s="8">
        <v>44925</v>
      </c>
      <c r="E339" s="9">
        <v>148.6</v>
      </c>
      <c r="F339" s="17">
        <v>35.83</v>
      </c>
      <c r="G339" s="11"/>
      <c r="H339" s="12">
        <f t="shared" si="9"/>
        <v>0.35831809872029236</v>
      </c>
      <c r="I339" s="13">
        <f t="shared" si="10"/>
        <v>71663.619744058466</v>
      </c>
      <c r="J339" s="13">
        <f t="shared" si="11"/>
        <v>71663.619744058466</v>
      </c>
      <c r="K339" s="13">
        <f t="shared" si="12"/>
        <v>0</v>
      </c>
      <c r="L339" s="13">
        <f t="shared" si="13"/>
        <v>3918780.5229527811</v>
      </c>
      <c r="M339" s="13">
        <f t="shared" si="14"/>
        <v>13918780.52295278</v>
      </c>
      <c r="N339" s="13">
        <f t="shared" si="15"/>
        <v>14184518.555462854</v>
      </c>
      <c r="O339" s="13">
        <f t="shared" si="16"/>
        <v>-265738.03251007386</v>
      </c>
      <c r="P339" s="12">
        <f t="shared" si="17"/>
        <v>-1.8734370960213572E-2</v>
      </c>
    </row>
    <row r="340" spans="1:16" ht="14.4" x14ac:dyDescent="0.3">
      <c r="A340" s="7" t="s">
        <v>378</v>
      </c>
      <c r="B340" s="8">
        <v>44834</v>
      </c>
      <c r="C340" s="9">
        <v>47.25</v>
      </c>
      <c r="D340" s="8">
        <v>44925</v>
      </c>
      <c r="E340" s="9">
        <v>41.6</v>
      </c>
      <c r="F340" s="17">
        <v>-11.96</v>
      </c>
      <c r="G340" s="11"/>
      <c r="H340" s="12">
        <f t="shared" si="9"/>
        <v>-0.11957671957671955</v>
      </c>
      <c r="I340" s="13">
        <f t="shared" si="10"/>
        <v>-23915.34391534391</v>
      </c>
      <c r="J340" s="13">
        <f t="shared" si="11"/>
        <v>0</v>
      </c>
      <c r="K340" s="13">
        <f t="shared" si="12"/>
        <v>-23915.34391534391</v>
      </c>
      <c r="L340" s="13">
        <f t="shared" si="13"/>
        <v>3894865.1790374373</v>
      </c>
      <c r="M340" s="13">
        <f t="shared" si="14"/>
        <v>13894865.179037437</v>
      </c>
      <c r="N340" s="13">
        <f t="shared" si="15"/>
        <v>14184518.555462854</v>
      </c>
      <c r="O340" s="13">
        <f t="shared" si="16"/>
        <v>-289653.37642541714</v>
      </c>
      <c r="P340" s="12">
        <f t="shared" si="17"/>
        <v>-2.0420388277039091E-2</v>
      </c>
    </row>
    <row r="341" spans="1:16" ht="14.4" x14ac:dyDescent="0.3">
      <c r="A341" s="7" t="s">
        <v>379</v>
      </c>
      <c r="B341" s="8">
        <v>44834</v>
      </c>
      <c r="C341" s="9">
        <v>55.45</v>
      </c>
      <c r="D341" s="8">
        <v>44925</v>
      </c>
      <c r="E341" s="9">
        <v>61</v>
      </c>
      <c r="F341" s="17">
        <v>10.01</v>
      </c>
      <c r="G341" s="11"/>
      <c r="H341" s="12">
        <f t="shared" si="9"/>
        <v>0.10009017132551842</v>
      </c>
      <c r="I341" s="13">
        <f t="shared" si="10"/>
        <v>20018.034265103684</v>
      </c>
      <c r="J341" s="13">
        <f t="shared" si="11"/>
        <v>20018.034265103684</v>
      </c>
      <c r="K341" s="13">
        <f t="shared" si="12"/>
        <v>0</v>
      </c>
      <c r="L341" s="13">
        <f t="shared" si="13"/>
        <v>3914883.2133025411</v>
      </c>
      <c r="M341" s="13">
        <f t="shared" si="14"/>
        <v>13914883.213302542</v>
      </c>
      <c r="N341" s="13">
        <f t="shared" si="15"/>
        <v>14184518.555462854</v>
      </c>
      <c r="O341" s="13">
        <f t="shared" si="16"/>
        <v>-269635.34216031246</v>
      </c>
      <c r="P341" s="12">
        <f t="shared" si="17"/>
        <v>-1.9009128939132612E-2</v>
      </c>
    </row>
    <row r="342" spans="1:16" ht="14.4" x14ac:dyDescent="0.3">
      <c r="A342" s="7" t="s">
        <v>380</v>
      </c>
      <c r="B342" s="8">
        <v>44834</v>
      </c>
      <c r="C342" s="9">
        <v>84</v>
      </c>
      <c r="D342" s="8">
        <v>44925</v>
      </c>
      <c r="E342" s="9">
        <v>101.2</v>
      </c>
      <c r="F342" s="17">
        <v>20.48</v>
      </c>
      <c r="G342" s="11"/>
      <c r="H342" s="12">
        <f t="shared" si="9"/>
        <v>0.20476190476190478</v>
      </c>
      <c r="I342" s="13">
        <f t="shared" si="10"/>
        <v>40952.380952380954</v>
      </c>
      <c r="J342" s="13">
        <f t="shared" si="11"/>
        <v>40952.380952380954</v>
      </c>
      <c r="K342" s="13">
        <f t="shared" si="12"/>
        <v>0</v>
      </c>
      <c r="L342" s="13">
        <f t="shared" si="13"/>
        <v>3955835.5942549221</v>
      </c>
      <c r="M342" s="13">
        <f t="shared" si="14"/>
        <v>13955835.594254922</v>
      </c>
      <c r="N342" s="13">
        <f t="shared" si="15"/>
        <v>14184518.555462854</v>
      </c>
      <c r="O342" s="13">
        <f t="shared" si="16"/>
        <v>-228682.96120793186</v>
      </c>
      <c r="P342" s="12">
        <f t="shared" si="17"/>
        <v>-1.6122010790409216E-2</v>
      </c>
    </row>
    <row r="343" spans="1:16" ht="14.4" x14ac:dyDescent="0.3">
      <c r="A343" s="7" t="s">
        <v>381</v>
      </c>
      <c r="B343" s="8">
        <v>44834</v>
      </c>
      <c r="C343" s="9">
        <v>219.78</v>
      </c>
      <c r="D343" s="8">
        <v>44925</v>
      </c>
      <c r="E343" s="9">
        <v>265.5</v>
      </c>
      <c r="F343" s="17">
        <v>20.8</v>
      </c>
      <c r="G343" s="11"/>
      <c r="H343" s="12">
        <f t="shared" si="9"/>
        <v>0.20802620802620803</v>
      </c>
      <c r="I343" s="13">
        <f t="shared" si="10"/>
        <v>41605.241605241608</v>
      </c>
      <c r="J343" s="13">
        <f t="shared" si="11"/>
        <v>41605.241605241608</v>
      </c>
      <c r="K343" s="13">
        <f t="shared" si="12"/>
        <v>0</v>
      </c>
      <c r="L343" s="13">
        <f t="shared" si="13"/>
        <v>3997440.8358601639</v>
      </c>
      <c r="M343" s="13">
        <f t="shared" si="14"/>
        <v>13997440.835860163</v>
      </c>
      <c r="N343" s="13">
        <f t="shared" si="15"/>
        <v>14184518.555462854</v>
      </c>
      <c r="O343" s="13">
        <f t="shared" si="16"/>
        <v>-187077.71960269101</v>
      </c>
      <c r="P343" s="12">
        <f t="shared" si="17"/>
        <v>-1.3188866359559463E-2</v>
      </c>
    </row>
    <row r="344" spans="1:16" ht="14.4" x14ac:dyDescent="0.3">
      <c r="A344" s="7" t="s">
        <v>382</v>
      </c>
      <c r="B344" s="8">
        <v>44834</v>
      </c>
      <c r="C344" s="9">
        <v>220.6</v>
      </c>
      <c r="D344" s="8">
        <v>44925</v>
      </c>
      <c r="E344" s="9">
        <v>267.25</v>
      </c>
      <c r="F344" s="17">
        <v>21.15</v>
      </c>
      <c r="G344" s="11"/>
      <c r="H344" s="12">
        <f t="shared" si="9"/>
        <v>0.21146872166817773</v>
      </c>
      <c r="I344" s="13">
        <f t="shared" si="10"/>
        <v>42293.74433363555</v>
      </c>
      <c r="J344" s="13">
        <f t="shared" si="11"/>
        <v>42293.74433363555</v>
      </c>
      <c r="K344" s="13">
        <f t="shared" si="12"/>
        <v>0</v>
      </c>
      <c r="L344" s="13">
        <f t="shared" si="13"/>
        <v>4039734.5801937995</v>
      </c>
      <c r="M344" s="13">
        <f t="shared" si="14"/>
        <v>14039734.580193799</v>
      </c>
      <c r="N344" s="13">
        <f t="shared" si="15"/>
        <v>14184518.555462854</v>
      </c>
      <c r="O344" s="13">
        <f t="shared" si="16"/>
        <v>-144783.97526905499</v>
      </c>
      <c r="P344" s="12">
        <f t="shared" si="17"/>
        <v>-1.0207182901762615E-2</v>
      </c>
    </row>
    <row r="345" spans="1:16" ht="14.4" x14ac:dyDescent="0.3">
      <c r="A345" s="7" t="s">
        <v>383</v>
      </c>
      <c r="B345" s="8">
        <v>44834</v>
      </c>
      <c r="C345" s="9">
        <v>659.9</v>
      </c>
      <c r="D345" s="8">
        <v>44925</v>
      </c>
      <c r="E345" s="9">
        <v>704.25</v>
      </c>
      <c r="F345" s="17">
        <v>6.72</v>
      </c>
      <c r="G345" s="11"/>
      <c r="H345" s="12">
        <f t="shared" si="9"/>
        <v>6.7207152598878661E-2</v>
      </c>
      <c r="I345" s="13">
        <f t="shared" si="10"/>
        <v>13441.430519775733</v>
      </c>
      <c r="J345" s="13">
        <f t="shared" si="11"/>
        <v>13441.430519775733</v>
      </c>
      <c r="K345" s="13">
        <f t="shared" si="12"/>
        <v>0</v>
      </c>
      <c r="L345" s="13">
        <f t="shared" si="13"/>
        <v>4053176.0107135754</v>
      </c>
      <c r="M345" s="13">
        <f t="shared" si="14"/>
        <v>14053176.010713575</v>
      </c>
      <c r="N345" s="13">
        <f t="shared" si="15"/>
        <v>14184518.555462854</v>
      </c>
      <c r="O345" s="13">
        <f t="shared" si="16"/>
        <v>-131342.54474927858</v>
      </c>
      <c r="P345" s="12">
        <f t="shared" si="17"/>
        <v>-9.259570159939964E-3</v>
      </c>
    </row>
    <row r="346" spans="1:16" ht="14.4" x14ac:dyDescent="0.3">
      <c r="A346" s="7" t="s">
        <v>384</v>
      </c>
      <c r="B346" s="8">
        <v>44834</v>
      </c>
      <c r="C346" s="9">
        <v>246.75</v>
      </c>
      <c r="D346" s="8">
        <v>44925</v>
      </c>
      <c r="E346" s="9">
        <v>396</v>
      </c>
      <c r="F346" s="17">
        <v>60.49</v>
      </c>
      <c r="G346" s="11"/>
      <c r="H346" s="12">
        <f t="shared" si="9"/>
        <v>0.60486322188449848</v>
      </c>
      <c r="I346" s="13">
        <f t="shared" si="10"/>
        <v>120972.6443768997</v>
      </c>
      <c r="J346" s="13">
        <f t="shared" si="11"/>
        <v>120972.6443768997</v>
      </c>
      <c r="K346" s="13">
        <f t="shared" si="12"/>
        <v>0</v>
      </c>
      <c r="L346" s="13">
        <f t="shared" si="13"/>
        <v>4174148.655090475</v>
      </c>
      <c r="M346" s="13">
        <f t="shared" si="14"/>
        <v>14174148.655090475</v>
      </c>
      <c r="N346" s="13">
        <f t="shared" si="15"/>
        <v>14184518.555462854</v>
      </c>
      <c r="O346" s="13">
        <f t="shared" si="16"/>
        <v>-10369.900372378528</v>
      </c>
      <c r="P346" s="12">
        <f t="shared" si="17"/>
        <v>-7.3107171962384231E-4</v>
      </c>
    </row>
    <row r="347" spans="1:16" ht="14.4" x14ac:dyDescent="0.3">
      <c r="A347" s="7" t="s">
        <v>385</v>
      </c>
      <c r="B347" s="8">
        <v>44742</v>
      </c>
      <c r="C347" s="9">
        <v>8350.6</v>
      </c>
      <c r="D347" s="8">
        <v>44834</v>
      </c>
      <c r="E347" s="9">
        <v>7431.4</v>
      </c>
      <c r="F347" s="17">
        <v>-11.01</v>
      </c>
      <c r="G347" s="11"/>
      <c r="H347" s="12">
        <f t="shared" si="9"/>
        <v>-0.11007592268819015</v>
      </c>
      <c r="I347" s="13">
        <f t="shared" si="10"/>
        <v>-22015.18453763803</v>
      </c>
      <c r="J347" s="13">
        <f t="shared" si="11"/>
        <v>0</v>
      </c>
      <c r="K347" s="13">
        <f t="shared" si="12"/>
        <v>-22015.18453763803</v>
      </c>
      <c r="L347" s="13">
        <f t="shared" si="13"/>
        <v>4152133.470552837</v>
      </c>
      <c r="M347" s="13">
        <f t="shared" si="14"/>
        <v>14152133.470552837</v>
      </c>
      <c r="N347" s="13">
        <f t="shared" si="15"/>
        <v>14184518.555462854</v>
      </c>
      <c r="O347" s="13">
        <f t="shared" si="16"/>
        <v>-32385.084910016507</v>
      </c>
      <c r="P347" s="12">
        <f t="shared" si="17"/>
        <v>-2.2831289467730369E-3</v>
      </c>
    </row>
    <row r="348" spans="1:16" ht="14.4" x14ac:dyDescent="0.3">
      <c r="A348" s="7" t="s">
        <v>386</v>
      </c>
      <c r="B348" s="8">
        <v>44742</v>
      </c>
      <c r="C348" s="9">
        <v>2874.4</v>
      </c>
      <c r="D348" s="8">
        <v>44834</v>
      </c>
      <c r="E348" s="9">
        <v>2604.1999999999998</v>
      </c>
      <c r="F348" s="17">
        <v>-9.4</v>
      </c>
      <c r="G348" s="11"/>
      <c r="H348" s="12">
        <f t="shared" si="9"/>
        <v>-9.4002226551628251E-2</v>
      </c>
      <c r="I348" s="13">
        <f t="shared" si="10"/>
        <v>-18800.445310325649</v>
      </c>
      <c r="J348" s="13">
        <f t="shared" si="11"/>
        <v>0</v>
      </c>
      <c r="K348" s="13">
        <f t="shared" si="12"/>
        <v>-18800.445310325649</v>
      </c>
      <c r="L348" s="13">
        <f t="shared" si="13"/>
        <v>4133333.0252425112</v>
      </c>
      <c r="M348" s="13">
        <f t="shared" si="14"/>
        <v>14133333.025242511</v>
      </c>
      <c r="N348" s="13">
        <f t="shared" si="15"/>
        <v>14184518.555462854</v>
      </c>
      <c r="O348" s="13">
        <f t="shared" si="16"/>
        <v>-51185.5302203428</v>
      </c>
      <c r="P348" s="12">
        <f t="shared" si="17"/>
        <v>-3.6085489979940013E-3</v>
      </c>
    </row>
    <row r="349" spans="1:16" ht="14.4" x14ac:dyDescent="0.3">
      <c r="A349" s="7" t="s">
        <v>387</v>
      </c>
      <c r="B349" s="8">
        <v>44742</v>
      </c>
      <c r="C349" s="9">
        <v>658.05</v>
      </c>
      <c r="D349" s="8">
        <v>44834</v>
      </c>
      <c r="E349" s="9">
        <v>760.65</v>
      </c>
      <c r="F349" s="17">
        <v>15.59</v>
      </c>
      <c r="G349" s="11"/>
      <c r="H349" s="12">
        <f t="shared" si="9"/>
        <v>0.15591520401185324</v>
      </c>
      <c r="I349" s="13">
        <f t="shared" si="10"/>
        <v>31183.040802370648</v>
      </c>
      <c r="J349" s="13">
        <f t="shared" si="11"/>
        <v>31183.040802370648</v>
      </c>
      <c r="K349" s="13">
        <f t="shared" si="12"/>
        <v>0</v>
      </c>
      <c r="L349" s="13">
        <f t="shared" si="13"/>
        <v>4164516.0660448819</v>
      </c>
      <c r="M349" s="13">
        <f t="shared" si="14"/>
        <v>14164516.066044882</v>
      </c>
      <c r="N349" s="13">
        <f t="shared" si="15"/>
        <v>14184518.555462854</v>
      </c>
      <c r="O349" s="13">
        <f t="shared" si="16"/>
        <v>-20002.489417972043</v>
      </c>
      <c r="P349" s="12">
        <f t="shared" si="17"/>
        <v>-1.4101634355625364E-3</v>
      </c>
    </row>
    <row r="350" spans="1:16" ht="14.4" x14ac:dyDescent="0.3">
      <c r="A350" s="7" t="s">
        <v>388</v>
      </c>
      <c r="B350" s="8">
        <v>44742</v>
      </c>
      <c r="C350" s="9">
        <v>539.6</v>
      </c>
      <c r="D350" s="8">
        <v>44834</v>
      </c>
      <c r="E350" s="9">
        <v>635.15</v>
      </c>
      <c r="F350" s="17">
        <v>17.71</v>
      </c>
      <c r="G350" s="11"/>
      <c r="H350" s="12">
        <f t="shared" si="9"/>
        <v>0.17707561156412149</v>
      </c>
      <c r="I350" s="13">
        <f t="shared" si="10"/>
        <v>35415.1223128243</v>
      </c>
      <c r="J350" s="13">
        <f t="shared" si="11"/>
        <v>35415.1223128243</v>
      </c>
      <c r="K350" s="13">
        <f t="shared" si="12"/>
        <v>0</v>
      </c>
      <c r="L350" s="13">
        <f t="shared" si="13"/>
        <v>4199931.1883577062</v>
      </c>
      <c r="M350" s="13">
        <f t="shared" si="14"/>
        <v>14199931.188357707</v>
      </c>
      <c r="N350" s="13">
        <f t="shared" si="15"/>
        <v>14199931.188357707</v>
      </c>
      <c r="O350" s="13">
        <f t="shared" si="16"/>
        <v>0</v>
      </c>
      <c r="P350" s="12">
        <f t="shared" si="17"/>
        <v>0</v>
      </c>
    </row>
    <row r="351" spans="1:16" ht="14.4" x14ac:dyDescent="0.3">
      <c r="A351" s="7" t="s">
        <v>389</v>
      </c>
      <c r="B351" s="8">
        <v>44742</v>
      </c>
      <c r="C351" s="9">
        <v>285.55</v>
      </c>
      <c r="D351" s="8">
        <v>44834</v>
      </c>
      <c r="E351" s="9">
        <v>301.05</v>
      </c>
      <c r="F351" s="17">
        <v>5.43</v>
      </c>
      <c r="G351" s="11"/>
      <c r="H351" s="12">
        <f t="shared" si="9"/>
        <v>5.4281211696725618E-2</v>
      </c>
      <c r="I351" s="13">
        <f t="shared" si="10"/>
        <v>10856.242339345123</v>
      </c>
      <c r="J351" s="13">
        <f t="shared" si="11"/>
        <v>10856.242339345123</v>
      </c>
      <c r="K351" s="13">
        <f t="shared" si="12"/>
        <v>0</v>
      </c>
      <c r="L351" s="13">
        <f t="shared" si="13"/>
        <v>4210787.4306970509</v>
      </c>
      <c r="M351" s="13">
        <f t="shared" si="14"/>
        <v>14210787.43069705</v>
      </c>
      <c r="N351" s="13">
        <f t="shared" si="15"/>
        <v>14210787.43069705</v>
      </c>
      <c r="O351" s="13">
        <f t="shared" si="16"/>
        <v>0</v>
      </c>
      <c r="P351" s="12">
        <f t="shared" si="17"/>
        <v>0</v>
      </c>
    </row>
    <row r="352" spans="1:16" ht="14.4" x14ac:dyDescent="0.3">
      <c r="A352" s="7" t="s">
        <v>357</v>
      </c>
      <c r="B352" s="8">
        <v>44742</v>
      </c>
      <c r="C352" s="9">
        <v>112.03</v>
      </c>
      <c r="D352" s="8">
        <v>44834</v>
      </c>
      <c r="E352" s="9">
        <v>112.75</v>
      </c>
      <c r="F352" s="17">
        <v>0.64</v>
      </c>
      <c r="G352" s="11"/>
      <c r="H352" s="12">
        <f t="shared" si="9"/>
        <v>6.4268499509059973E-3</v>
      </c>
      <c r="I352" s="13">
        <f t="shared" si="10"/>
        <v>1285.3699901811995</v>
      </c>
      <c r="J352" s="13">
        <f t="shared" si="11"/>
        <v>1285.3699901811995</v>
      </c>
      <c r="K352" s="13">
        <f t="shared" si="12"/>
        <v>0</v>
      </c>
      <c r="L352" s="13">
        <f t="shared" si="13"/>
        <v>4212072.8006872321</v>
      </c>
      <c r="M352" s="13">
        <f t="shared" si="14"/>
        <v>14212072.800687231</v>
      </c>
      <c r="N352" s="13">
        <f t="shared" si="15"/>
        <v>14212072.800687231</v>
      </c>
      <c r="O352" s="13">
        <f t="shared" si="16"/>
        <v>0</v>
      </c>
      <c r="P352" s="12">
        <f t="shared" si="17"/>
        <v>0</v>
      </c>
    </row>
    <row r="353" spans="1:16" ht="14.4" x14ac:dyDescent="0.3">
      <c r="A353" s="7" t="s">
        <v>390</v>
      </c>
      <c r="B353" s="8">
        <v>44742</v>
      </c>
      <c r="C353" s="9">
        <v>144.4</v>
      </c>
      <c r="D353" s="8">
        <v>44834</v>
      </c>
      <c r="E353" s="9">
        <v>195.1</v>
      </c>
      <c r="F353" s="17">
        <v>35.11</v>
      </c>
      <c r="G353" s="11"/>
      <c r="H353" s="12">
        <f t="shared" si="9"/>
        <v>0.35110803324099715</v>
      </c>
      <c r="I353" s="13">
        <f t="shared" si="10"/>
        <v>70221.606648199435</v>
      </c>
      <c r="J353" s="13">
        <f t="shared" si="11"/>
        <v>70221.606648199435</v>
      </c>
      <c r="K353" s="13">
        <f t="shared" si="12"/>
        <v>0</v>
      </c>
      <c r="L353" s="13">
        <f t="shared" si="13"/>
        <v>4282294.4073354313</v>
      </c>
      <c r="M353" s="13">
        <f t="shared" si="14"/>
        <v>14282294.40733543</v>
      </c>
      <c r="N353" s="13">
        <f t="shared" si="15"/>
        <v>14282294.40733543</v>
      </c>
      <c r="O353" s="13">
        <f t="shared" si="16"/>
        <v>0</v>
      </c>
      <c r="P353" s="12">
        <f t="shared" si="17"/>
        <v>0</v>
      </c>
    </row>
    <row r="354" spans="1:16" ht="14.4" x14ac:dyDescent="0.3">
      <c r="A354" s="7" t="s">
        <v>391</v>
      </c>
      <c r="B354" s="8">
        <v>44651</v>
      </c>
      <c r="C354" s="9">
        <v>379.15</v>
      </c>
      <c r="D354" s="8">
        <v>44742</v>
      </c>
      <c r="E354" s="9">
        <v>299.5</v>
      </c>
      <c r="F354" s="17">
        <v>-21.01</v>
      </c>
      <c r="G354" s="11"/>
      <c r="H354" s="12">
        <f t="shared" si="9"/>
        <v>-0.21007516813925883</v>
      </c>
      <c r="I354" s="13">
        <f t="shared" si="10"/>
        <v>-42015.033627851764</v>
      </c>
      <c r="J354" s="13">
        <f t="shared" si="11"/>
        <v>0</v>
      </c>
      <c r="K354" s="13">
        <f t="shared" si="12"/>
        <v>-42015.033627851764</v>
      </c>
      <c r="L354" s="13">
        <f t="shared" si="13"/>
        <v>4240279.3737075794</v>
      </c>
      <c r="M354" s="13">
        <f t="shared" si="14"/>
        <v>14240279.373707579</v>
      </c>
      <c r="N354" s="13">
        <f t="shared" si="15"/>
        <v>14282294.40733543</v>
      </c>
      <c r="O354" s="13">
        <f t="shared" si="16"/>
        <v>-42015.033627850935</v>
      </c>
      <c r="P354" s="12">
        <f t="shared" si="17"/>
        <v>-2.9417565854315316E-3</v>
      </c>
    </row>
    <row r="355" spans="1:16" ht="14.4" x14ac:dyDescent="0.3">
      <c r="A355" s="7" t="s">
        <v>392</v>
      </c>
      <c r="B355" s="8">
        <v>44651</v>
      </c>
      <c r="C355" s="9">
        <v>1327.65</v>
      </c>
      <c r="D355" s="8">
        <v>44742</v>
      </c>
      <c r="E355" s="9">
        <v>795.8</v>
      </c>
      <c r="F355" s="17">
        <v>-40.06</v>
      </c>
      <c r="G355" s="11"/>
      <c r="H355" s="12">
        <f t="shared" si="9"/>
        <v>-0.40059503634240962</v>
      </c>
      <c r="I355" s="13">
        <f t="shared" si="10"/>
        <v>-80119.007268481917</v>
      </c>
      <c r="J355" s="13">
        <f t="shared" si="11"/>
        <v>0</v>
      </c>
      <c r="K355" s="13">
        <f t="shared" si="12"/>
        <v>-80119.007268481917</v>
      </c>
      <c r="L355" s="13">
        <f t="shared" si="13"/>
        <v>4160160.3664390976</v>
      </c>
      <c r="M355" s="13">
        <f t="shared" si="14"/>
        <v>14160160.366439097</v>
      </c>
      <c r="N355" s="13">
        <f t="shared" si="15"/>
        <v>14282294.40733543</v>
      </c>
      <c r="O355" s="13">
        <f t="shared" si="16"/>
        <v>-122134.04089633375</v>
      </c>
      <c r="P355" s="12">
        <f t="shared" si="17"/>
        <v>-8.5514300022834795E-3</v>
      </c>
    </row>
    <row r="356" spans="1:16" ht="14.4" x14ac:dyDescent="0.3">
      <c r="A356" s="7" t="s">
        <v>271</v>
      </c>
      <c r="B356" s="8">
        <v>44651</v>
      </c>
      <c r="C356" s="9">
        <v>334.25</v>
      </c>
      <c r="D356" s="8">
        <v>44742</v>
      </c>
      <c r="E356" s="9">
        <v>337.55</v>
      </c>
      <c r="F356" s="17">
        <v>0.99</v>
      </c>
      <c r="G356" s="11"/>
      <c r="H356" s="12">
        <f t="shared" si="9"/>
        <v>9.8728496634256143E-3</v>
      </c>
      <c r="I356" s="13">
        <f t="shared" si="10"/>
        <v>1974.5699326851229</v>
      </c>
      <c r="J356" s="13">
        <f t="shared" si="11"/>
        <v>1974.5699326851229</v>
      </c>
      <c r="K356" s="13">
        <f t="shared" si="12"/>
        <v>0</v>
      </c>
      <c r="L356" s="13">
        <f t="shared" si="13"/>
        <v>4162134.9363717828</v>
      </c>
      <c r="M356" s="13">
        <f t="shared" si="14"/>
        <v>14162134.936371783</v>
      </c>
      <c r="N356" s="13">
        <f t="shared" si="15"/>
        <v>14282294.40733543</v>
      </c>
      <c r="O356" s="13">
        <f t="shared" si="16"/>
        <v>-120159.47096364759</v>
      </c>
      <c r="P356" s="12">
        <f t="shared" si="17"/>
        <v>-8.413177010406208E-3</v>
      </c>
    </row>
    <row r="357" spans="1:16" ht="14.4" x14ac:dyDescent="0.3">
      <c r="A357" s="7" t="s">
        <v>70</v>
      </c>
      <c r="B357" s="8">
        <v>44651</v>
      </c>
      <c r="C357" s="9">
        <v>303.95</v>
      </c>
      <c r="D357" s="8">
        <v>44742</v>
      </c>
      <c r="E357" s="9">
        <v>295.7</v>
      </c>
      <c r="F357" s="17">
        <v>-2.71</v>
      </c>
      <c r="G357" s="11"/>
      <c r="H357" s="12">
        <f t="shared" si="9"/>
        <v>-2.714262214179964E-2</v>
      </c>
      <c r="I357" s="13">
        <f t="shared" si="10"/>
        <v>-5428.5244283599277</v>
      </c>
      <c r="J357" s="13">
        <f t="shared" si="11"/>
        <v>0</v>
      </c>
      <c r="K357" s="13">
        <f t="shared" si="12"/>
        <v>-5428.5244283599277</v>
      </c>
      <c r="L357" s="13">
        <f t="shared" si="13"/>
        <v>4156706.4119434231</v>
      </c>
      <c r="M357" s="13">
        <f t="shared" si="14"/>
        <v>14156706.411943423</v>
      </c>
      <c r="N357" s="13">
        <f t="shared" si="15"/>
        <v>14282294.40733543</v>
      </c>
      <c r="O357" s="13">
        <f t="shared" si="16"/>
        <v>-125587.99539200775</v>
      </c>
      <c r="P357" s="12">
        <f t="shared" si="17"/>
        <v>-8.793264710150869E-3</v>
      </c>
    </row>
    <row r="358" spans="1:16" ht="14.4" x14ac:dyDescent="0.3">
      <c r="A358" s="7" t="s">
        <v>393</v>
      </c>
      <c r="B358" s="8">
        <v>44651</v>
      </c>
      <c r="C358" s="9">
        <v>280.25</v>
      </c>
      <c r="D358" s="8">
        <v>44742</v>
      </c>
      <c r="E358" s="9">
        <v>240.15</v>
      </c>
      <c r="F358" s="17">
        <v>-14.31</v>
      </c>
      <c r="G358" s="11"/>
      <c r="H358" s="12">
        <f t="shared" si="9"/>
        <v>-0.14308652988403209</v>
      </c>
      <c r="I358" s="13">
        <f t="shared" si="10"/>
        <v>-28617.305976806416</v>
      </c>
      <c r="J358" s="13">
        <f t="shared" si="11"/>
        <v>0</v>
      </c>
      <c r="K358" s="13">
        <f t="shared" si="12"/>
        <v>-28617.305976806416</v>
      </c>
      <c r="L358" s="13">
        <f t="shared" si="13"/>
        <v>4128089.1059666169</v>
      </c>
      <c r="M358" s="13">
        <f t="shared" si="14"/>
        <v>14128089.105966616</v>
      </c>
      <c r="N358" s="13">
        <f t="shared" si="15"/>
        <v>14282294.40733543</v>
      </c>
      <c r="O358" s="13">
        <f t="shared" si="16"/>
        <v>-154205.30136881396</v>
      </c>
      <c r="P358" s="12">
        <f t="shared" si="17"/>
        <v>-1.0796955795114659E-2</v>
      </c>
    </row>
    <row r="359" spans="1:16" ht="14.4" x14ac:dyDescent="0.3">
      <c r="A359" s="7" t="s">
        <v>394</v>
      </c>
      <c r="B359" s="8">
        <v>44651</v>
      </c>
      <c r="C359" s="9">
        <v>162.05000000000001</v>
      </c>
      <c r="D359" s="8">
        <v>44742</v>
      </c>
      <c r="E359" s="9">
        <v>132</v>
      </c>
      <c r="F359" s="17">
        <v>-18.54</v>
      </c>
      <c r="G359" s="11"/>
      <c r="H359" s="12">
        <f t="shared" si="9"/>
        <v>-0.18543659364393711</v>
      </c>
      <c r="I359" s="13">
        <f t="shared" si="10"/>
        <v>-37087.318728787424</v>
      </c>
      <c r="J359" s="13">
        <f t="shared" si="11"/>
        <v>0</v>
      </c>
      <c r="K359" s="13">
        <f t="shared" si="12"/>
        <v>-37087.318728787424</v>
      </c>
      <c r="L359" s="13">
        <f t="shared" si="13"/>
        <v>4091001.7872378295</v>
      </c>
      <c r="M359" s="13">
        <f t="shared" si="14"/>
        <v>14091001.78723783</v>
      </c>
      <c r="N359" s="13">
        <f t="shared" si="15"/>
        <v>14282294.40733543</v>
      </c>
      <c r="O359" s="13">
        <f t="shared" si="16"/>
        <v>-191292.62009759992</v>
      </c>
      <c r="P359" s="12">
        <f t="shared" si="17"/>
        <v>-1.339368974212935E-2</v>
      </c>
    </row>
    <row r="360" spans="1:16" ht="14.4" x14ac:dyDescent="0.3">
      <c r="A360" s="7" t="s">
        <v>300</v>
      </c>
      <c r="B360" s="8">
        <v>44651</v>
      </c>
      <c r="C360" s="9">
        <v>77.48</v>
      </c>
      <c r="D360" s="8">
        <v>44742</v>
      </c>
      <c r="E360" s="9">
        <v>50.2</v>
      </c>
      <c r="F360" s="17">
        <v>-35.21</v>
      </c>
      <c r="G360" s="11"/>
      <c r="H360" s="12">
        <f t="shared" si="9"/>
        <v>-0.35209086215797625</v>
      </c>
      <c r="I360" s="13">
        <f t="shared" si="10"/>
        <v>-70418.172431595245</v>
      </c>
      <c r="J360" s="13">
        <f t="shared" si="11"/>
        <v>0</v>
      </c>
      <c r="K360" s="13">
        <f t="shared" si="12"/>
        <v>-70418.172431595245</v>
      </c>
      <c r="L360" s="13">
        <f t="shared" si="13"/>
        <v>4020583.6148062344</v>
      </c>
      <c r="M360" s="13">
        <f t="shared" si="14"/>
        <v>14020583.614806235</v>
      </c>
      <c r="N360" s="13">
        <f t="shared" si="15"/>
        <v>14282294.40733543</v>
      </c>
      <c r="O360" s="13">
        <f t="shared" si="16"/>
        <v>-261710.79252919555</v>
      </c>
      <c r="P360" s="12">
        <f t="shared" si="17"/>
        <v>-1.8324142120665157E-2</v>
      </c>
    </row>
    <row r="361" spans="1:16" ht="14.4" x14ac:dyDescent="0.3">
      <c r="A361" s="7" t="s">
        <v>395</v>
      </c>
      <c r="B361" s="8">
        <v>44651</v>
      </c>
      <c r="C361" s="9">
        <v>3784.9</v>
      </c>
      <c r="D361" s="8">
        <v>44742</v>
      </c>
      <c r="E361" s="9">
        <v>3198.15</v>
      </c>
      <c r="F361" s="17">
        <v>-15.5</v>
      </c>
      <c r="G361" s="11"/>
      <c r="H361" s="12">
        <f t="shared" si="9"/>
        <v>-0.15502391080345584</v>
      </c>
      <c r="I361" s="13">
        <f t="shared" si="10"/>
        <v>-31004.782160691168</v>
      </c>
      <c r="J361" s="13">
        <f t="shared" si="11"/>
        <v>0</v>
      </c>
      <c r="K361" s="13">
        <f t="shared" si="12"/>
        <v>-31004.782160691168</v>
      </c>
      <c r="L361" s="13">
        <f t="shared" si="13"/>
        <v>3989578.8326455434</v>
      </c>
      <c r="M361" s="13">
        <f t="shared" si="14"/>
        <v>13989578.832645543</v>
      </c>
      <c r="N361" s="13">
        <f t="shared" si="15"/>
        <v>14282294.40733543</v>
      </c>
      <c r="O361" s="13">
        <f t="shared" si="16"/>
        <v>-292715.57468988746</v>
      </c>
      <c r="P361" s="12">
        <f t="shared" si="17"/>
        <v>-2.0494996555983878E-2</v>
      </c>
    </row>
    <row r="362" spans="1:16" ht="14.4" x14ac:dyDescent="0.3">
      <c r="A362" s="7" t="s">
        <v>368</v>
      </c>
      <c r="B362" s="8">
        <v>44651</v>
      </c>
      <c r="C362" s="9">
        <v>189.8</v>
      </c>
      <c r="D362" s="8">
        <v>44742</v>
      </c>
      <c r="E362" s="9">
        <v>181</v>
      </c>
      <c r="F362" s="17">
        <v>-4.6399999999999997</v>
      </c>
      <c r="G362" s="11"/>
      <c r="H362" s="12">
        <f t="shared" si="9"/>
        <v>-4.6364594309799848E-2</v>
      </c>
      <c r="I362" s="13">
        <f t="shared" si="10"/>
        <v>-9272.9188619599699</v>
      </c>
      <c r="J362" s="13">
        <f t="shared" si="11"/>
        <v>0</v>
      </c>
      <c r="K362" s="13">
        <f t="shared" si="12"/>
        <v>-9272.9188619599699</v>
      </c>
      <c r="L362" s="13">
        <f t="shared" si="13"/>
        <v>3980305.9137835833</v>
      </c>
      <c r="M362" s="13">
        <f t="shared" si="14"/>
        <v>13980305.913783584</v>
      </c>
      <c r="N362" s="13">
        <f t="shared" si="15"/>
        <v>14282294.40733543</v>
      </c>
      <c r="O362" s="13">
        <f t="shared" si="16"/>
        <v>-301988.49355184659</v>
      </c>
      <c r="P362" s="12">
        <f t="shared" si="17"/>
        <v>-2.1144256303577132E-2</v>
      </c>
    </row>
    <row r="363" spans="1:16" ht="14.4" x14ac:dyDescent="0.3">
      <c r="A363" s="7" t="s">
        <v>396</v>
      </c>
      <c r="B363" s="8">
        <v>44651</v>
      </c>
      <c r="C363" s="9">
        <v>255.75</v>
      </c>
      <c r="D363" s="8">
        <v>44742</v>
      </c>
      <c r="E363" s="9">
        <v>187.2</v>
      </c>
      <c r="F363" s="17">
        <v>-26.8</v>
      </c>
      <c r="G363" s="11"/>
      <c r="H363" s="12">
        <f t="shared" si="9"/>
        <v>-0.26803519061583581</v>
      </c>
      <c r="I363" s="13">
        <f t="shared" si="10"/>
        <v>-53607.038123167164</v>
      </c>
      <c r="J363" s="13">
        <f t="shared" si="11"/>
        <v>0</v>
      </c>
      <c r="K363" s="13">
        <f t="shared" si="12"/>
        <v>-53607.038123167164</v>
      </c>
      <c r="L363" s="13">
        <f t="shared" si="13"/>
        <v>3926698.8756604162</v>
      </c>
      <c r="M363" s="13">
        <f t="shared" si="14"/>
        <v>13926698.875660416</v>
      </c>
      <c r="N363" s="13">
        <f t="shared" si="15"/>
        <v>14282294.40733543</v>
      </c>
      <c r="O363" s="13">
        <f t="shared" si="16"/>
        <v>-355595.53167501464</v>
      </c>
      <c r="P363" s="12">
        <f t="shared" si="17"/>
        <v>-2.48976475020974E-2</v>
      </c>
    </row>
    <row r="364" spans="1:16" ht="14.4" x14ac:dyDescent="0.3">
      <c r="A364" s="7" t="s">
        <v>207</v>
      </c>
      <c r="B364" s="8">
        <v>44651</v>
      </c>
      <c r="C364" s="9">
        <v>1409.8</v>
      </c>
      <c r="D364" s="8">
        <v>44742</v>
      </c>
      <c r="E364" s="9">
        <v>2048.25</v>
      </c>
      <c r="F364" s="17">
        <v>45.29</v>
      </c>
      <c r="G364" s="11"/>
      <c r="H364" s="12">
        <f t="shared" si="9"/>
        <v>0.45286565470279477</v>
      </c>
      <c r="I364" s="13">
        <f t="shared" si="10"/>
        <v>90573.130940558956</v>
      </c>
      <c r="J364" s="13">
        <f t="shared" si="11"/>
        <v>90573.130940558956</v>
      </c>
      <c r="K364" s="13">
        <f t="shared" si="12"/>
        <v>0</v>
      </c>
      <c r="L364" s="13">
        <f t="shared" si="13"/>
        <v>4017272.0066009751</v>
      </c>
      <c r="M364" s="13">
        <f t="shared" si="14"/>
        <v>14017272.006600976</v>
      </c>
      <c r="N364" s="13">
        <f t="shared" si="15"/>
        <v>14282294.40733543</v>
      </c>
      <c r="O364" s="13">
        <f t="shared" si="16"/>
        <v>-265022.40073445439</v>
      </c>
      <c r="P364" s="12">
        <f t="shared" si="17"/>
        <v>-1.8556010202278008E-2</v>
      </c>
    </row>
    <row r="365" spans="1:16" ht="14.4" x14ac:dyDescent="0.3">
      <c r="A365" s="7" t="s">
        <v>229</v>
      </c>
      <c r="B365" s="8">
        <v>44651</v>
      </c>
      <c r="C365" s="9">
        <v>945.75</v>
      </c>
      <c r="D365" s="8">
        <v>44742</v>
      </c>
      <c r="E365" s="9">
        <v>633.35</v>
      </c>
      <c r="F365" s="17">
        <v>-33.03</v>
      </c>
      <c r="G365" s="11"/>
      <c r="H365" s="12">
        <f t="shared" si="9"/>
        <v>-0.3303198519693365</v>
      </c>
      <c r="I365" s="13">
        <f t="shared" si="10"/>
        <v>-66063.970393867305</v>
      </c>
      <c r="J365" s="13">
        <f t="shared" si="11"/>
        <v>0</v>
      </c>
      <c r="K365" s="13">
        <f t="shared" si="12"/>
        <v>-66063.970393867305</v>
      </c>
      <c r="L365" s="13">
        <f t="shared" si="13"/>
        <v>3951208.0362071078</v>
      </c>
      <c r="M365" s="13">
        <f t="shared" si="14"/>
        <v>13951208.036207108</v>
      </c>
      <c r="N365" s="13">
        <f t="shared" si="15"/>
        <v>14282294.40733543</v>
      </c>
      <c r="O365" s="13">
        <f t="shared" si="16"/>
        <v>-331086.37112832256</v>
      </c>
      <c r="P365" s="12">
        <f t="shared" si="17"/>
        <v>-2.3181595455578591E-2</v>
      </c>
    </row>
    <row r="366" spans="1:16" ht="14.4" x14ac:dyDescent="0.3">
      <c r="A366" s="7" t="s">
        <v>397</v>
      </c>
      <c r="B366" s="8">
        <v>44651</v>
      </c>
      <c r="C366" s="9">
        <v>448.5</v>
      </c>
      <c r="D366" s="8">
        <v>44742</v>
      </c>
      <c r="E366" s="9">
        <v>424.15</v>
      </c>
      <c r="F366" s="17">
        <v>-5.43</v>
      </c>
      <c r="G366" s="11"/>
      <c r="H366" s="12">
        <f t="shared" si="9"/>
        <v>-5.4292084726867383E-2</v>
      </c>
      <c r="I366" s="13">
        <f t="shared" si="10"/>
        <v>-10858.416945373476</v>
      </c>
      <c r="J366" s="13">
        <f t="shared" si="11"/>
        <v>0</v>
      </c>
      <c r="K366" s="13">
        <f t="shared" si="12"/>
        <v>-10858.416945373476</v>
      </c>
      <c r="L366" s="13">
        <f t="shared" si="13"/>
        <v>3940349.6192617342</v>
      </c>
      <c r="M366" s="13">
        <f t="shared" si="14"/>
        <v>13940349.619261734</v>
      </c>
      <c r="N366" s="13">
        <f t="shared" si="15"/>
        <v>14282294.40733543</v>
      </c>
      <c r="O366" s="13">
        <f t="shared" si="16"/>
        <v>-341944.7880736962</v>
      </c>
      <c r="P366" s="12">
        <f t="shared" si="17"/>
        <v>-2.3941866644204751E-2</v>
      </c>
    </row>
    <row r="367" spans="1:16" ht="14.4" x14ac:dyDescent="0.3">
      <c r="A367" s="7" t="s">
        <v>398</v>
      </c>
      <c r="B367" s="8">
        <v>44561</v>
      </c>
      <c r="C367" s="9">
        <v>78.099999999999994</v>
      </c>
      <c r="D367" s="8">
        <v>44651</v>
      </c>
      <c r="E367" s="9">
        <v>73.8</v>
      </c>
      <c r="F367" s="17">
        <v>-5.51</v>
      </c>
      <c r="G367" s="11"/>
      <c r="H367" s="12">
        <f t="shared" si="9"/>
        <v>-5.5057618437900094E-2</v>
      </c>
      <c r="I367" s="13">
        <f t="shared" si="10"/>
        <v>-11011.523687580018</v>
      </c>
      <c r="J367" s="13">
        <f t="shared" si="11"/>
        <v>0</v>
      </c>
      <c r="K367" s="13">
        <f t="shared" si="12"/>
        <v>-11011.523687580018</v>
      </c>
      <c r="L367" s="13">
        <f t="shared" si="13"/>
        <v>3929338.0955741541</v>
      </c>
      <c r="M367" s="13">
        <f t="shared" si="14"/>
        <v>13929338.095574154</v>
      </c>
      <c r="N367" s="13">
        <f t="shared" si="15"/>
        <v>14282294.40733543</v>
      </c>
      <c r="O367" s="13">
        <f t="shared" si="16"/>
        <v>-352956.3117612768</v>
      </c>
      <c r="P367" s="12">
        <f t="shared" si="17"/>
        <v>-2.4712857871071286E-2</v>
      </c>
    </row>
    <row r="368" spans="1:16" ht="14.4" x14ac:dyDescent="0.3">
      <c r="A368" s="7" t="s">
        <v>399</v>
      </c>
      <c r="B368" s="8">
        <v>44561</v>
      </c>
      <c r="C368" s="9">
        <v>178.7</v>
      </c>
      <c r="D368" s="8">
        <v>44651</v>
      </c>
      <c r="E368" s="9">
        <v>139.75</v>
      </c>
      <c r="F368" s="17">
        <v>-21.8</v>
      </c>
      <c r="G368" s="11"/>
      <c r="H368" s="12">
        <f t="shared" si="9"/>
        <v>-0.21796306659205367</v>
      </c>
      <c r="I368" s="13">
        <f t="shared" si="10"/>
        <v>-43592.613318410731</v>
      </c>
      <c r="J368" s="13">
        <f t="shared" si="11"/>
        <v>0</v>
      </c>
      <c r="K368" s="13">
        <f t="shared" si="12"/>
        <v>-43592.613318410731</v>
      </c>
      <c r="L368" s="13">
        <f t="shared" si="13"/>
        <v>3885745.4822557434</v>
      </c>
      <c r="M368" s="13">
        <f t="shared" si="14"/>
        <v>13885745.482255744</v>
      </c>
      <c r="N368" s="13">
        <f t="shared" si="15"/>
        <v>14282294.40733543</v>
      </c>
      <c r="O368" s="13">
        <f t="shared" si="16"/>
        <v>-396548.92507968657</v>
      </c>
      <c r="P368" s="12">
        <f t="shared" si="17"/>
        <v>-2.7765071477312345E-2</v>
      </c>
    </row>
    <row r="369" spans="1:16" ht="14.4" x14ac:dyDescent="0.3">
      <c r="A369" s="7" t="s">
        <v>78</v>
      </c>
      <c r="B369" s="8">
        <v>44469</v>
      </c>
      <c r="C369" s="9">
        <v>122.53</v>
      </c>
      <c r="D369" s="8">
        <v>44651</v>
      </c>
      <c r="E369" s="9">
        <v>183.7</v>
      </c>
      <c r="F369" s="17">
        <v>49.92</v>
      </c>
      <c r="G369" s="11"/>
      <c r="H369" s="12">
        <f t="shared" si="9"/>
        <v>0.49922467967028472</v>
      </c>
      <c r="I369" s="13">
        <f t="shared" si="10"/>
        <v>99844.93593405695</v>
      </c>
      <c r="J369" s="13">
        <f t="shared" si="11"/>
        <v>99844.93593405695</v>
      </c>
      <c r="K369" s="13">
        <f t="shared" si="12"/>
        <v>0</v>
      </c>
      <c r="L369" s="13">
        <f t="shared" si="13"/>
        <v>3985590.4181898003</v>
      </c>
      <c r="M369" s="13">
        <f t="shared" si="14"/>
        <v>13985590.418189801</v>
      </c>
      <c r="N369" s="13">
        <f t="shared" si="15"/>
        <v>14282294.40733543</v>
      </c>
      <c r="O369" s="13">
        <f t="shared" si="16"/>
        <v>-296703.98914562911</v>
      </c>
      <c r="P369" s="12">
        <f t="shared" si="17"/>
        <v>-2.0774252419362049E-2</v>
      </c>
    </row>
    <row r="370" spans="1:16" ht="14.4" x14ac:dyDescent="0.3">
      <c r="A370" s="7" t="s">
        <v>400</v>
      </c>
      <c r="B370" s="8">
        <v>44561</v>
      </c>
      <c r="C370" s="9">
        <v>94.45</v>
      </c>
      <c r="D370" s="8">
        <v>44651</v>
      </c>
      <c r="E370" s="9">
        <v>60.3</v>
      </c>
      <c r="F370" s="17">
        <v>-36.159999999999997</v>
      </c>
      <c r="G370" s="11"/>
      <c r="H370" s="12">
        <f t="shared" si="9"/>
        <v>-0.36156696664902072</v>
      </c>
      <c r="I370" s="13">
        <f t="shared" si="10"/>
        <v>-72313.393329804137</v>
      </c>
      <c r="J370" s="13">
        <f t="shared" si="11"/>
        <v>0</v>
      </c>
      <c r="K370" s="13">
        <f t="shared" si="12"/>
        <v>-72313.393329804137</v>
      </c>
      <c r="L370" s="13">
        <f t="shared" si="13"/>
        <v>3913277.024859996</v>
      </c>
      <c r="M370" s="13">
        <f t="shared" si="14"/>
        <v>13913277.024859997</v>
      </c>
      <c r="N370" s="13">
        <f t="shared" si="15"/>
        <v>14282294.40733543</v>
      </c>
      <c r="O370" s="13">
        <f t="shared" si="16"/>
        <v>-369017.38247543387</v>
      </c>
      <c r="P370" s="12">
        <f t="shared" si="17"/>
        <v>-2.5837402027359513E-2</v>
      </c>
    </row>
    <row r="371" spans="1:16" ht="14.4" x14ac:dyDescent="0.3">
      <c r="A371" s="7" t="s">
        <v>299</v>
      </c>
      <c r="B371" s="8">
        <v>44561</v>
      </c>
      <c r="C371" s="9">
        <v>651.85</v>
      </c>
      <c r="D371" s="8">
        <v>44651</v>
      </c>
      <c r="E371" s="9">
        <v>537.20000000000005</v>
      </c>
      <c r="F371" s="17">
        <v>-17.59</v>
      </c>
      <c r="G371" s="11"/>
      <c r="H371" s="12">
        <f t="shared" si="9"/>
        <v>-0.17588402239779086</v>
      </c>
      <c r="I371" s="13">
        <f t="shared" si="10"/>
        <v>-35176.804479558174</v>
      </c>
      <c r="J371" s="13">
        <f t="shared" si="11"/>
        <v>0</v>
      </c>
      <c r="K371" s="13">
        <f t="shared" si="12"/>
        <v>-35176.804479558174</v>
      </c>
      <c r="L371" s="13">
        <f t="shared" si="13"/>
        <v>3878100.220380438</v>
      </c>
      <c r="M371" s="13">
        <f t="shared" si="14"/>
        <v>13878100.220380438</v>
      </c>
      <c r="N371" s="13">
        <f t="shared" si="15"/>
        <v>14282294.40733543</v>
      </c>
      <c r="O371" s="13">
        <f t="shared" si="16"/>
        <v>-404194.18695499189</v>
      </c>
      <c r="P371" s="12">
        <f t="shared" si="17"/>
        <v>-2.8300367954003001E-2</v>
      </c>
    </row>
    <row r="372" spans="1:16" ht="14.4" x14ac:dyDescent="0.3">
      <c r="A372" s="7" t="s">
        <v>401</v>
      </c>
      <c r="B372" s="8">
        <v>44561</v>
      </c>
      <c r="C372" s="9">
        <v>31.25</v>
      </c>
      <c r="D372" s="8">
        <v>44651</v>
      </c>
      <c r="E372" s="9">
        <v>33.200000000000003</v>
      </c>
      <c r="F372" s="17">
        <v>6.24</v>
      </c>
      <c r="G372" s="11"/>
      <c r="H372" s="12">
        <f t="shared" si="9"/>
        <v>6.2400000000000094E-2</v>
      </c>
      <c r="I372" s="13">
        <f t="shared" si="10"/>
        <v>12480.000000000018</v>
      </c>
      <c r="J372" s="13">
        <f t="shared" si="11"/>
        <v>12480.000000000018</v>
      </c>
      <c r="K372" s="13">
        <f t="shared" si="12"/>
        <v>0</v>
      </c>
      <c r="L372" s="13">
        <f t="shared" si="13"/>
        <v>3890580.220380438</v>
      </c>
      <c r="M372" s="13">
        <f t="shared" si="14"/>
        <v>13890580.220380438</v>
      </c>
      <c r="N372" s="13">
        <f t="shared" si="15"/>
        <v>14282294.40733543</v>
      </c>
      <c r="O372" s="13">
        <f t="shared" si="16"/>
        <v>-391714.18695499189</v>
      </c>
      <c r="P372" s="12">
        <f t="shared" si="17"/>
        <v>-2.7426558771523873E-2</v>
      </c>
    </row>
    <row r="373" spans="1:16" ht="14.4" x14ac:dyDescent="0.3">
      <c r="A373" s="7" t="s">
        <v>402</v>
      </c>
      <c r="B373" s="8">
        <v>44561</v>
      </c>
      <c r="C373" s="9">
        <v>77.8</v>
      </c>
      <c r="D373" s="8">
        <v>44651</v>
      </c>
      <c r="E373" s="9">
        <v>65.05</v>
      </c>
      <c r="F373" s="17">
        <v>-16.39</v>
      </c>
      <c r="G373" s="11"/>
      <c r="H373" s="12">
        <f t="shared" si="9"/>
        <v>-0.16388174807197944</v>
      </c>
      <c r="I373" s="13">
        <f t="shared" si="10"/>
        <v>-32776.349614395891</v>
      </c>
      <c r="J373" s="13">
        <f t="shared" si="11"/>
        <v>0</v>
      </c>
      <c r="K373" s="13">
        <f t="shared" si="12"/>
        <v>-32776.349614395891</v>
      </c>
      <c r="L373" s="13">
        <f t="shared" si="13"/>
        <v>3857803.8707660423</v>
      </c>
      <c r="M373" s="13">
        <f t="shared" si="14"/>
        <v>13857803.870766042</v>
      </c>
      <c r="N373" s="13">
        <f t="shared" si="15"/>
        <v>14282294.40733543</v>
      </c>
      <c r="O373" s="13">
        <f t="shared" si="16"/>
        <v>-424490.53656938858</v>
      </c>
      <c r="P373" s="12">
        <f t="shared" si="17"/>
        <v>-2.9721452622582051E-2</v>
      </c>
    </row>
    <row r="374" spans="1:16" ht="14.4" x14ac:dyDescent="0.3">
      <c r="A374" s="7" t="s">
        <v>102</v>
      </c>
      <c r="B374" s="8">
        <v>44561</v>
      </c>
      <c r="C374" s="9">
        <v>77.58</v>
      </c>
      <c r="D374" s="8">
        <v>44651</v>
      </c>
      <c r="E374" s="9">
        <v>73.849999999999994</v>
      </c>
      <c r="F374" s="17">
        <v>-4.8099999999999996</v>
      </c>
      <c r="G374" s="11"/>
      <c r="H374" s="12">
        <f t="shared" si="9"/>
        <v>-4.8079401907708222E-2</v>
      </c>
      <c r="I374" s="13">
        <f t="shared" si="10"/>
        <v>-9615.880381541645</v>
      </c>
      <c r="J374" s="13">
        <f t="shared" si="11"/>
        <v>0</v>
      </c>
      <c r="K374" s="13">
        <f t="shared" si="12"/>
        <v>-9615.880381541645</v>
      </c>
      <c r="L374" s="13">
        <f t="shared" si="13"/>
        <v>3848187.9903845005</v>
      </c>
      <c r="M374" s="13">
        <f t="shared" si="14"/>
        <v>13848187.9903845</v>
      </c>
      <c r="N374" s="13">
        <f t="shared" si="15"/>
        <v>14282294.40733543</v>
      </c>
      <c r="O374" s="13">
        <f t="shared" si="16"/>
        <v>-434106.41695092991</v>
      </c>
      <c r="P374" s="12">
        <f t="shared" si="17"/>
        <v>-3.0394725425066965E-2</v>
      </c>
    </row>
    <row r="375" spans="1:16" ht="14.4" x14ac:dyDescent="0.3">
      <c r="A375" s="7" t="s">
        <v>403</v>
      </c>
      <c r="B375" s="8">
        <v>44561</v>
      </c>
      <c r="C375" s="9">
        <v>299.10000000000002</v>
      </c>
      <c r="D375" s="8">
        <v>44651</v>
      </c>
      <c r="E375" s="9">
        <v>279.55</v>
      </c>
      <c r="F375" s="17">
        <v>-6.54</v>
      </c>
      <c r="G375" s="11"/>
      <c r="H375" s="12">
        <f t="shared" si="9"/>
        <v>-6.5362754931461084E-2</v>
      </c>
      <c r="I375" s="13">
        <f t="shared" si="10"/>
        <v>-13072.550986292217</v>
      </c>
      <c r="J375" s="13">
        <f t="shared" si="11"/>
        <v>0</v>
      </c>
      <c r="K375" s="13">
        <f t="shared" si="12"/>
        <v>-13072.550986292217</v>
      </c>
      <c r="L375" s="13">
        <f t="shared" si="13"/>
        <v>3835115.4393982082</v>
      </c>
      <c r="M375" s="13">
        <f t="shared" si="14"/>
        <v>13835115.439398209</v>
      </c>
      <c r="N375" s="13">
        <f t="shared" si="15"/>
        <v>14282294.40733543</v>
      </c>
      <c r="O375" s="13">
        <f t="shared" si="16"/>
        <v>-447178.96793722175</v>
      </c>
      <c r="P375" s="12">
        <f t="shared" si="17"/>
        <v>-3.1310023108580456E-2</v>
      </c>
    </row>
    <row r="376" spans="1:16" ht="14.4" x14ac:dyDescent="0.3">
      <c r="A376" s="7" t="s">
        <v>404</v>
      </c>
      <c r="B376" s="8">
        <v>44561</v>
      </c>
      <c r="C376" s="9">
        <v>3354.05</v>
      </c>
      <c r="D376" s="8">
        <v>44651</v>
      </c>
      <c r="E376" s="9">
        <v>3021.45</v>
      </c>
      <c r="F376" s="17">
        <v>-9.92</v>
      </c>
      <c r="G376" s="11"/>
      <c r="H376" s="12">
        <f t="shared" si="9"/>
        <v>-9.9163697619296179E-2</v>
      </c>
      <c r="I376" s="13">
        <f t="shared" si="10"/>
        <v>-19832.739523859236</v>
      </c>
      <c r="J376" s="13">
        <f t="shared" si="11"/>
        <v>0</v>
      </c>
      <c r="K376" s="13">
        <f t="shared" si="12"/>
        <v>-19832.739523859236</v>
      </c>
      <c r="L376" s="13">
        <f t="shared" si="13"/>
        <v>3815282.6998743489</v>
      </c>
      <c r="M376" s="13">
        <f t="shared" si="14"/>
        <v>13815282.699874349</v>
      </c>
      <c r="N376" s="13">
        <f t="shared" si="15"/>
        <v>14282294.40733543</v>
      </c>
      <c r="O376" s="13">
        <f t="shared" si="16"/>
        <v>-467011.70746108145</v>
      </c>
      <c r="P376" s="12">
        <f t="shared" si="17"/>
        <v>-3.2698647300060051E-2</v>
      </c>
    </row>
    <row r="377" spans="1:16" ht="14.4" x14ac:dyDescent="0.3">
      <c r="A377" s="7" t="s">
        <v>405</v>
      </c>
      <c r="B377" s="8">
        <v>44561</v>
      </c>
      <c r="C377" s="9">
        <v>237.6</v>
      </c>
      <c r="D377" s="8">
        <v>44651</v>
      </c>
      <c r="E377" s="9">
        <v>249</v>
      </c>
      <c r="F377" s="17">
        <v>4.8</v>
      </c>
      <c r="G377" s="11"/>
      <c r="H377" s="12">
        <f t="shared" si="9"/>
        <v>4.7979797979798004E-2</v>
      </c>
      <c r="I377" s="13">
        <f t="shared" si="10"/>
        <v>9595.9595959596008</v>
      </c>
      <c r="J377" s="13">
        <f t="shared" si="11"/>
        <v>9595.9595959596008</v>
      </c>
      <c r="K377" s="13">
        <f t="shared" si="12"/>
        <v>0</v>
      </c>
      <c r="L377" s="13">
        <f t="shared" si="13"/>
        <v>3824878.6594703086</v>
      </c>
      <c r="M377" s="13">
        <f t="shared" si="14"/>
        <v>13824878.659470309</v>
      </c>
      <c r="N377" s="13">
        <f t="shared" si="15"/>
        <v>14282294.40733543</v>
      </c>
      <c r="O377" s="13">
        <f t="shared" si="16"/>
        <v>-457415.74786512181</v>
      </c>
      <c r="P377" s="12">
        <f t="shared" si="17"/>
        <v>-3.2026769286466444E-2</v>
      </c>
    </row>
    <row r="378" spans="1:16" ht="14.4" x14ac:dyDescent="0.3">
      <c r="A378" s="7" t="s">
        <v>406</v>
      </c>
      <c r="B378" s="8">
        <v>44561</v>
      </c>
      <c r="C378" s="9">
        <v>424.15</v>
      </c>
      <c r="D378" s="8">
        <v>44651</v>
      </c>
      <c r="E378" s="9">
        <v>347.1</v>
      </c>
      <c r="F378" s="17">
        <v>-18.170000000000002</v>
      </c>
      <c r="G378" s="11"/>
      <c r="H378" s="12">
        <f t="shared" si="9"/>
        <v>-0.18165743251208288</v>
      </c>
      <c r="I378" s="13">
        <f t="shared" si="10"/>
        <v>-36331.486502416577</v>
      </c>
      <c r="J378" s="13">
        <f t="shared" si="11"/>
        <v>0</v>
      </c>
      <c r="K378" s="13">
        <f t="shared" si="12"/>
        <v>-36331.486502416577</v>
      </c>
      <c r="L378" s="13">
        <f t="shared" si="13"/>
        <v>3788547.1729678921</v>
      </c>
      <c r="M378" s="13">
        <f t="shared" si="14"/>
        <v>13788547.172967892</v>
      </c>
      <c r="N378" s="13">
        <f t="shared" si="15"/>
        <v>14282294.40733543</v>
      </c>
      <c r="O378" s="13">
        <f t="shared" si="16"/>
        <v>-493747.23436753824</v>
      </c>
      <c r="P378" s="12">
        <f t="shared" si="17"/>
        <v>-3.457058230881644E-2</v>
      </c>
    </row>
    <row r="379" spans="1:16" ht="14.4" x14ac:dyDescent="0.3">
      <c r="A379" s="7" t="s">
        <v>407</v>
      </c>
      <c r="B379" s="8">
        <v>44561</v>
      </c>
      <c r="C379" s="9">
        <v>1851.6</v>
      </c>
      <c r="D379" s="8">
        <v>44651</v>
      </c>
      <c r="E379" s="9">
        <v>2067.8000000000002</v>
      </c>
      <c r="F379" s="17">
        <v>11.68</v>
      </c>
      <c r="G379" s="11"/>
      <c r="H379" s="12">
        <f t="shared" si="9"/>
        <v>0.11676387988766487</v>
      </c>
      <c r="I379" s="13">
        <f t="shared" si="10"/>
        <v>23352.775977532976</v>
      </c>
      <c r="J379" s="13">
        <f t="shared" si="11"/>
        <v>23352.775977532976</v>
      </c>
      <c r="K379" s="13">
        <f t="shared" si="12"/>
        <v>0</v>
      </c>
      <c r="L379" s="13">
        <f t="shared" si="13"/>
        <v>3811899.948945425</v>
      </c>
      <c r="M379" s="13">
        <f t="shared" si="14"/>
        <v>13811899.948945425</v>
      </c>
      <c r="N379" s="13">
        <f t="shared" si="15"/>
        <v>14282294.40733543</v>
      </c>
      <c r="O379" s="13">
        <f t="shared" si="16"/>
        <v>-470394.45839000493</v>
      </c>
      <c r="P379" s="12">
        <f t="shared" si="17"/>
        <v>-3.2935496564782257E-2</v>
      </c>
    </row>
    <row r="380" spans="1:16" ht="14.4" x14ac:dyDescent="0.3">
      <c r="A380" s="7" t="s">
        <v>408</v>
      </c>
      <c r="B380" s="8">
        <v>44561</v>
      </c>
      <c r="C380" s="9">
        <v>94.7</v>
      </c>
      <c r="D380" s="8">
        <v>44651</v>
      </c>
      <c r="E380" s="9">
        <v>79.849999999999994</v>
      </c>
      <c r="F380" s="17">
        <v>-15.68</v>
      </c>
      <c r="G380" s="11"/>
      <c r="H380" s="12">
        <f t="shared" si="9"/>
        <v>-0.15681098204857452</v>
      </c>
      <c r="I380" s="13">
        <f t="shared" si="10"/>
        <v>-31362.196409714903</v>
      </c>
      <c r="J380" s="13">
        <f t="shared" si="11"/>
        <v>0</v>
      </c>
      <c r="K380" s="13">
        <f t="shared" si="12"/>
        <v>-31362.196409714903</v>
      </c>
      <c r="L380" s="13">
        <f t="shared" si="13"/>
        <v>3780537.7525357101</v>
      </c>
      <c r="M380" s="13">
        <f t="shared" si="14"/>
        <v>13780537.75253571</v>
      </c>
      <c r="N380" s="13">
        <f t="shared" si="15"/>
        <v>14282294.40733543</v>
      </c>
      <c r="O380" s="13">
        <f t="shared" si="16"/>
        <v>-501756.65479972027</v>
      </c>
      <c r="P380" s="12">
        <f t="shared" si="17"/>
        <v>-3.5131375988301745E-2</v>
      </c>
    </row>
    <row r="381" spans="1:16" ht="14.4" x14ac:dyDescent="0.3">
      <c r="A381" s="7" t="s">
        <v>409</v>
      </c>
      <c r="B381" s="8">
        <v>44561</v>
      </c>
      <c r="C381" s="9">
        <v>95.35</v>
      </c>
      <c r="D381" s="8">
        <v>44651</v>
      </c>
      <c r="E381" s="9">
        <v>115.9</v>
      </c>
      <c r="F381" s="17">
        <v>21.55</v>
      </c>
      <c r="G381" s="11"/>
      <c r="H381" s="12">
        <f t="shared" si="9"/>
        <v>0.21552176192973269</v>
      </c>
      <c r="I381" s="13">
        <f t="shared" si="10"/>
        <v>43104.352385946535</v>
      </c>
      <c r="J381" s="13">
        <f t="shared" si="11"/>
        <v>43104.352385946535</v>
      </c>
      <c r="K381" s="13">
        <f t="shared" si="12"/>
        <v>0</v>
      </c>
      <c r="L381" s="13">
        <f t="shared" si="13"/>
        <v>3823642.1049216567</v>
      </c>
      <c r="M381" s="13">
        <f t="shared" si="14"/>
        <v>13823642.104921658</v>
      </c>
      <c r="N381" s="13">
        <f t="shared" si="15"/>
        <v>14282294.40733543</v>
      </c>
      <c r="O381" s="13">
        <f t="shared" si="16"/>
        <v>-458652.30241377279</v>
      </c>
      <c r="P381" s="12">
        <f t="shared" si="17"/>
        <v>-3.2113348831277949E-2</v>
      </c>
    </row>
    <row r="382" spans="1:16" ht="14.4" x14ac:dyDescent="0.3">
      <c r="A382" s="7" t="s">
        <v>410</v>
      </c>
      <c r="B382" s="8">
        <v>44469</v>
      </c>
      <c r="C382" s="9">
        <v>672.75</v>
      </c>
      <c r="D382" s="8">
        <v>44561</v>
      </c>
      <c r="E382" s="9">
        <v>650.15</v>
      </c>
      <c r="F382" s="17">
        <v>-3.36</v>
      </c>
      <c r="G382" s="11"/>
      <c r="H382" s="12">
        <f t="shared" si="9"/>
        <v>-3.3593459680416236E-2</v>
      </c>
      <c r="I382" s="13">
        <f t="shared" si="10"/>
        <v>-6718.6919360832471</v>
      </c>
      <c r="J382" s="13">
        <f t="shared" si="11"/>
        <v>0</v>
      </c>
      <c r="K382" s="13">
        <f t="shared" si="12"/>
        <v>-6718.6919360832471</v>
      </c>
      <c r="L382" s="13">
        <f t="shared" si="13"/>
        <v>3816923.4129855735</v>
      </c>
      <c r="M382" s="13">
        <f t="shared" si="14"/>
        <v>13816923.412985574</v>
      </c>
      <c r="N382" s="13">
        <f t="shared" si="15"/>
        <v>14282294.40733543</v>
      </c>
      <c r="O382" s="13">
        <f t="shared" si="16"/>
        <v>-465370.99434985593</v>
      </c>
      <c r="P382" s="12">
        <f t="shared" si="17"/>
        <v>-3.2583769881598293E-2</v>
      </c>
    </row>
    <row r="383" spans="1:16" ht="14.4" x14ac:dyDescent="0.3">
      <c r="A383" s="7" t="s">
        <v>32</v>
      </c>
      <c r="B383" s="8">
        <v>44469</v>
      </c>
      <c r="C383" s="9">
        <v>686.15</v>
      </c>
      <c r="D383" s="8">
        <v>44561</v>
      </c>
      <c r="E383" s="9">
        <v>618.29999999999995</v>
      </c>
      <c r="F383" s="17">
        <v>-9.89</v>
      </c>
      <c r="G383" s="11"/>
      <c r="H383" s="12">
        <f t="shared" si="9"/>
        <v>-9.8885083436566379E-2</v>
      </c>
      <c r="I383" s="13">
        <f t="shared" si="10"/>
        <v>-19777.016687313277</v>
      </c>
      <c r="J383" s="13">
        <f t="shared" si="11"/>
        <v>0</v>
      </c>
      <c r="K383" s="13">
        <f t="shared" si="12"/>
        <v>-19777.016687313277</v>
      </c>
      <c r="L383" s="13">
        <f t="shared" si="13"/>
        <v>3797146.3962982604</v>
      </c>
      <c r="M383" s="13">
        <f t="shared" si="14"/>
        <v>13797146.396298259</v>
      </c>
      <c r="N383" s="13">
        <f t="shared" si="15"/>
        <v>14282294.40733543</v>
      </c>
      <c r="O383" s="13">
        <f t="shared" si="16"/>
        <v>-485148.01103717089</v>
      </c>
      <c r="P383" s="12">
        <f t="shared" si="17"/>
        <v>-3.3968492540526078E-2</v>
      </c>
    </row>
    <row r="384" spans="1:16" ht="14.4" x14ac:dyDescent="0.3">
      <c r="A384" s="7" t="s">
        <v>411</v>
      </c>
      <c r="B384" s="8">
        <v>44469</v>
      </c>
      <c r="C384" s="9">
        <v>396.33</v>
      </c>
      <c r="D384" s="8">
        <v>44561</v>
      </c>
      <c r="E384" s="9">
        <v>375.33</v>
      </c>
      <c r="F384" s="17">
        <v>-5.3</v>
      </c>
      <c r="G384" s="11"/>
      <c r="H384" s="12">
        <f t="shared" si="9"/>
        <v>-5.2986147907047157E-2</v>
      </c>
      <c r="I384" s="13">
        <f t="shared" si="10"/>
        <v>-10597.229581409432</v>
      </c>
      <c r="J384" s="13">
        <f t="shared" si="11"/>
        <v>0</v>
      </c>
      <c r="K384" s="13">
        <f t="shared" si="12"/>
        <v>-10597.229581409432</v>
      </c>
      <c r="L384" s="13">
        <f t="shared" si="13"/>
        <v>3786549.1667168508</v>
      </c>
      <c r="M384" s="13">
        <f t="shared" si="14"/>
        <v>13786549.166716851</v>
      </c>
      <c r="N384" s="13">
        <f t="shared" si="15"/>
        <v>14282294.40733543</v>
      </c>
      <c r="O384" s="13">
        <f t="shared" si="16"/>
        <v>-495745.24061857909</v>
      </c>
      <c r="P384" s="12">
        <f t="shared" si="17"/>
        <v>-3.4710476235804436E-2</v>
      </c>
    </row>
    <row r="385" spans="1:16" ht="14.4" x14ac:dyDescent="0.3">
      <c r="A385" s="7" t="s">
        <v>393</v>
      </c>
      <c r="B385" s="8">
        <v>44469</v>
      </c>
      <c r="C385" s="9">
        <v>222.7</v>
      </c>
      <c r="D385" s="8">
        <v>44561</v>
      </c>
      <c r="E385" s="9">
        <v>212.1</v>
      </c>
      <c r="F385" s="17">
        <v>-4.76</v>
      </c>
      <c r="G385" s="11"/>
      <c r="H385" s="12">
        <f t="shared" si="9"/>
        <v>-4.7597665020206535E-2</v>
      </c>
      <c r="I385" s="13">
        <f t="shared" si="10"/>
        <v>-9519.5330040413064</v>
      </c>
      <c r="J385" s="13">
        <f t="shared" si="11"/>
        <v>0</v>
      </c>
      <c r="K385" s="13">
        <f t="shared" si="12"/>
        <v>-9519.5330040413064</v>
      </c>
      <c r="L385" s="13">
        <f t="shared" si="13"/>
        <v>3777029.6337128095</v>
      </c>
      <c r="M385" s="13">
        <f t="shared" si="14"/>
        <v>13777029.63371281</v>
      </c>
      <c r="N385" s="13">
        <f t="shared" si="15"/>
        <v>14282294.40733543</v>
      </c>
      <c r="O385" s="13">
        <f t="shared" si="16"/>
        <v>-505264.77362262085</v>
      </c>
      <c r="P385" s="12">
        <f t="shared" si="17"/>
        <v>-3.5377003106945852E-2</v>
      </c>
    </row>
    <row r="386" spans="1:16" ht="14.4" x14ac:dyDescent="0.3">
      <c r="A386" s="7" t="s">
        <v>412</v>
      </c>
      <c r="B386" s="8">
        <v>44377</v>
      </c>
      <c r="C386" s="9">
        <v>8.1</v>
      </c>
      <c r="D386" s="8">
        <v>44561</v>
      </c>
      <c r="E386" s="9">
        <v>11.35</v>
      </c>
      <c r="F386" s="17">
        <v>40.119999999999997</v>
      </c>
      <c r="G386" s="11"/>
      <c r="H386" s="12">
        <f t="shared" si="9"/>
        <v>0.40123456790123457</v>
      </c>
      <c r="I386" s="13">
        <f t="shared" si="10"/>
        <v>80246.91358024691</v>
      </c>
      <c r="J386" s="13">
        <f t="shared" si="11"/>
        <v>80246.91358024691</v>
      </c>
      <c r="K386" s="13">
        <f t="shared" si="12"/>
        <v>0</v>
      </c>
      <c r="L386" s="13">
        <f t="shared" si="13"/>
        <v>3857276.5472930563</v>
      </c>
      <c r="M386" s="13">
        <f t="shared" si="14"/>
        <v>13857276.547293056</v>
      </c>
      <c r="N386" s="13">
        <f t="shared" si="15"/>
        <v>14282294.40733543</v>
      </c>
      <c r="O386" s="13">
        <f t="shared" si="16"/>
        <v>-425017.86004237458</v>
      </c>
      <c r="P386" s="12">
        <f t="shared" si="17"/>
        <v>-2.9758374104379481E-2</v>
      </c>
    </row>
    <row r="387" spans="1:16" ht="14.4" x14ac:dyDescent="0.3">
      <c r="A387" s="7" t="s">
        <v>275</v>
      </c>
      <c r="B387" s="8">
        <v>44469</v>
      </c>
      <c r="C387" s="9">
        <v>185.1</v>
      </c>
      <c r="D387" s="8">
        <v>44561</v>
      </c>
      <c r="E387" s="9">
        <v>146.05000000000001</v>
      </c>
      <c r="F387" s="17">
        <v>-21.1</v>
      </c>
      <c r="G387" s="11"/>
      <c r="H387" s="12">
        <f t="shared" si="9"/>
        <v>-0.21096704484062662</v>
      </c>
      <c r="I387" s="13">
        <f t="shared" si="10"/>
        <v>-42193.408968125324</v>
      </c>
      <c r="J387" s="13">
        <f t="shared" si="11"/>
        <v>0</v>
      </c>
      <c r="K387" s="13">
        <f t="shared" si="12"/>
        <v>-42193.408968125324</v>
      </c>
      <c r="L387" s="13">
        <f t="shared" si="13"/>
        <v>3815083.1383249308</v>
      </c>
      <c r="M387" s="13">
        <f t="shared" si="14"/>
        <v>13815083.138324931</v>
      </c>
      <c r="N387" s="13">
        <f t="shared" si="15"/>
        <v>14282294.40733543</v>
      </c>
      <c r="O387" s="13">
        <f t="shared" si="16"/>
        <v>-467211.26901049912</v>
      </c>
      <c r="P387" s="12">
        <f t="shared" si="17"/>
        <v>-3.2712619953453557E-2</v>
      </c>
    </row>
    <row r="388" spans="1:16" ht="14.4" x14ac:dyDescent="0.3">
      <c r="A388" s="7" t="s">
        <v>413</v>
      </c>
      <c r="B388" s="8">
        <v>44469</v>
      </c>
      <c r="C388" s="9">
        <v>208.8</v>
      </c>
      <c r="D388" s="8">
        <v>44561</v>
      </c>
      <c r="E388" s="9">
        <v>207</v>
      </c>
      <c r="F388" s="17">
        <v>-0.86</v>
      </c>
      <c r="G388" s="11"/>
      <c r="H388" s="12">
        <f t="shared" si="9"/>
        <v>-8.6206896551724674E-3</v>
      </c>
      <c r="I388" s="13">
        <f t="shared" si="10"/>
        <v>-1724.1379310344935</v>
      </c>
      <c r="J388" s="13">
        <f t="shared" si="11"/>
        <v>0</v>
      </c>
      <c r="K388" s="13">
        <f t="shared" si="12"/>
        <v>-1724.1379310344935</v>
      </c>
      <c r="L388" s="13">
        <f t="shared" si="13"/>
        <v>3813359.0003938964</v>
      </c>
      <c r="M388" s="13">
        <f t="shared" si="14"/>
        <v>13813359.000393897</v>
      </c>
      <c r="N388" s="13">
        <f t="shared" si="15"/>
        <v>14282294.40733543</v>
      </c>
      <c r="O388" s="13">
        <f t="shared" si="16"/>
        <v>-468935.40694153309</v>
      </c>
      <c r="P388" s="12">
        <f t="shared" si="17"/>
        <v>-3.2833338507620068E-2</v>
      </c>
    </row>
    <row r="389" spans="1:16" ht="14.4" x14ac:dyDescent="0.3">
      <c r="A389" s="7" t="s">
        <v>414</v>
      </c>
      <c r="B389" s="8">
        <v>44469</v>
      </c>
      <c r="C389" s="9">
        <v>434.25</v>
      </c>
      <c r="D389" s="8">
        <v>44561</v>
      </c>
      <c r="E389" s="9">
        <v>440.65</v>
      </c>
      <c r="F389" s="17">
        <v>1.47</v>
      </c>
      <c r="G389" s="11"/>
      <c r="H389" s="12">
        <f t="shared" si="9"/>
        <v>1.4738054116292407E-2</v>
      </c>
      <c r="I389" s="13">
        <f t="shared" si="10"/>
        <v>2947.6108232584816</v>
      </c>
      <c r="J389" s="13">
        <f t="shared" si="11"/>
        <v>2947.6108232584816</v>
      </c>
      <c r="K389" s="13">
        <f t="shared" si="12"/>
        <v>0</v>
      </c>
      <c r="L389" s="13">
        <f t="shared" si="13"/>
        <v>3816306.6112171547</v>
      </c>
      <c r="M389" s="13">
        <f t="shared" si="14"/>
        <v>13816306.611217154</v>
      </c>
      <c r="N389" s="13">
        <f t="shared" si="15"/>
        <v>14282294.40733543</v>
      </c>
      <c r="O389" s="13">
        <f t="shared" si="16"/>
        <v>-465987.79611827619</v>
      </c>
      <c r="P389" s="12">
        <f t="shared" si="17"/>
        <v>-3.2626956343859106E-2</v>
      </c>
    </row>
    <row r="390" spans="1:16" ht="14.4" x14ac:dyDescent="0.3">
      <c r="A390" s="7" t="s">
        <v>394</v>
      </c>
      <c r="B390" s="8">
        <v>44469</v>
      </c>
      <c r="C390" s="9">
        <v>129.25</v>
      </c>
      <c r="D390" s="8">
        <v>44561</v>
      </c>
      <c r="E390" s="9">
        <v>121.5</v>
      </c>
      <c r="F390" s="17">
        <v>-6</v>
      </c>
      <c r="G390" s="11"/>
      <c r="H390" s="12">
        <f t="shared" si="9"/>
        <v>-5.9961315280464215E-2</v>
      </c>
      <c r="I390" s="13">
        <f t="shared" si="10"/>
        <v>-11992.263056092843</v>
      </c>
      <c r="J390" s="13">
        <f t="shared" si="11"/>
        <v>0</v>
      </c>
      <c r="K390" s="13">
        <f t="shared" si="12"/>
        <v>-11992.263056092843</v>
      </c>
      <c r="L390" s="13">
        <f t="shared" si="13"/>
        <v>3804314.3481610618</v>
      </c>
      <c r="M390" s="13">
        <f t="shared" si="14"/>
        <v>13804314.348161062</v>
      </c>
      <c r="N390" s="13">
        <f t="shared" si="15"/>
        <v>14282294.40733543</v>
      </c>
      <c r="O390" s="13">
        <f t="shared" si="16"/>
        <v>-477980.05917436816</v>
      </c>
      <c r="P390" s="12">
        <f t="shared" si="17"/>
        <v>-3.346661576510257E-2</v>
      </c>
    </row>
    <row r="391" spans="1:16" ht="14.4" x14ac:dyDescent="0.3">
      <c r="A391" s="7" t="s">
        <v>415</v>
      </c>
      <c r="B391" s="8">
        <v>44469</v>
      </c>
      <c r="C391" s="9">
        <v>853.1</v>
      </c>
      <c r="D391" s="8">
        <v>44561</v>
      </c>
      <c r="E391" s="9">
        <v>898.25</v>
      </c>
      <c r="F391" s="17">
        <v>5.29</v>
      </c>
      <c r="G391" s="11"/>
      <c r="H391" s="12">
        <f t="shared" si="9"/>
        <v>5.2924627827921671E-2</v>
      </c>
      <c r="I391" s="13">
        <f t="shared" si="10"/>
        <v>10584.925565584334</v>
      </c>
      <c r="J391" s="13">
        <f t="shared" si="11"/>
        <v>10584.925565584334</v>
      </c>
      <c r="K391" s="13">
        <f t="shared" si="12"/>
        <v>0</v>
      </c>
      <c r="L391" s="13">
        <f t="shared" si="13"/>
        <v>3814899.2737266463</v>
      </c>
      <c r="M391" s="13">
        <f t="shared" si="14"/>
        <v>13814899.273726646</v>
      </c>
      <c r="N391" s="13">
        <f t="shared" si="15"/>
        <v>14282294.40733543</v>
      </c>
      <c r="O391" s="13">
        <f t="shared" si="16"/>
        <v>-467395.13360878453</v>
      </c>
      <c r="P391" s="12">
        <f t="shared" si="17"/>
        <v>-3.2725493557164663E-2</v>
      </c>
    </row>
    <row r="392" spans="1:16" ht="14.4" x14ac:dyDescent="0.3">
      <c r="A392" s="7" t="s">
        <v>228</v>
      </c>
      <c r="B392" s="8">
        <v>44469</v>
      </c>
      <c r="C392" s="9">
        <v>141.85</v>
      </c>
      <c r="D392" s="8">
        <v>44561</v>
      </c>
      <c r="E392" s="9">
        <v>124.4</v>
      </c>
      <c r="F392" s="17">
        <v>-12.3</v>
      </c>
      <c r="G392" s="11"/>
      <c r="H392" s="12">
        <f t="shared" si="9"/>
        <v>-0.12301727176594987</v>
      </c>
      <c r="I392" s="13">
        <f t="shared" si="10"/>
        <v>-24603.454353189973</v>
      </c>
      <c r="J392" s="13">
        <f t="shared" si="11"/>
        <v>0</v>
      </c>
      <c r="K392" s="13">
        <f t="shared" si="12"/>
        <v>-24603.454353189973</v>
      </c>
      <c r="L392" s="13">
        <f t="shared" si="13"/>
        <v>3790295.8193734563</v>
      </c>
      <c r="M392" s="13">
        <f t="shared" si="14"/>
        <v>13790295.819373457</v>
      </c>
      <c r="N392" s="13">
        <f t="shared" si="15"/>
        <v>14282294.40733543</v>
      </c>
      <c r="O392" s="13">
        <f t="shared" si="16"/>
        <v>-491998.58796197362</v>
      </c>
      <c r="P392" s="12">
        <f t="shared" si="17"/>
        <v>-3.4448147750636038E-2</v>
      </c>
    </row>
    <row r="393" spans="1:16" ht="14.4" x14ac:dyDescent="0.3">
      <c r="A393" s="7" t="s">
        <v>416</v>
      </c>
      <c r="B393" s="8">
        <v>44469</v>
      </c>
      <c r="C393" s="9">
        <v>2118.3000000000002</v>
      </c>
      <c r="D393" s="8">
        <v>44561</v>
      </c>
      <c r="E393" s="9">
        <v>2421.5500000000002</v>
      </c>
      <c r="F393" s="17">
        <v>14.32</v>
      </c>
      <c r="G393" s="11"/>
      <c r="H393" s="12">
        <f t="shared" si="9"/>
        <v>0.1431572487371949</v>
      </c>
      <c r="I393" s="13">
        <f t="shared" si="10"/>
        <v>28631.449747438979</v>
      </c>
      <c r="J393" s="13">
        <f t="shared" si="11"/>
        <v>28631.449747438979</v>
      </c>
      <c r="K393" s="13">
        <f t="shared" si="12"/>
        <v>0</v>
      </c>
      <c r="L393" s="13">
        <f t="shared" si="13"/>
        <v>3818927.2691208953</v>
      </c>
      <c r="M393" s="13">
        <f t="shared" si="14"/>
        <v>13818927.269120894</v>
      </c>
      <c r="N393" s="13">
        <f t="shared" si="15"/>
        <v>14282294.40733543</v>
      </c>
      <c r="O393" s="13">
        <f t="shared" si="16"/>
        <v>-463367.13821453601</v>
      </c>
      <c r="P393" s="12">
        <f t="shared" si="17"/>
        <v>-3.2443466364658412E-2</v>
      </c>
    </row>
    <row r="394" spans="1:16" ht="14.4" x14ac:dyDescent="0.3">
      <c r="A394" s="7" t="s">
        <v>417</v>
      </c>
      <c r="B394" s="8">
        <v>44469</v>
      </c>
      <c r="C394" s="9">
        <v>303.2</v>
      </c>
      <c r="D394" s="8">
        <v>44561</v>
      </c>
      <c r="E394" s="9">
        <v>320.8</v>
      </c>
      <c r="F394" s="17">
        <v>5.8</v>
      </c>
      <c r="G394" s="11"/>
      <c r="H394" s="12">
        <f t="shared" si="9"/>
        <v>5.8047493403694007E-2</v>
      </c>
      <c r="I394" s="13">
        <f t="shared" si="10"/>
        <v>11609.498680738801</v>
      </c>
      <c r="J394" s="13">
        <f t="shared" si="11"/>
        <v>11609.498680738801</v>
      </c>
      <c r="K394" s="13">
        <f t="shared" si="12"/>
        <v>0</v>
      </c>
      <c r="L394" s="13">
        <f t="shared" si="13"/>
        <v>3830536.767801634</v>
      </c>
      <c r="M394" s="13">
        <f t="shared" si="14"/>
        <v>13830536.767801635</v>
      </c>
      <c r="N394" s="13">
        <f t="shared" si="15"/>
        <v>14282294.40733543</v>
      </c>
      <c r="O394" s="13">
        <f t="shared" si="16"/>
        <v>-451757.63953379542</v>
      </c>
      <c r="P394" s="12">
        <f t="shared" si="17"/>
        <v>-3.1630606865362704E-2</v>
      </c>
    </row>
    <row r="395" spans="1:16" ht="14.4" x14ac:dyDescent="0.3">
      <c r="A395" s="7" t="s">
        <v>100</v>
      </c>
      <c r="B395" s="8">
        <v>44469</v>
      </c>
      <c r="C395" s="9">
        <v>102.65</v>
      </c>
      <c r="D395" s="8">
        <v>44561</v>
      </c>
      <c r="E395" s="9">
        <v>110.55</v>
      </c>
      <c r="F395" s="17">
        <v>7.7</v>
      </c>
      <c r="G395" s="11"/>
      <c r="H395" s="12">
        <f t="shared" si="9"/>
        <v>7.6960545543107564E-2</v>
      </c>
      <c r="I395" s="13">
        <f t="shared" si="10"/>
        <v>15392.109108621513</v>
      </c>
      <c r="J395" s="13">
        <f t="shared" si="11"/>
        <v>15392.109108621513</v>
      </c>
      <c r="K395" s="13">
        <f t="shared" si="12"/>
        <v>0</v>
      </c>
      <c r="L395" s="13">
        <f t="shared" si="13"/>
        <v>3845928.8769102558</v>
      </c>
      <c r="M395" s="13">
        <f t="shared" si="14"/>
        <v>13845928.876910256</v>
      </c>
      <c r="N395" s="13">
        <f t="shared" si="15"/>
        <v>14282294.40733543</v>
      </c>
      <c r="O395" s="13">
        <f t="shared" si="16"/>
        <v>-436365.53042517416</v>
      </c>
      <c r="P395" s="12">
        <f t="shared" si="17"/>
        <v>-3.0552901234206144E-2</v>
      </c>
    </row>
    <row r="396" spans="1:16" ht="14.4" x14ac:dyDescent="0.3">
      <c r="A396" s="7" t="s">
        <v>418</v>
      </c>
      <c r="B396" s="8">
        <v>44469</v>
      </c>
      <c r="C396" s="9">
        <v>1238.55</v>
      </c>
      <c r="D396" s="8">
        <v>44561</v>
      </c>
      <c r="E396" s="9">
        <v>1644.65</v>
      </c>
      <c r="F396" s="17">
        <v>32.79</v>
      </c>
      <c r="G396" s="11"/>
      <c r="H396" s="12">
        <f t="shared" si="9"/>
        <v>0.32788341205441862</v>
      </c>
      <c r="I396" s="13">
        <f t="shared" si="10"/>
        <v>65576.682410883717</v>
      </c>
      <c r="J396" s="13">
        <f t="shared" si="11"/>
        <v>65576.682410883717</v>
      </c>
      <c r="K396" s="13">
        <f t="shared" si="12"/>
        <v>0</v>
      </c>
      <c r="L396" s="13">
        <f t="shared" si="13"/>
        <v>3911505.5593211395</v>
      </c>
      <c r="M396" s="13">
        <f t="shared" si="14"/>
        <v>13911505.559321139</v>
      </c>
      <c r="N396" s="13">
        <f t="shared" si="15"/>
        <v>14282294.40733543</v>
      </c>
      <c r="O396" s="13">
        <f t="shared" si="16"/>
        <v>-370788.84801429138</v>
      </c>
      <c r="P396" s="12">
        <f t="shared" si="17"/>
        <v>-2.5961434307351421E-2</v>
      </c>
    </row>
    <row r="397" spans="1:16" ht="14.4" x14ac:dyDescent="0.3">
      <c r="A397" s="7" t="s">
        <v>419</v>
      </c>
      <c r="B397" s="8">
        <v>44377</v>
      </c>
      <c r="C397" s="9">
        <v>373.03</v>
      </c>
      <c r="D397" s="8">
        <v>44469</v>
      </c>
      <c r="E397" s="9">
        <v>552.48</v>
      </c>
      <c r="F397" s="17">
        <v>48.11</v>
      </c>
      <c r="G397" s="11"/>
      <c r="H397" s="12">
        <f t="shared" si="9"/>
        <v>0.48106050451706311</v>
      </c>
      <c r="I397" s="13">
        <f t="shared" si="10"/>
        <v>96212.100903412618</v>
      </c>
      <c r="J397" s="13">
        <f t="shared" si="11"/>
        <v>96212.100903412618</v>
      </c>
      <c r="K397" s="13">
        <f t="shared" si="12"/>
        <v>0</v>
      </c>
      <c r="L397" s="13">
        <f t="shared" si="13"/>
        <v>4007717.6602245523</v>
      </c>
      <c r="M397" s="13">
        <f t="shared" si="14"/>
        <v>14007717.660224553</v>
      </c>
      <c r="N397" s="13">
        <f t="shared" si="15"/>
        <v>14282294.40733543</v>
      </c>
      <c r="O397" s="13">
        <f t="shared" si="16"/>
        <v>-274576.74711087719</v>
      </c>
      <c r="P397" s="12">
        <f t="shared" si="17"/>
        <v>-1.9224974593007531E-2</v>
      </c>
    </row>
    <row r="398" spans="1:16" ht="14.4" x14ac:dyDescent="0.3">
      <c r="A398" s="7" t="s">
        <v>268</v>
      </c>
      <c r="B398" s="8">
        <v>44377</v>
      </c>
      <c r="C398" s="9">
        <v>595.54999999999995</v>
      </c>
      <c r="D398" s="8">
        <v>44469</v>
      </c>
      <c r="E398" s="9">
        <v>488.95</v>
      </c>
      <c r="F398" s="17">
        <v>-17.899999999999999</v>
      </c>
      <c r="G398" s="11"/>
      <c r="H398" s="12">
        <f t="shared" si="9"/>
        <v>-0.17899420703551336</v>
      </c>
      <c r="I398" s="13">
        <f t="shared" si="10"/>
        <v>-35798.841407102671</v>
      </c>
      <c r="J398" s="13">
        <f t="shared" si="11"/>
        <v>0</v>
      </c>
      <c r="K398" s="13">
        <f t="shared" si="12"/>
        <v>-35798.841407102671</v>
      </c>
      <c r="L398" s="13">
        <f t="shared" si="13"/>
        <v>3971918.8188174497</v>
      </c>
      <c r="M398" s="13">
        <f t="shared" si="14"/>
        <v>13971918.81881745</v>
      </c>
      <c r="N398" s="13">
        <f t="shared" si="15"/>
        <v>14282294.40733543</v>
      </c>
      <c r="O398" s="13">
        <f t="shared" si="16"/>
        <v>-310375.58851798065</v>
      </c>
      <c r="P398" s="12">
        <f t="shared" si="17"/>
        <v>-2.1731493530799281E-2</v>
      </c>
    </row>
    <row r="399" spans="1:16" ht="14.4" x14ac:dyDescent="0.3">
      <c r="A399" s="7" t="s">
        <v>420</v>
      </c>
      <c r="B399" s="8">
        <v>44377</v>
      </c>
      <c r="C399" s="9">
        <v>591.4</v>
      </c>
      <c r="D399" s="8">
        <v>44469</v>
      </c>
      <c r="E399" s="9">
        <v>711.25</v>
      </c>
      <c r="F399" s="17">
        <v>20.27</v>
      </c>
      <c r="G399" s="11"/>
      <c r="H399" s="12">
        <f t="shared" si="9"/>
        <v>0.2026547176192087</v>
      </c>
      <c r="I399" s="13">
        <f t="shared" si="10"/>
        <v>40530.943523841743</v>
      </c>
      <c r="J399" s="13">
        <f t="shared" si="11"/>
        <v>40530.943523841743</v>
      </c>
      <c r="K399" s="13">
        <f t="shared" si="12"/>
        <v>0</v>
      </c>
      <c r="L399" s="13">
        <f t="shared" si="13"/>
        <v>4012449.7623412916</v>
      </c>
      <c r="M399" s="13">
        <f t="shared" si="14"/>
        <v>14012449.762341291</v>
      </c>
      <c r="N399" s="13">
        <f t="shared" si="15"/>
        <v>14282294.40733543</v>
      </c>
      <c r="O399" s="13">
        <f t="shared" si="16"/>
        <v>-269844.64499413967</v>
      </c>
      <c r="P399" s="12">
        <f t="shared" si="17"/>
        <v>-1.8893648128100946E-2</v>
      </c>
    </row>
    <row r="400" spans="1:16" ht="14.4" x14ac:dyDescent="0.3">
      <c r="A400" s="7" t="s">
        <v>392</v>
      </c>
      <c r="B400" s="8">
        <v>44377</v>
      </c>
      <c r="C400" s="9">
        <v>1011.4</v>
      </c>
      <c r="D400" s="8">
        <v>44469</v>
      </c>
      <c r="E400" s="9">
        <v>1172.7</v>
      </c>
      <c r="F400" s="17">
        <v>15.95</v>
      </c>
      <c r="G400" s="11"/>
      <c r="H400" s="12">
        <f t="shared" si="9"/>
        <v>0.15948190626853873</v>
      </c>
      <c r="I400" s="13">
        <f t="shared" si="10"/>
        <v>31896.381253707747</v>
      </c>
      <c r="J400" s="13">
        <f t="shared" si="11"/>
        <v>31896.381253707747</v>
      </c>
      <c r="K400" s="13">
        <f t="shared" si="12"/>
        <v>0</v>
      </c>
      <c r="L400" s="13">
        <f t="shared" si="13"/>
        <v>4044346.1435949993</v>
      </c>
      <c r="M400" s="13">
        <f t="shared" si="14"/>
        <v>14044346.143594999</v>
      </c>
      <c r="N400" s="13">
        <f t="shared" si="15"/>
        <v>14282294.40733543</v>
      </c>
      <c r="O400" s="13">
        <f t="shared" si="16"/>
        <v>-237948.26374043152</v>
      </c>
      <c r="P400" s="12">
        <f t="shared" si="17"/>
        <v>-1.6660366811807253E-2</v>
      </c>
    </row>
    <row r="401" spans="1:16" ht="14.4" x14ac:dyDescent="0.3">
      <c r="A401" s="7" t="s">
        <v>269</v>
      </c>
      <c r="B401" s="8">
        <v>44377</v>
      </c>
      <c r="C401" s="9">
        <v>848.55</v>
      </c>
      <c r="D401" s="8">
        <v>44469</v>
      </c>
      <c r="E401" s="9">
        <v>798.2</v>
      </c>
      <c r="F401" s="17">
        <v>-5.93</v>
      </c>
      <c r="G401" s="11"/>
      <c r="H401" s="12">
        <f t="shared" si="9"/>
        <v>-5.9336515231866019E-2</v>
      </c>
      <c r="I401" s="13">
        <f t="shared" si="10"/>
        <v>-11867.303046373203</v>
      </c>
      <c r="J401" s="13">
        <f t="shared" si="11"/>
        <v>0</v>
      </c>
      <c r="K401" s="13">
        <f t="shared" si="12"/>
        <v>-11867.303046373203</v>
      </c>
      <c r="L401" s="13">
        <f t="shared" si="13"/>
        <v>4032478.8405486261</v>
      </c>
      <c r="M401" s="13">
        <f t="shared" si="14"/>
        <v>14032478.840548627</v>
      </c>
      <c r="N401" s="13">
        <f t="shared" si="15"/>
        <v>14282294.40733543</v>
      </c>
      <c r="O401" s="13">
        <f t="shared" si="16"/>
        <v>-249815.56678680331</v>
      </c>
      <c r="P401" s="12">
        <f t="shared" si="17"/>
        <v>-1.7491276937863516E-2</v>
      </c>
    </row>
    <row r="402" spans="1:16" ht="14.4" x14ac:dyDescent="0.3">
      <c r="A402" s="7" t="s">
        <v>421</v>
      </c>
      <c r="B402" s="8">
        <v>44377</v>
      </c>
      <c r="C402" s="9">
        <v>34.799999999999997</v>
      </c>
      <c r="D402" s="8">
        <v>44469</v>
      </c>
      <c r="E402" s="9">
        <v>48.38</v>
      </c>
      <c r="F402" s="17">
        <v>39.020000000000003</v>
      </c>
      <c r="G402" s="11"/>
      <c r="H402" s="12">
        <f t="shared" si="9"/>
        <v>0.39022988505747147</v>
      </c>
      <c r="I402" s="13">
        <f t="shared" si="10"/>
        <v>78045.977011494295</v>
      </c>
      <c r="J402" s="13">
        <f t="shared" si="11"/>
        <v>78045.977011494295</v>
      </c>
      <c r="K402" s="13">
        <f t="shared" si="12"/>
        <v>0</v>
      </c>
      <c r="L402" s="13">
        <f t="shared" si="13"/>
        <v>4110524.8175601205</v>
      </c>
      <c r="M402" s="13">
        <f t="shared" si="14"/>
        <v>14110524.817560121</v>
      </c>
      <c r="N402" s="13">
        <f t="shared" si="15"/>
        <v>14282294.40733543</v>
      </c>
      <c r="O402" s="13">
        <f t="shared" si="16"/>
        <v>-171769.58977530897</v>
      </c>
      <c r="P402" s="12">
        <f t="shared" si="17"/>
        <v>-1.2026750385924517E-2</v>
      </c>
    </row>
    <row r="403" spans="1:16" ht="14.4" x14ac:dyDescent="0.3">
      <c r="A403" s="7" t="s">
        <v>56</v>
      </c>
      <c r="B403" s="8">
        <v>44377</v>
      </c>
      <c r="C403" s="9">
        <v>14811.5</v>
      </c>
      <c r="D403" s="8">
        <v>44469</v>
      </c>
      <c r="E403" s="9">
        <v>13548.7</v>
      </c>
      <c r="F403" s="17">
        <v>-8.5299999999999994</v>
      </c>
      <c r="G403" s="11"/>
      <c r="H403" s="12">
        <f t="shared" si="9"/>
        <v>-8.5258076494615614E-2</v>
      </c>
      <c r="I403" s="13">
        <f t="shared" si="10"/>
        <v>-17051.615298923123</v>
      </c>
      <c r="J403" s="13">
        <f t="shared" si="11"/>
        <v>0</v>
      </c>
      <c r="K403" s="13">
        <f t="shared" si="12"/>
        <v>-17051.615298923123</v>
      </c>
      <c r="L403" s="13">
        <f t="shared" si="13"/>
        <v>4093473.2022611974</v>
      </c>
      <c r="M403" s="13">
        <f t="shared" si="14"/>
        <v>14093473.202261198</v>
      </c>
      <c r="N403" s="13">
        <f t="shared" si="15"/>
        <v>14282294.40733543</v>
      </c>
      <c r="O403" s="13">
        <f t="shared" si="16"/>
        <v>-188821.20507423207</v>
      </c>
      <c r="P403" s="12">
        <f t="shared" si="17"/>
        <v>-1.3220649266076809E-2</v>
      </c>
    </row>
    <row r="404" spans="1:16" ht="14.4" x14ac:dyDescent="0.3">
      <c r="A404" s="7" t="s">
        <v>422</v>
      </c>
      <c r="B404" s="8">
        <v>44377</v>
      </c>
      <c r="C404" s="9">
        <v>47.05</v>
      </c>
      <c r="D404" s="8">
        <v>44469</v>
      </c>
      <c r="E404" s="9">
        <v>108.5</v>
      </c>
      <c r="F404" s="17">
        <v>130.61000000000001</v>
      </c>
      <c r="G404" s="11"/>
      <c r="H404" s="12">
        <f t="shared" si="9"/>
        <v>1.3060573857598301</v>
      </c>
      <c r="I404" s="13">
        <f t="shared" si="10"/>
        <v>261211.47715196601</v>
      </c>
      <c r="J404" s="13">
        <f t="shared" si="11"/>
        <v>261211.47715196601</v>
      </c>
      <c r="K404" s="13">
        <f t="shared" si="12"/>
        <v>0</v>
      </c>
      <c r="L404" s="13">
        <f t="shared" si="13"/>
        <v>4354684.6794131631</v>
      </c>
      <c r="M404" s="13">
        <f t="shared" si="14"/>
        <v>14354684.679413162</v>
      </c>
      <c r="N404" s="13">
        <f t="shared" si="15"/>
        <v>14354684.679413162</v>
      </c>
      <c r="O404" s="13">
        <f t="shared" si="16"/>
        <v>0</v>
      </c>
      <c r="P404" s="12">
        <f t="shared" si="17"/>
        <v>0</v>
      </c>
    </row>
    <row r="405" spans="1:16" ht="14.4" x14ac:dyDescent="0.3">
      <c r="A405" s="7" t="s">
        <v>423</v>
      </c>
      <c r="B405" s="8">
        <v>44377</v>
      </c>
      <c r="C405" s="9">
        <v>140.15</v>
      </c>
      <c r="D405" s="8">
        <v>44469</v>
      </c>
      <c r="E405" s="9">
        <v>140.65</v>
      </c>
      <c r="F405" s="17">
        <v>0.36</v>
      </c>
      <c r="G405" s="11"/>
      <c r="H405" s="12">
        <f t="shared" si="9"/>
        <v>3.5676061362825543E-3</v>
      </c>
      <c r="I405" s="13">
        <f t="shared" si="10"/>
        <v>713.52122725651088</v>
      </c>
      <c r="J405" s="13">
        <f t="shared" si="11"/>
        <v>713.52122725651088</v>
      </c>
      <c r="K405" s="13">
        <f t="shared" si="12"/>
        <v>0</v>
      </c>
      <c r="L405" s="13">
        <f t="shared" si="13"/>
        <v>4355398.2006404195</v>
      </c>
      <c r="M405" s="13">
        <f t="shared" si="14"/>
        <v>14355398.200640419</v>
      </c>
      <c r="N405" s="13">
        <f t="shared" si="15"/>
        <v>14355398.200640419</v>
      </c>
      <c r="O405" s="13">
        <f t="shared" si="16"/>
        <v>0</v>
      </c>
      <c r="P405" s="12">
        <f t="shared" si="17"/>
        <v>0</v>
      </c>
    </row>
    <row r="406" spans="1:16" ht="14.4" x14ac:dyDescent="0.3">
      <c r="A406" s="7" t="s">
        <v>271</v>
      </c>
      <c r="B406" s="8">
        <v>44377</v>
      </c>
      <c r="C406" s="9">
        <v>263.45</v>
      </c>
      <c r="D406" s="8">
        <v>44469</v>
      </c>
      <c r="E406" s="9">
        <v>265.14999999999998</v>
      </c>
      <c r="F406" s="17">
        <v>0.65</v>
      </c>
      <c r="G406" s="11"/>
      <c r="H406" s="12">
        <f t="shared" si="9"/>
        <v>6.4528373505408571E-3</v>
      </c>
      <c r="I406" s="13">
        <f t="shared" si="10"/>
        <v>1290.5674701081714</v>
      </c>
      <c r="J406" s="13">
        <f t="shared" si="11"/>
        <v>1290.5674701081714</v>
      </c>
      <c r="K406" s="13">
        <f t="shared" si="12"/>
        <v>0</v>
      </c>
      <c r="L406" s="13">
        <f t="shared" si="13"/>
        <v>4356688.7681105277</v>
      </c>
      <c r="M406" s="13">
        <f t="shared" si="14"/>
        <v>14356688.768110529</v>
      </c>
      <c r="N406" s="13">
        <f t="shared" si="15"/>
        <v>14356688.768110529</v>
      </c>
      <c r="O406" s="13">
        <f t="shared" si="16"/>
        <v>0</v>
      </c>
      <c r="P406" s="12">
        <f t="shared" si="17"/>
        <v>0</v>
      </c>
    </row>
    <row r="407" spans="1:16" ht="14.4" x14ac:dyDescent="0.3">
      <c r="A407" s="7" t="s">
        <v>399</v>
      </c>
      <c r="B407" s="8">
        <v>44377</v>
      </c>
      <c r="C407" s="9">
        <v>142.6</v>
      </c>
      <c r="D407" s="8">
        <v>44469</v>
      </c>
      <c r="E407" s="9">
        <v>154.94999999999999</v>
      </c>
      <c r="F407" s="17">
        <v>8.66</v>
      </c>
      <c r="G407" s="11"/>
      <c r="H407" s="12">
        <f t="shared" si="9"/>
        <v>8.6605890603085517E-2</v>
      </c>
      <c r="I407" s="13">
        <f t="shared" si="10"/>
        <v>17321.178120617104</v>
      </c>
      <c r="J407" s="13">
        <f t="shared" si="11"/>
        <v>17321.178120617104</v>
      </c>
      <c r="K407" s="13">
        <f t="shared" si="12"/>
        <v>0</v>
      </c>
      <c r="L407" s="13">
        <f t="shared" si="13"/>
        <v>4374009.9462311445</v>
      </c>
      <c r="M407" s="13">
        <f t="shared" si="14"/>
        <v>14374009.946231145</v>
      </c>
      <c r="N407" s="13">
        <f t="shared" si="15"/>
        <v>14374009.946231145</v>
      </c>
      <c r="O407" s="13">
        <f t="shared" si="16"/>
        <v>0</v>
      </c>
      <c r="P407" s="12">
        <f t="shared" si="17"/>
        <v>0</v>
      </c>
    </row>
    <row r="408" spans="1:16" ht="14.4" x14ac:dyDescent="0.3">
      <c r="A408" s="7" t="s">
        <v>424</v>
      </c>
      <c r="B408" s="8">
        <v>44377</v>
      </c>
      <c r="C408" s="9">
        <v>2539.35</v>
      </c>
      <c r="D408" s="8">
        <v>44469</v>
      </c>
      <c r="E408" s="9">
        <v>2718.3</v>
      </c>
      <c r="F408" s="17">
        <v>7.05</v>
      </c>
      <c r="G408" s="11"/>
      <c r="H408" s="12">
        <f t="shared" si="9"/>
        <v>7.0470789769035494E-2</v>
      </c>
      <c r="I408" s="13">
        <f t="shared" si="10"/>
        <v>14094.157953807098</v>
      </c>
      <c r="J408" s="13">
        <f t="shared" si="11"/>
        <v>14094.157953807098</v>
      </c>
      <c r="K408" s="13">
        <f t="shared" si="12"/>
        <v>0</v>
      </c>
      <c r="L408" s="13">
        <f t="shared" si="13"/>
        <v>4388104.1041849516</v>
      </c>
      <c r="M408" s="13">
        <f t="shared" si="14"/>
        <v>14388104.104184952</v>
      </c>
      <c r="N408" s="13">
        <f t="shared" si="15"/>
        <v>14388104.104184952</v>
      </c>
      <c r="O408" s="13">
        <f t="shared" si="16"/>
        <v>0</v>
      </c>
      <c r="P408" s="12">
        <f t="shared" si="17"/>
        <v>0</v>
      </c>
    </row>
    <row r="409" spans="1:16" ht="14.4" x14ac:dyDescent="0.3">
      <c r="A409" s="7" t="s">
        <v>425</v>
      </c>
      <c r="B409" s="8">
        <v>44377</v>
      </c>
      <c r="C409" s="9">
        <v>576.9</v>
      </c>
      <c r="D409" s="8">
        <v>44469</v>
      </c>
      <c r="E409" s="9">
        <v>562.70000000000005</v>
      </c>
      <c r="F409" s="17">
        <v>-2.46</v>
      </c>
      <c r="G409" s="11"/>
      <c r="H409" s="12">
        <f t="shared" si="9"/>
        <v>-2.4614317906049458E-2</v>
      </c>
      <c r="I409" s="13">
        <f t="shared" si="10"/>
        <v>-4922.8635812098919</v>
      </c>
      <c r="J409" s="13">
        <f t="shared" si="11"/>
        <v>0</v>
      </c>
      <c r="K409" s="13">
        <f t="shared" si="12"/>
        <v>-4922.8635812098919</v>
      </c>
      <c r="L409" s="13">
        <f t="shared" si="13"/>
        <v>4383181.2406037422</v>
      </c>
      <c r="M409" s="13">
        <f t="shared" si="14"/>
        <v>14383181.240603741</v>
      </c>
      <c r="N409" s="13">
        <f t="shared" si="15"/>
        <v>14388104.104184952</v>
      </c>
      <c r="O409" s="13">
        <f t="shared" si="16"/>
        <v>-4922.8635812103748</v>
      </c>
      <c r="P409" s="12">
        <f t="shared" si="17"/>
        <v>-3.4214817640765478E-4</v>
      </c>
    </row>
    <row r="410" spans="1:16" ht="14.4" x14ac:dyDescent="0.3">
      <c r="A410" s="7" t="s">
        <v>426</v>
      </c>
      <c r="B410" s="8">
        <v>44377</v>
      </c>
      <c r="C410" s="9">
        <v>118.32</v>
      </c>
      <c r="D410" s="8">
        <v>44469</v>
      </c>
      <c r="E410" s="9">
        <v>123.6</v>
      </c>
      <c r="F410" s="17">
        <v>4.46</v>
      </c>
      <c r="G410" s="11"/>
      <c r="H410" s="12">
        <f t="shared" si="9"/>
        <v>4.4624746450304273E-2</v>
      </c>
      <c r="I410" s="13">
        <f t="shared" si="10"/>
        <v>8924.9492900608548</v>
      </c>
      <c r="J410" s="13">
        <f t="shared" si="11"/>
        <v>8924.9492900608548</v>
      </c>
      <c r="K410" s="13">
        <f t="shared" si="12"/>
        <v>0</v>
      </c>
      <c r="L410" s="13">
        <f t="shared" si="13"/>
        <v>4392106.1898938026</v>
      </c>
      <c r="M410" s="13">
        <f t="shared" si="14"/>
        <v>14392106.189893803</v>
      </c>
      <c r="N410" s="13">
        <f t="shared" si="15"/>
        <v>14392106.189893803</v>
      </c>
      <c r="O410" s="13">
        <f t="shared" si="16"/>
        <v>0</v>
      </c>
      <c r="P410" s="12">
        <f t="shared" si="17"/>
        <v>0</v>
      </c>
    </row>
    <row r="411" spans="1:16" ht="14.4" x14ac:dyDescent="0.3">
      <c r="A411" s="7" t="s">
        <v>427</v>
      </c>
      <c r="B411" s="8">
        <v>44377</v>
      </c>
      <c r="C411" s="9">
        <v>477</v>
      </c>
      <c r="D411" s="8">
        <v>44469</v>
      </c>
      <c r="E411" s="9">
        <v>433.75</v>
      </c>
      <c r="F411" s="17">
        <v>-9.07</v>
      </c>
      <c r="G411" s="11"/>
      <c r="H411" s="12">
        <f t="shared" si="9"/>
        <v>-9.0670859538784065E-2</v>
      </c>
      <c r="I411" s="13">
        <f t="shared" si="10"/>
        <v>-18134.171907756812</v>
      </c>
      <c r="J411" s="13">
        <f t="shared" si="11"/>
        <v>0</v>
      </c>
      <c r="K411" s="13">
        <f t="shared" si="12"/>
        <v>-18134.171907756812</v>
      </c>
      <c r="L411" s="13">
        <f t="shared" si="13"/>
        <v>4373972.0179860462</v>
      </c>
      <c r="M411" s="13">
        <f t="shared" si="14"/>
        <v>14373972.017986046</v>
      </c>
      <c r="N411" s="13">
        <f t="shared" si="15"/>
        <v>14392106.189893803</v>
      </c>
      <c r="O411" s="13">
        <f t="shared" si="16"/>
        <v>-18134.171907756478</v>
      </c>
      <c r="P411" s="12">
        <f t="shared" si="17"/>
        <v>-1.260008206477129E-3</v>
      </c>
    </row>
    <row r="412" spans="1:16" ht="14.4" x14ac:dyDescent="0.3">
      <c r="A412" s="7" t="s">
        <v>428</v>
      </c>
      <c r="B412" s="8">
        <v>44377</v>
      </c>
      <c r="C412" s="9">
        <v>3687.5</v>
      </c>
      <c r="D412" s="8">
        <v>44469</v>
      </c>
      <c r="E412" s="9">
        <v>3028.03</v>
      </c>
      <c r="F412" s="17">
        <v>-17.88</v>
      </c>
      <c r="G412" s="11"/>
      <c r="H412" s="12">
        <f t="shared" si="9"/>
        <v>-0.17883932203389824</v>
      </c>
      <c r="I412" s="13">
        <f t="shared" si="10"/>
        <v>-35767.864406779649</v>
      </c>
      <c r="J412" s="13">
        <f t="shared" si="11"/>
        <v>0</v>
      </c>
      <c r="K412" s="13">
        <f t="shared" si="12"/>
        <v>-35767.864406779649</v>
      </c>
      <c r="L412" s="13">
        <f t="shared" si="13"/>
        <v>4338204.1535792667</v>
      </c>
      <c r="M412" s="13">
        <f t="shared" si="14"/>
        <v>14338204.153579267</v>
      </c>
      <c r="N412" s="13">
        <f t="shared" si="15"/>
        <v>14392106.189893803</v>
      </c>
      <c r="O412" s="13">
        <f t="shared" si="16"/>
        <v>-53902.036314535886</v>
      </c>
      <c r="P412" s="12">
        <f t="shared" si="17"/>
        <v>-3.7452500421645113E-3</v>
      </c>
    </row>
    <row r="413" spans="1:16" ht="14.4" x14ac:dyDescent="0.3">
      <c r="A413" s="7" t="s">
        <v>429</v>
      </c>
      <c r="B413" s="8">
        <v>44377</v>
      </c>
      <c r="C413" s="9">
        <v>250.5</v>
      </c>
      <c r="D413" s="8">
        <v>44469</v>
      </c>
      <c r="E413" s="9">
        <v>223</v>
      </c>
      <c r="F413" s="17">
        <v>-10.98</v>
      </c>
      <c r="G413" s="11"/>
      <c r="H413" s="12">
        <f t="shared" si="9"/>
        <v>-0.10978043912175649</v>
      </c>
      <c r="I413" s="13">
        <f t="shared" si="10"/>
        <v>-21956.087824351296</v>
      </c>
      <c r="J413" s="13">
        <f t="shared" si="11"/>
        <v>0</v>
      </c>
      <c r="K413" s="13">
        <f t="shared" si="12"/>
        <v>-21956.087824351296</v>
      </c>
      <c r="L413" s="13">
        <f t="shared" si="13"/>
        <v>4316248.0657549156</v>
      </c>
      <c r="M413" s="13">
        <f t="shared" si="14"/>
        <v>14316248.065754917</v>
      </c>
      <c r="N413" s="13">
        <f t="shared" si="15"/>
        <v>14392106.189893803</v>
      </c>
      <c r="O413" s="13">
        <f t="shared" si="16"/>
        <v>-75858.124138886109</v>
      </c>
      <c r="P413" s="12">
        <f t="shared" si="17"/>
        <v>-5.270814649224448E-3</v>
      </c>
    </row>
    <row r="414" spans="1:16" ht="14.4" x14ac:dyDescent="0.3">
      <c r="A414" s="7" t="s">
        <v>400</v>
      </c>
      <c r="B414" s="8">
        <v>44377</v>
      </c>
      <c r="C414" s="9">
        <v>64.650000000000006</v>
      </c>
      <c r="D414" s="8">
        <v>44469</v>
      </c>
      <c r="E414" s="9">
        <v>73</v>
      </c>
      <c r="F414" s="17">
        <v>12.92</v>
      </c>
      <c r="G414" s="11"/>
      <c r="H414" s="12">
        <f t="shared" si="9"/>
        <v>0.1291569992266047</v>
      </c>
      <c r="I414" s="13">
        <f t="shared" si="10"/>
        <v>25831.399845320939</v>
      </c>
      <c r="J414" s="13">
        <f t="shared" si="11"/>
        <v>25831.399845320939</v>
      </c>
      <c r="K414" s="13">
        <f t="shared" si="12"/>
        <v>0</v>
      </c>
      <c r="L414" s="13">
        <f t="shared" si="13"/>
        <v>4342079.4656002363</v>
      </c>
      <c r="M414" s="13">
        <f t="shared" si="14"/>
        <v>14342079.465600237</v>
      </c>
      <c r="N414" s="13">
        <f t="shared" si="15"/>
        <v>14392106.189893803</v>
      </c>
      <c r="O414" s="13">
        <f t="shared" si="16"/>
        <v>-50026.724293565378</v>
      </c>
      <c r="P414" s="12">
        <f t="shared" si="17"/>
        <v>-3.4759835449723374E-3</v>
      </c>
    </row>
    <row r="415" spans="1:16" ht="14.4" x14ac:dyDescent="0.3">
      <c r="A415" s="7" t="s">
        <v>88</v>
      </c>
      <c r="B415" s="8">
        <v>44377</v>
      </c>
      <c r="C415" s="9">
        <v>519.79999999999995</v>
      </c>
      <c r="D415" s="8">
        <v>44469</v>
      </c>
      <c r="E415" s="9">
        <v>487.1</v>
      </c>
      <c r="F415" s="17">
        <v>-6.29</v>
      </c>
      <c r="G415" s="11"/>
      <c r="H415" s="12">
        <f t="shared" si="9"/>
        <v>-6.2908811081184943E-2</v>
      </c>
      <c r="I415" s="13">
        <f t="shared" si="10"/>
        <v>-12581.762216236988</v>
      </c>
      <c r="J415" s="13">
        <f t="shared" si="11"/>
        <v>0</v>
      </c>
      <c r="K415" s="13">
        <f t="shared" si="12"/>
        <v>-12581.762216236988</v>
      </c>
      <c r="L415" s="13">
        <f t="shared" si="13"/>
        <v>4329497.7033839989</v>
      </c>
      <c r="M415" s="13">
        <f t="shared" si="14"/>
        <v>14329497.703383999</v>
      </c>
      <c r="N415" s="13">
        <f t="shared" si="15"/>
        <v>14392106.189893803</v>
      </c>
      <c r="O415" s="13">
        <f t="shared" si="16"/>
        <v>-62608.486509803683</v>
      </c>
      <c r="P415" s="12">
        <f t="shared" si="17"/>
        <v>-4.3501962592360265E-3</v>
      </c>
    </row>
    <row r="416" spans="1:16" ht="14.4" x14ac:dyDescent="0.3">
      <c r="A416" s="7" t="s">
        <v>430</v>
      </c>
      <c r="B416" s="8">
        <v>44377</v>
      </c>
      <c r="C416" s="9">
        <v>423.45</v>
      </c>
      <c r="D416" s="8">
        <v>44469</v>
      </c>
      <c r="E416" s="9">
        <v>452.95</v>
      </c>
      <c r="F416" s="17">
        <v>6.97</v>
      </c>
      <c r="G416" s="11"/>
      <c r="H416" s="12">
        <f t="shared" si="9"/>
        <v>6.9665840122800804E-2</v>
      </c>
      <c r="I416" s="13">
        <f t="shared" si="10"/>
        <v>13933.16802456016</v>
      </c>
      <c r="J416" s="13">
        <f t="shared" si="11"/>
        <v>13933.16802456016</v>
      </c>
      <c r="K416" s="13">
        <f t="shared" si="12"/>
        <v>0</v>
      </c>
      <c r="L416" s="13">
        <f t="shared" si="13"/>
        <v>4343430.8714085594</v>
      </c>
      <c r="M416" s="13">
        <f t="shared" si="14"/>
        <v>14343430.871408559</v>
      </c>
      <c r="N416" s="13">
        <f t="shared" si="15"/>
        <v>14392106.189893803</v>
      </c>
      <c r="O416" s="13">
        <f t="shared" si="16"/>
        <v>-48675.318485243246</v>
      </c>
      <c r="P416" s="12">
        <f t="shared" si="17"/>
        <v>-3.3820844456680884E-3</v>
      </c>
    </row>
    <row r="417" spans="1:16" ht="14.4" x14ac:dyDescent="0.3">
      <c r="A417" s="7" t="s">
        <v>355</v>
      </c>
      <c r="B417" s="8">
        <v>44377</v>
      </c>
      <c r="C417" s="9">
        <v>181.45</v>
      </c>
      <c r="D417" s="8">
        <v>44469</v>
      </c>
      <c r="E417" s="9">
        <v>151.1</v>
      </c>
      <c r="F417" s="17">
        <v>-16.73</v>
      </c>
      <c r="G417" s="11"/>
      <c r="H417" s="12">
        <f t="shared" si="9"/>
        <v>-0.16726370901074675</v>
      </c>
      <c r="I417" s="13">
        <f t="shared" si="10"/>
        <v>-33452.74180214935</v>
      </c>
      <c r="J417" s="13">
        <f t="shared" si="11"/>
        <v>0</v>
      </c>
      <c r="K417" s="13">
        <f t="shared" si="12"/>
        <v>-33452.74180214935</v>
      </c>
      <c r="L417" s="13">
        <f t="shared" si="13"/>
        <v>4309978.1296064099</v>
      </c>
      <c r="M417" s="13">
        <f t="shared" si="14"/>
        <v>14309978.129606411</v>
      </c>
      <c r="N417" s="13">
        <f t="shared" si="15"/>
        <v>14392106.189893803</v>
      </c>
      <c r="O417" s="13">
        <f t="shared" si="16"/>
        <v>-82128.060287391767</v>
      </c>
      <c r="P417" s="12">
        <f t="shared" si="17"/>
        <v>-5.706465697498983E-3</v>
      </c>
    </row>
    <row r="418" spans="1:16" ht="14.4" x14ac:dyDescent="0.3">
      <c r="A418" s="7" t="s">
        <v>272</v>
      </c>
      <c r="B418" s="8">
        <v>44377</v>
      </c>
      <c r="C418" s="9">
        <v>476.2</v>
      </c>
      <c r="D418" s="8">
        <v>44469</v>
      </c>
      <c r="E418" s="9">
        <v>490.44</v>
      </c>
      <c r="F418" s="17">
        <v>2.99</v>
      </c>
      <c r="G418" s="11"/>
      <c r="H418" s="12">
        <f t="shared" si="9"/>
        <v>2.9903401931961379E-2</v>
      </c>
      <c r="I418" s="13">
        <f t="shared" si="10"/>
        <v>5980.680386392276</v>
      </c>
      <c r="J418" s="13">
        <f t="shared" si="11"/>
        <v>5980.680386392276</v>
      </c>
      <c r="K418" s="13">
        <f t="shared" si="12"/>
        <v>0</v>
      </c>
      <c r="L418" s="13">
        <f t="shared" si="13"/>
        <v>4315958.8099928023</v>
      </c>
      <c r="M418" s="13">
        <f t="shared" si="14"/>
        <v>14315958.809992801</v>
      </c>
      <c r="N418" s="13">
        <f t="shared" si="15"/>
        <v>14392106.189893803</v>
      </c>
      <c r="O418" s="13">
        <f t="shared" si="16"/>
        <v>-76147.37990100123</v>
      </c>
      <c r="P418" s="12">
        <f t="shared" si="17"/>
        <v>-5.2909128723961363E-3</v>
      </c>
    </row>
    <row r="419" spans="1:16" ht="14.4" x14ac:dyDescent="0.3">
      <c r="A419" s="7" t="s">
        <v>431</v>
      </c>
      <c r="B419" s="8">
        <v>44377</v>
      </c>
      <c r="C419" s="9">
        <v>273.25</v>
      </c>
      <c r="D419" s="8">
        <v>44469</v>
      </c>
      <c r="E419" s="9">
        <v>266.2</v>
      </c>
      <c r="F419" s="17">
        <v>-2.58</v>
      </c>
      <c r="G419" s="11"/>
      <c r="H419" s="12">
        <f t="shared" si="9"/>
        <v>-2.5800548947849996E-2</v>
      </c>
      <c r="I419" s="13">
        <f t="shared" si="10"/>
        <v>-5160.1097895699995</v>
      </c>
      <c r="J419" s="13">
        <f t="shared" si="11"/>
        <v>0</v>
      </c>
      <c r="K419" s="13">
        <f t="shared" si="12"/>
        <v>-5160.1097895699995</v>
      </c>
      <c r="L419" s="13">
        <f t="shared" si="13"/>
        <v>4310798.7002032325</v>
      </c>
      <c r="M419" s="13">
        <f t="shared" si="14"/>
        <v>14310798.700203232</v>
      </c>
      <c r="N419" s="13">
        <f t="shared" si="15"/>
        <v>14392106.189893803</v>
      </c>
      <c r="O419" s="13">
        <f t="shared" si="16"/>
        <v>-81307.489690570161</v>
      </c>
      <c r="P419" s="12">
        <f t="shared" si="17"/>
        <v>-5.6494503735432843E-3</v>
      </c>
    </row>
    <row r="420" spans="1:16" ht="14.4" x14ac:dyDescent="0.3">
      <c r="A420" s="7" t="s">
        <v>366</v>
      </c>
      <c r="B420" s="8">
        <v>44377</v>
      </c>
      <c r="C420" s="9">
        <v>154.55000000000001</v>
      </c>
      <c r="D420" s="8">
        <v>44469</v>
      </c>
      <c r="E420" s="9">
        <v>140.85</v>
      </c>
      <c r="F420" s="17">
        <v>-8.86</v>
      </c>
      <c r="G420" s="11"/>
      <c r="H420" s="12">
        <f t="shared" si="9"/>
        <v>-8.8644451633775587E-2</v>
      </c>
      <c r="I420" s="13">
        <f t="shared" si="10"/>
        <v>-17728.890326755118</v>
      </c>
      <c r="J420" s="13">
        <f t="shared" si="11"/>
        <v>0</v>
      </c>
      <c r="K420" s="13">
        <f t="shared" si="12"/>
        <v>-17728.890326755118</v>
      </c>
      <c r="L420" s="13">
        <f t="shared" si="13"/>
        <v>4293069.8098764773</v>
      </c>
      <c r="M420" s="13">
        <f t="shared" si="14"/>
        <v>14293069.809876477</v>
      </c>
      <c r="N420" s="13">
        <f t="shared" si="15"/>
        <v>14392106.189893803</v>
      </c>
      <c r="O420" s="13">
        <f t="shared" si="16"/>
        <v>-99036.380017325282</v>
      </c>
      <c r="P420" s="12">
        <f t="shared" si="17"/>
        <v>-6.8812985890049257E-3</v>
      </c>
    </row>
    <row r="421" spans="1:16" ht="14.4" x14ac:dyDescent="0.3">
      <c r="A421" s="7" t="s">
        <v>90</v>
      </c>
      <c r="B421" s="8">
        <v>44377</v>
      </c>
      <c r="C421" s="9">
        <v>1223.5999999999999</v>
      </c>
      <c r="D421" s="8">
        <v>44469</v>
      </c>
      <c r="E421" s="9">
        <v>1258.5</v>
      </c>
      <c r="F421" s="17">
        <v>2.85</v>
      </c>
      <c r="G421" s="11"/>
      <c r="H421" s="12">
        <f t="shared" si="9"/>
        <v>2.8522392938868987E-2</v>
      </c>
      <c r="I421" s="13">
        <f t="shared" si="10"/>
        <v>5704.4785877737977</v>
      </c>
      <c r="J421" s="13">
        <f t="shared" si="11"/>
        <v>5704.4785877737977</v>
      </c>
      <c r="K421" s="13">
        <f t="shared" si="12"/>
        <v>0</v>
      </c>
      <c r="L421" s="13">
        <f t="shared" si="13"/>
        <v>4298774.288464251</v>
      </c>
      <c r="M421" s="13">
        <f t="shared" si="14"/>
        <v>14298774.288464252</v>
      </c>
      <c r="N421" s="13">
        <f t="shared" si="15"/>
        <v>14392106.189893803</v>
      </c>
      <c r="O421" s="13">
        <f t="shared" si="16"/>
        <v>-93331.901429550722</v>
      </c>
      <c r="P421" s="12">
        <f t="shared" si="17"/>
        <v>-6.4849369646180609E-3</v>
      </c>
    </row>
    <row r="422" spans="1:16" ht="14.4" x14ac:dyDescent="0.3">
      <c r="A422" s="7" t="s">
        <v>432</v>
      </c>
      <c r="B422" s="8">
        <v>44377</v>
      </c>
      <c r="C422" s="9">
        <v>232.03</v>
      </c>
      <c r="D422" s="8">
        <v>44469</v>
      </c>
      <c r="E422" s="9">
        <v>206.8</v>
      </c>
      <c r="F422" s="17">
        <v>-10.87</v>
      </c>
      <c r="G422" s="11"/>
      <c r="H422" s="12">
        <f t="shared" si="9"/>
        <v>-0.10873593931819157</v>
      </c>
      <c r="I422" s="13">
        <f t="shared" si="10"/>
        <v>-21747.187863638315</v>
      </c>
      <c r="J422" s="13">
        <f t="shared" si="11"/>
        <v>0</v>
      </c>
      <c r="K422" s="13">
        <f t="shared" si="12"/>
        <v>-21747.187863638315</v>
      </c>
      <c r="L422" s="13">
        <f t="shared" si="13"/>
        <v>4277027.1006006123</v>
      </c>
      <c r="M422" s="13">
        <f t="shared" si="14"/>
        <v>14277027.100600611</v>
      </c>
      <c r="N422" s="13">
        <f t="shared" si="15"/>
        <v>14392106.189893803</v>
      </c>
      <c r="O422" s="13">
        <f t="shared" si="16"/>
        <v>-115079.08929319121</v>
      </c>
      <c r="P422" s="12">
        <f t="shared" si="17"/>
        <v>-7.9959866731667273E-3</v>
      </c>
    </row>
    <row r="423" spans="1:16" ht="14.4" x14ac:dyDescent="0.3">
      <c r="A423" s="7" t="s">
        <v>433</v>
      </c>
      <c r="B423" s="8">
        <v>44377</v>
      </c>
      <c r="C423" s="9">
        <v>492.67</v>
      </c>
      <c r="D423" s="8">
        <v>44469</v>
      </c>
      <c r="E423" s="9">
        <v>457.4</v>
      </c>
      <c r="F423" s="17">
        <v>-7.16</v>
      </c>
      <c r="G423" s="11"/>
      <c r="H423" s="12">
        <f t="shared" si="9"/>
        <v>-7.1589502100797772E-2</v>
      </c>
      <c r="I423" s="13">
        <f t="shared" si="10"/>
        <v>-14317.900420159554</v>
      </c>
      <c r="J423" s="13">
        <f t="shared" si="11"/>
        <v>0</v>
      </c>
      <c r="K423" s="13">
        <f t="shared" si="12"/>
        <v>-14317.900420159554</v>
      </c>
      <c r="L423" s="13">
        <f t="shared" si="13"/>
        <v>4262709.2001804532</v>
      </c>
      <c r="M423" s="13">
        <f t="shared" si="14"/>
        <v>14262709.200180452</v>
      </c>
      <c r="N423" s="13">
        <f t="shared" si="15"/>
        <v>14392106.189893803</v>
      </c>
      <c r="O423" s="13">
        <f t="shared" si="16"/>
        <v>-129396.98971335031</v>
      </c>
      <c r="P423" s="12">
        <f t="shared" si="17"/>
        <v>-8.9908306682876908E-3</v>
      </c>
    </row>
    <row r="424" spans="1:16" ht="14.4" x14ac:dyDescent="0.3">
      <c r="A424" s="7" t="s">
        <v>367</v>
      </c>
      <c r="B424" s="8">
        <v>44377</v>
      </c>
      <c r="C424" s="9">
        <v>153.80000000000001</v>
      </c>
      <c r="D424" s="8">
        <v>44469</v>
      </c>
      <c r="E424" s="9">
        <v>130.15</v>
      </c>
      <c r="F424" s="17">
        <v>-15.38</v>
      </c>
      <c r="G424" s="11"/>
      <c r="H424" s="12">
        <f t="shared" si="9"/>
        <v>-0.15377113133940185</v>
      </c>
      <c r="I424" s="13">
        <f t="shared" si="10"/>
        <v>-30754.226267880371</v>
      </c>
      <c r="J424" s="13">
        <f t="shared" si="11"/>
        <v>0</v>
      </c>
      <c r="K424" s="13">
        <f t="shared" si="12"/>
        <v>-30754.226267880371</v>
      </c>
      <c r="L424" s="13">
        <f t="shared" si="13"/>
        <v>4231954.9739125725</v>
      </c>
      <c r="M424" s="13">
        <f t="shared" si="14"/>
        <v>14231954.973912572</v>
      </c>
      <c r="N424" s="13">
        <f t="shared" si="15"/>
        <v>14392106.189893803</v>
      </c>
      <c r="O424" s="13">
        <f t="shared" si="16"/>
        <v>-160151.21598123014</v>
      </c>
      <c r="P424" s="12">
        <f t="shared" si="17"/>
        <v>-1.1127712224197525E-2</v>
      </c>
    </row>
    <row r="425" spans="1:16" ht="14.4" x14ac:dyDescent="0.3">
      <c r="A425" s="7" t="s">
        <v>92</v>
      </c>
      <c r="B425" s="8">
        <v>44377</v>
      </c>
      <c r="C425" s="9">
        <v>58.25</v>
      </c>
      <c r="D425" s="8">
        <v>44469</v>
      </c>
      <c r="E425" s="9">
        <v>56.9</v>
      </c>
      <c r="F425" s="17">
        <v>-2.3199999999999998</v>
      </c>
      <c r="G425" s="11"/>
      <c r="H425" s="12">
        <f t="shared" si="9"/>
        <v>-2.3175965665236074E-2</v>
      </c>
      <c r="I425" s="13">
        <f t="shared" si="10"/>
        <v>-4635.1931330472153</v>
      </c>
      <c r="J425" s="13">
        <f t="shared" si="11"/>
        <v>0</v>
      </c>
      <c r="K425" s="13">
        <f t="shared" si="12"/>
        <v>-4635.1931330472153</v>
      </c>
      <c r="L425" s="13">
        <f t="shared" si="13"/>
        <v>4227319.7807795256</v>
      </c>
      <c r="M425" s="13">
        <f t="shared" si="14"/>
        <v>14227319.780779526</v>
      </c>
      <c r="N425" s="13">
        <f t="shared" si="15"/>
        <v>14392106.189893803</v>
      </c>
      <c r="O425" s="13">
        <f t="shared" si="16"/>
        <v>-164786.40911427699</v>
      </c>
      <c r="P425" s="12">
        <f t="shared" si="17"/>
        <v>-1.144977718619049E-2</v>
      </c>
    </row>
    <row r="426" spans="1:16" ht="14.4" x14ac:dyDescent="0.3">
      <c r="A426" s="7" t="s">
        <v>434</v>
      </c>
      <c r="B426" s="8">
        <v>44377</v>
      </c>
      <c r="C426" s="9">
        <v>577.45000000000005</v>
      </c>
      <c r="D426" s="8">
        <v>44469</v>
      </c>
      <c r="E426" s="9">
        <v>617.9</v>
      </c>
      <c r="F426" s="17">
        <v>7</v>
      </c>
      <c r="G426" s="11"/>
      <c r="H426" s="12">
        <f t="shared" si="9"/>
        <v>7.0049354922503984E-2</v>
      </c>
      <c r="I426" s="13">
        <f t="shared" si="10"/>
        <v>14009.870984500796</v>
      </c>
      <c r="J426" s="13">
        <f t="shared" si="11"/>
        <v>14009.870984500796</v>
      </c>
      <c r="K426" s="13">
        <f t="shared" si="12"/>
        <v>0</v>
      </c>
      <c r="L426" s="13">
        <f t="shared" si="13"/>
        <v>4241329.6517640268</v>
      </c>
      <c r="M426" s="13">
        <f t="shared" si="14"/>
        <v>14241329.651764028</v>
      </c>
      <c r="N426" s="13">
        <f t="shared" si="15"/>
        <v>14392106.189893803</v>
      </c>
      <c r="O426" s="13">
        <f t="shared" si="16"/>
        <v>-150776.53812977485</v>
      </c>
      <c r="P426" s="12">
        <f t="shared" si="17"/>
        <v>-1.0476335856641384E-2</v>
      </c>
    </row>
    <row r="427" spans="1:16" ht="14.4" x14ac:dyDescent="0.3">
      <c r="A427" s="7" t="s">
        <v>299</v>
      </c>
      <c r="B427" s="8">
        <v>44377</v>
      </c>
      <c r="C427" s="9">
        <v>447.3</v>
      </c>
      <c r="D427" s="8">
        <v>44469</v>
      </c>
      <c r="E427" s="9">
        <v>448.8</v>
      </c>
      <c r="F427" s="17">
        <v>0.34</v>
      </c>
      <c r="G427" s="11"/>
      <c r="H427" s="12">
        <f t="shared" si="9"/>
        <v>3.3534540576794095E-3</v>
      </c>
      <c r="I427" s="13">
        <f t="shared" si="10"/>
        <v>670.69081153588195</v>
      </c>
      <c r="J427" s="13">
        <f t="shared" si="11"/>
        <v>670.69081153588195</v>
      </c>
      <c r="K427" s="13">
        <f t="shared" si="12"/>
        <v>0</v>
      </c>
      <c r="L427" s="13">
        <f t="shared" si="13"/>
        <v>4242000.3425755631</v>
      </c>
      <c r="M427" s="13">
        <f t="shared" si="14"/>
        <v>14242000.342575563</v>
      </c>
      <c r="N427" s="13">
        <f t="shared" si="15"/>
        <v>14392106.189893803</v>
      </c>
      <c r="O427" s="13">
        <f t="shared" si="16"/>
        <v>-150105.84731823951</v>
      </c>
      <c r="P427" s="12">
        <f t="shared" si="17"/>
        <v>-1.0429734559882865E-2</v>
      </c>
    </row>
    <row r="428" spans="1:16" ht="14.4" x14ac:dyDescent="0.3">
      <c r="A428" s="7" t="s">
        <v>435</v>
      </c>
      <c r="B428" s="8">
        <v>44377</v>
      </c>
      <c r="C428" s="9">
        <v>2398.25</v>
      </c>
      <c r="D428" s="8">
        <v>44469</v>
      </c>
      <c r="E428" s="9">
        <v>2595.8000000000002</v>
      </c>
      <c r="F428" s="17">
        <v>8.24</v>
      </c>
      <c r="G428" s="11"/>
      <c r="H428" s="12">
        <f t="shared" si="9"/>
        <v>8.2372563327426318E-2</v>
      </c>
      <c r="I428" s="13">
        <f t="shared" si="10"/>
        <v>16474.512665485265</v>
      </c>
      <c r="J428" s="13">
        <f t="shared" si="11"/>
        <v>16474.512665485265</v>
      </c>
      <c r="K428" s="13">
        <f t="shared" si="12"/>
        <v>0</v>
      </c>
      <c r="L428" s="13">
        <f t="shared" si="13"/>
        <v>4258474.8552410481</v>
      </c>
      <c r="M428" s="13">
        <f t="shared" si="14"/>
        <v>14258474.855241049</v>
      </c>
      <c r="N428" s="13">
        <f t="shared" si="15"/>
        <v>14392106.189893803</v>
      </c>
      <c r="O428" s="13">
        <f t="shared" si="16"/>
        <v>-133631.33465275355</v>
      </c>
      <c r="P428" s="12">
        <f t="shared" si="17"/>
        <v>-9.2850436822506238E-3</v>
      </c>
    </row>
    <row r="429" spans="1:16" ht="14.4" x14ac:dyDescent="0.3">
      <c r="A429" s="7" t="s">
        <v>94</v>
      </c>
      <c r="B429" s="8">
        <v>44377</v>
      </c>
      <c r="C429" s="9">
        <v>62.3</v>
      </c>
      <c r="D429" s="8">
        <v>44469</v>
      </c>
      <c r="E429" s="9">
        <v>82.8</v>
      </c>
      <c r="F429" s="17">
        <v>32.909999999999997</v>
      </c>
      <c r="G429" s="11"/>
      <c r="H429" s="12">
        <f t="shared" si="9"/>
        <v>0.3290529695024077</v>
      </c>
      <c r="I429" s="13">
        <f t="shared" si="10"/>
        <v>65810.593900481545</v>
      </c>
      <c r="J429" s="13">
        <f t="shared" si="11"/>
        <v>65810.593900481545</v>
      </c>
      <c r="K429" s="13">
        <f t="shared" si="12"/>
        <v>0</v>
      </c>
      <c r="L429" s="13">
        <f t="shared" si="13"/>
        <v>4324285.4491415294</v>
      </c>
      <c r="M429" s="13">
        <f t="shared" si="14"/>
        <v>14324285.449141528</v>
      </c>
      <c r="N429" s="13">
        <f t="shared" si="15"/>
        <v>14392106.189893803</v>
      </c>
      <c r="O429" s="13">
        <f t="shared" si="16"/>
        <v>-67820.740752274171</v>
      </c>
      <c r="P429" s="12">
        <f t="shared" si="17"/>
        <v>-4.7123568890770264E-3</v>
      </c>
    </row>
    <row r="430" spans="1:16" ht="14.4" x14ac:dyDescent="0.3">
      <c r="A430" s="7" t="s">
        <v>401</v>
      </c>
      <c r="B430" s="8">
        <v>44377</v>
      </c>
      <c r="C430" s="9">
        <v>28.23</v>
      </c>
      <c r="D430" s="8">
        <v>44469</v>
      </c>
      <c r="E430" s="9">
        <v>23.6</v>
      </c>
      <c r="F430" s="17">
        <v>-16.399999999999999</v>
      </c>
      <c r="G430" s="11"/>
      <c r="H430" s="12">
        <f t="shared" si="9"/>
        <v>-0.16400991852639032</v>
      </c>
      <c r="I430" s="13">
        <f t="shared" si="10"/>
        <v>-32801.983705278064</v>
      </c>
      <c r="J430" s="13">
        <f t="shared" si="11"/>
        <v>0</v>
      </c>
      <c r="K430" s="13">
        <f t="shared" si="12"/>
        <v>-32801.983705278064</v>
      </c>
      <c r="L430" s="13">
        <f t="shared" si="13"/>
        <v>4291483.4654362509</v>
      </c>
      <c r="M430" s="13">
        <f t="shared" si="14"/>
        <v>14291483.46543625</v>
      </c>
      <c r="N430" s="13">
        <f t="shared" si="15"/>
        <v>14392106.189893803</v>
      </c>
      <c r="O430" s="13">
        <f t="shared" si="16"/>
        <v>-100622.72445755266</v>
      </c>
      <c r="P430" s="12">
        <f t="shared" si="17"/>
        <v>-6.9915218196632233E-3</v>
      </c>
    </row>
    <row r="431" spans="1:16" ht="14.4" x14ac:dyDescent="0.3">
      <c r="A431" s="7" t="s">
        <v>436</v>
      </c>
      <c r="B431" s="8">
        <v>44377</v>
      </c>
      <c r="C431" s="9">
        <v>759.1</v>
      </c>
      <c r="D431" s="8">
        <v>44469</v>
      </c>
      <c r="E431" s="9">
        <v>881</v>
      </c>
      <c r="F431" s="17">
        <v>16.059999999999999</v>
      </c>
      <c r="G431" s="11"/>
      <c r="H431" s="12">
        <f t="shared" si="9"/>
        <v>0.16058490317481225</v>
      </c>
      <c r="I431" s="13">
        <f t="shared" si="10"/>
        <v>32116.980634962449</v>
      </c>
      <c r="J431" s="13">
        <f t="shared" si="11"/>
        <v>32116.980634962449</v>
      </c>
      <c r="K431" s="13">
        <f t="shared" si="12"/>
        <v>0</v>
      </c>
      <c r="L431" s="13">
        <f t="shared" si="13"/>
        <v>4323600.4460712131</v>
      </c>
      <c r="M431" s="13">
        <f t="shared" si="14"/>
        <v>14323600.446071213</v>
      </c>
      <c r="N431" s="13">
        <f t="shared" si="15"/>
        <v>14392106.189893803</v>
      </c>
      <c r="O431" s="13">
        <f t="shared" si="16"/>
        <v>-68505.743822589517</v>
      </c>
      <c r="P431" s="12">
        <f t="shared" si="17"/>
        <v>-4.7599526378352139E-3</v>
      </c>
    </row>
    <row r="432" spans="1:16" ht="14.4" x14ac:dyDescent="0.3">
      <c r="A432" s="7" t="s">
        <v>437</v>
      </c>
      <c r="B432" s="8">
        <v>44377</v>
      </c>
      <c r="C432" s="9">
        <v>63.25</v>
      </c>
      <c r="D432" s="8">
        <v>44469</v>
      </c>
      <c r="E432" s="9">
        <v>55.1</v>
      </c>
      <c r="F432" s="17">
        <v>-12.89</v>
      </c>
      <c r="G432" s="11"/>
      <c r="H432" s="12">
        <f t="shared" si="9"/>
        <v>-0.12885375494071144</v>
      </c>
      <c r="I432" s="13">
        <f t="shared" si="10"/>
        <v>-25770.750988142288</v>
      </c>
      <c r="J432" s="13">
        <f t="shared" si="11"/>
        <v>0</v>
      </c>
      <c r="K432" s="13">
        <f t="shared" si="12"/>
        <v>-25770.750988142288</v>
      </c>
      <c r="L432" s="13">
        <f t="shared" si="13"/>
        <v>4297829.6950830705</v>
      </c>
      <c r="M432" s="13">
        <f t="shared" si="14"/>
        <v>14297829.695083071</v>
      </c>
      <c r="N432" s="13">
        <f t="shared" si="15"/>
        <v>14392106.189893803</v>
      </c>
      <c r="O432" s="13">
        <f t="shared" si="16"/>
        <v>-94276.494810732082</v>
      </c>
      <c r="P432" s="12">
        <f t="shared" si="17"/>
        <v>-6.5505697058387069E-3</v>
      </c>
    </row>
    <row r="433" spans="1:16" ht="14.4" x14ac:dyDescent="0.3">
      <c r="A433" s="7" t="s">
        <v>273</v>
      </c>
      <c r="B433" s="8">
        <v>44377</v>
      </c>
      <c r="C433" s="9">
        <v>198.6</v>
      </c>
      <c r="D433" s="8">
        <v>44469</v>
      </c>
      <c r="E433" s="9">
        <v>184.7</v>
      </c>
      <c r="F433" s="17">
        <v>-7</v>
      </c>
      <c r="G433" s="11"/>
      <c r="H433" s="12">
        <f t="shared" si="9"/>
        <v>-6.9989929506545853E-2</v>
      </c>
      <c r="I433" s="13">
        <f t="shared" si="10"/>
        <v>-13997.98590130917</v>
      </c>
      <c r="J433" s="13">
        <f t="shared" si="11"/>
        <v>0</v>
      </c>
      <c r="K433" s="13">
        <f t="shared" si="12"/>
        <v>-13997.98590130917</v>
      </c>
      <c r="L433" s="13">
        <f t="shared" si="13"/>
        <v>4283831.7091817614</v>
      </c>
      <c r="M433" s="13">
        <f t="shared" si="14"/>
        <v>14283831.709181761</v>
      </c>
      <c r="N433" s="13">
        <f t="shared" si="15"/>
        <v>14392106.189893803</v>
      </c>
      <c r="O433" s="13">
        <f t="shared" si="16"/>
        <v>-108274.48071204126</v>
      </c>
      <c r="P433" s="12">
        <f t="shared" si="17"/>
        <v>-7.5231852296970998E-3</v>
      </c>
    </row>
    <row r="434" spans="1:16" ht="14.4" x14ac:dyDescent="0.3">
      <c r="A434" s="7" t="s">
        <v>438</v>
      </c>
      <c r="B434" s="8">
        <v>44377</v>
      </c>
      <c r="C434" s="9">
        <v>280.39999999999998</v>
      </c>
      <c r="D434" s="8">
        <v>44469</v>
      </c>
      <c r="E434" s="9">
        <v>316.45</v>
      </c>
      <c r="F434" s="17">
        <v>12.86</v>
      </c>
      <c r="G434" s="11"/>
      <c r="H434" s="12">
        <f t="shared" si="9"/>
        <v>0.12856633380884455</v>
      </c>
      <c r="I434" s="13">
        <f t="shared" si="10"/>
        <v>25713.266761768911</v>
      </c>
      <c r="J434" s="13">
        <f t="shared" si="11"/>
        <v>25713.266761768911</v>
      </c>
      <c r="K434" s="13">
        <f t="shared" si="12"/>
        <v>0</v>
      </c>
      <c r="L434" s="13">
        <f t="shared" si="13"/>
        <v>4309544.97594353</v>
      </c>
      <c r="M434" s="13">
        <f t="shared" si="14"/>
        <v>14309544.97594353</v>
      </c>
      <c r="N434" s="13">
        <f t="shared" si="15"/>
        <v>14392106.189893803</v>
      </c>
      <c r="O434" s="13">
        <f t="shared" si="16"/>
        <v>-82561.21395027265</v>
      </c>
      <c r="P434" s="12">
        <f t="shared" si="17"/>
        <v>-5.7365623113764599E-3</v>
      </c>
    </row>
    <row r="435" spans="1:16" ht="14.4" x14ac:dyDescent="0.3">
      <c r="A435" s="7" t="s">
        <v>439</v>
      </c>
      <c r="B435" s="8">
        <v>44377</v>
      </c>
      <c r="C435" s="9">
        <v>306.45</v>
      </c>
      <c r="D435" s="8">
        <v>44469</v>
      </c>
      <c r="E435" s="9">
        <v>370.85</v>
      </c>
      <c r="F435" s="17">
        <v>21.01</v>
      </c>
      <c r="G435" s="11"/>
      <c r="H435" s="12">
        <f t="shared" si="9"/>
        <v>0.21014847446565521</v>
      </c>
      <c r="I435" s="13">
        <f t="shared" si="10"/>
        <v>42029.69489313104</v>
      </c>
      <c r="J435" s="13">
        <f t="shared" si="11"/>
        <v>42029.69489313104</v>
      </c>
      <c r="K435" s="13">
        <f t="shared" si="12"/>
        <v>0</v>
      </c>
      <c r="L435" s="13">
        <f t="shared" si="13"/>
        <v>4351574.670836661</v>
      </c>
      <c r="M435" s="13">
        <f t="shared" si="14"/>
        <v>14351574.670836661</v>
      </c>
      <c r="N435" s="13">
        <f t="shared" si="15"/>
        <v>14392106.189893803</v>
      </c>
      <c r="O435" s="13">
        <f t="shared" si="16"/>
        <v>-40531.519057141617</v>
      </c>
      <c r="P435" s="12">
        <f t="shared" si="17"/>
        <v>-2.816232629356433E-3</v>
      </c>
    </row>
    <row r="436" spans="1:16" ht="14.4" x14ac:dyDescent="0.3">
      <c r="A436" s="7" t="s">
        <v>440</v>
      </c>
      <c r="B436" s="8">
        <v>44377</v>
      </c>
      <c r="C436" s="9">
        <v>113.1</v>
      </c>
      <c r="D436" s="8">
        <v>44469</v>
      </c>
      <c r="E436" s="9">
        <v>118.1</v>
      </c>
      <c r="F436" s="17">
        <v>4.42</v>
      </c>
      <c r="G436" s="11"/>
      <c r="H436" s="12">
        <f t="shared" si="9"/>
        <v>4.4208664898320073E-2</v>
      </c>
      <c r="I436" s="13">
        <f t="shared" si="10"/>
        <v>8841.7329796640151</v>
      </c>
      <c r="J436" s="13">
        <f t="shared" si="11"/>
        <v>8841.7329796640151</v>
      </c>
      <c r="K436" s="13">
        <f t="shared" si="12"/>
        <v>0</v>
      </c>
      <c r="L436" s="13">
        <f t="shared" si="13"/>
        <v>4360416.4038163247</v>
      </c>
      <c r="M436" s="13">
        <f t="shared" si="14"/>
        <v>14360416.403816324</v>
      </c>
      <c r="N436" s="13">
        <f t="shared" si="15"/>
        <v>14392106.189893803</v>
      </c>
      <c r="O436" s="13">
        <f t="shared" si="16"/>
        <v>-31689.786077478901</v>
      </c>
      <c r="P436" s="12">
        <f t="shared" si="17"/>
        <v>-2.2018866216906878E-3</v>
      </c>
    </row>
    <row r="437" spans="1:16" ht="14.4" x14ac:dyDescent="0.3">
      <c r="A437" s="7" t="s">
        <v>441</v>
      </c>
      <c r="B437" s="8">
        <v>44377</v>
      </c>
      <c r="C437" s="9">
        <v>283.41000000000003</v>
      </c>
      <c r="D437" s="8">
        <v>44469</v>
      </c>
      <c r="E437" s="9">
        <v>304.25</v>
      </c>
      <c r="F437" s="17">
        <v>7.35</v>
      </c>
      <c r="G437" s="11"/>
      <c r="H437" s="12">
        <f t="shared" si="9"/>
        <v>7.3533043999858771E-2</v>
      </c>
      <c r="I437" s="13">
        <f t="shared" si="10"/>
        <v>14706.608799971755</v>
      </c>
      <c r="J437" s="13">
        <f t="shared" si="11"/>
        <v>14706.608799971755</v>
      </c>
      <c r="K437" s="13">
        <f t="shared" si="12"/>
        <v>0</v>
      </c>
      <c r="L437" s="13">
        <f t="shared" si="13"/>
        <v>4375123.0126162963</v>
      </c>
      <c r="M437" s="13">
        <f t="shared" si="14"/>
        <v>14375123.012616295</v>
      </c>
      <c r="N437" s="13">
        <f t="shared" si="15"/>
        <v>14392106.189893803</v>
      </c>
      <c r="O437" s="13">
        <f t="shared" si="16"/>
        <v>-16983.17727750726</v>
      </c>
      <c r="P437" s="12">
        <f t="shared" si="17"/>
        <v>-1.1800341835604936E-3</v>
      </c>
    </row>
    <row r="438" spans="1:16" ht="14.4" x14ac:dyDescent="0.3">
      <c r="A438" s="7" t="s">
        <v>226</v>
      </c>
      <c r="B438" s="8">
        <v>44377</v>
      </c>
      <c r="C438" s="9">
        <v>207.35</v>
      </c>
      <c r="D438" s="8">
        <v>44469</v>
      </c>
      <c r="E438" s="9">
        <v>184.95</v>
      </c>
      <c r="F438" s="17">
        <v>-10.8</v>
      </c>
      <c r="G438" s="11"/>
      <c r="H438" s="12">
        <f t="shared" si="9"/>
        <v>-0.10802990113334944</v>
      </c>
      <c r="I438" s="13">
        <f t="shared" si="10"/>
        <v>-21605.98022666989</v>
      </c>
      <c r="J438" s="13">
        <f t="shared" si="11"/>
        <v>0</v>
      </c>
      <c r="K438" s="13">
        <f t="shared" si="12"/>
        <v>-21605.98022666989</v>
      </c>
      <c r="L438" s="13">
        <f t="shared" si="13"/>
        <v>4353517.0323896268</v>
      </c>
      <c r="M438" s="13">
        <f t="shared" si="14"/>
        <v>14353517.032389626</v>
      </c>
      <c r="N438" s="13">
        <f t="shared" si="15"/>
        <v>14392106.189893803</v>
      </c>
      <c r="O438" s="13">
        <f t="shared" si="16"/>
        <v>-38589.157504176721</v>
      </c>
      <c r="P438" s="12">
        <f t="shared" si="17"/>
        <v>-2.6812724277475238E-3</v>
      </c>
    </row>
    <row r="439" spans="1:16" ht="14.4" x14ac:dyDescent="0.3">
      <c r="A439" s="7" t="s">
        <v>442</v>
      </c>
      <c r="B439" s="8">
        <v>44377</v>
      </c>
      <c r="C439" s="9">
        <v>671.15</v>
      </c>
      <c r="D439" s="8">
        <v>44469</v>
      </c>
      <c r="E439" s="9">
        <v>774.95</v>
      </c>
      <c r="F439" s="17">
        <v>15.47</v>
      </c>
      <c r="G439" s="11"/>
      <c r="H439" s="12">
        <f t="shared" si="9"/>
        <v>0.15465991209118687</v>
      </c>
      <c r="I439" s="13">
        <f t="shared" si="10"/>
        <v>30931.982418237374</v>
      </c>
      <c r="J439" s="13">
        <f t="shared" si="11"/>
        <v>30931.982418237374</v>
      </c>
      <c r="K439" s="13">
        <f t="shared" si="12"/>
        <v>0</v>
      </c>
      <c r="L439" s="13">
        <f t="shared" si="13"/>
        <v>4384449.0148078641</v>
      </c>
      <c r="M439" s="13">
        <f t="shared" si="14"/>
        <v>14384449.014807865</v>
      </c>
      <c r="N439" s="13">
        <f t="shared" si="15"/>
        <v>14392106.189893803</v>
      </c>
      <c r="O439" s="13">
        <f t="shared" si="16"/>
        <v>-7657.1750859376043</v>
      </c>
      <c r="P439" s="12">
        <f t="shared" si="17"/>
        <v>-5.3203992417138394E-4</v>
      </c>
    </row>
    <row r="440" spans="1:16" ht="14.4" x14ac:dyDescent="0.3">
      <c r="A440" s="7" t="s">
        <v>443</v>
      </c>
      <c r="B440" s="8">
        <v>44377</v>
      </c>
      <c r="C440" s="9">
        <v>432</v>
      </c>
      <c r="D440" s="8">
        <v>44469</v>
      </c>
      <c r="E440" s="9">
        <v>398.65</v>
      </c>
      <c r="F440" s="17">
        <v>-7.72</v>
      </c>
      <c r="G440" s="11"/>
      <c r="H440" s="12">
        <f t="shared" si="9"/>
        <v>-7.7199074074074128E-2</v>
      </c>
      <c r="I440" s="13">
        <f t="shared" si="10"/>
        <v>-15439.814814814825</v>
      </c>
      <c r="J440" s="13">
        <f t="shared" si="11"/>
        <v>0</v>
      </c>
      <c r="K440" s="13">
        <f t="shared" si="12"/>
        <v>-15439.814814814825</v>
      </c>
      <c r="L440" s="13">
        <f t="shared" si="13"/>
        <v>4369009.1999930497</v>
      </c>
      <c r="M440" s="13">
        <f t="shared" si="14"/>
        <v>14369009.19999305</v>
      </c>
      <c r="N440" s="13">
        <f t="shared" si="15"/>
        <v>14392106.189893803</v>
      </c>
      <c r="O440" s="13">
        <f t="shared" si="16"/>
        <v>-23096.989900752902</v>
      </c>
      <c r="P440" s="12">
        <f t="shared" si="17"/>
        <v>-1.6048373737661626E-3</v>
      </c>
    </row>
    <row r="441" spans="1:16" ht="14.4" x14ac:dyDescent="0.3">
      <c r="A441" s="7" t="s">
        <v>96</v>
      </c>
      <c r="B441" s="8">
        <v>44377</v>
      </c>
      <c r="C441" s="9">
        <v>521.04999999999995</v>
      </c>
      <c r="D441" s="8">
        <v>44469</v>
      </c>
      <c r="E441" s="9">
        <v>811.3</v>
      </c>
      <c r="F441" s="17">
        <v>55.7</v>
      </c>
      <c r="G441" s="11"/>
      <c r="H441" s="12">
        <f t="shared" si="9"/>
        <v>0.55704826792054507</v>
      </c>
      <c r="I441" s="13">
        <f t="shared" si="10"/>
        <v>111409.65358410901</v>
      </c>
      <c r="J441" s="13">
        <f t="shared" si="11"/>
        <v>111409.65358410901</v>
      </c>
      <c r="K441" s="13">
        <f t="shared" si="12"/>
        <v>0</v>
      </c>
      <c r="L441" s="13">
        <f t="shared" si="13"/>
        <v>4480418.8535771584</v>
      </c>
      <c r="M441" s="13">
        <f t="shared" si="14"/>
        <v>14480418.853577159</v>
      </c>
      <c r="N441" s="13">
        <f t="shared" si="15"/>
        <v>14480418.853577159</v>
      </c>
      <c r="O441" s="13">
        <f t="shared" si="16"/>
        <v>0</v>
      </c>
      <c r="P441" s="12">
        <f t="shared" si="17"/>
        <v>0</v>
      </c>
    </row>
    <row r="442" spans="1:16" ht="14.4" x14ac:dyDescent="0.3">
      <c r="A442" s="7" t="s">
        <v>444</v>
      </c>
      <c r="B442" s="8">
        <v>44377</v>
      </c>
      <c r="C442" s="9">
        <v>43.07</v>
      </c>
      <c r="D442" s="8">
        <v>44469</v>
      </c>
      <c r="E442" s="9">
        <v>40.94</v>
      </c>
      <c r="F442" s="17">
        <v>-4.95</v>
      </c>
      <c r="G442" s="11"/>
      <c r="H442" s="12">
        <f t="shared" si="9"/>
        <v>-4.945437659623874E-2</v>
      </c>
      <c r="I442" s="13">
        <f t="shared" si="10"/>
        <v>-9890.8753192477488</v>
      </c>
      <c r="J442" s="13">
        <f t="shared" si="11"/>
        <v>0</v>
      </c>
      <c r="K442" s="13">
        <f t="shared" si="12"/>
        <v>-9890.8753192477488</v>
      </c>
      <c r="L442" s="13">
        <f t="shared" si="13"/>
        <v>4470527.9782579103</v>
      </c>
      <c r="M442" s="13">
        <f t="shared" si="14"/>
        <v>14470527.978257909</v>
      </c>
      <c r="N442" s="13">
        <f t="shared" si="15"/>
        <v>14480418.853577159</v>
      </c>
      <c r="O442" s="13">
        <f t="shared" si="16"/>
        <v>-9890.875319249928</v>
      </c>
      <c r="P442" s="12">
        <f t="shared" si="17"/>
        <v>-6.8305174175307384E-4</v>
      </c>
    </row>
    <row r="443" spans="1:16" ht="14.4" x14ac:dyDescent="0.3">
      <c r="A443" s="7" t="s">
        <v>445</v>
      </c>
      <c r="B443" s="8">
        <v>44377</v>
      </c>
      <c r="C443" s="9">
        <v>90.9</v>
      </c>
      <c r="D443" s="8">
        <v>44469</v>
      </c>
      <c r="E443" s="9">
        <v>205.2</v>
      </c>
      <c r="F443" s="17">
        <v>125.74</v>
      </c>
      <c r="G443" s="11"/>
      <c r="H443" s="12">
        <f t="shared" si="9"/>
        <v>1.2574257425742572</v>
      </c>
      <c r="I443" s="13">
        <f t="shared" si="10"/>
        <v>251485.14851485143</v>
      </c>
      <c r="J443" s="13">
        <f t="shared" si="11"/>
        <v>251485.14851485143</v>
      </c>
      <c r="K443" s="13">
        <f t="shared" si="12"/>
        <v>0</v>
      </c>
      <c r="L443" s="13">
        <f t="shared" si="13"/>
        <v>4722013.1267727613</v>
      </c>
      <c r="M443" s="13">
        <f t="shared" si="14"/>
        <v>14722013.126772761</v>
      </c>
      <c r="N443" s="13">
        <f t="shared" si="15"/>
        <v>14722013.126772761</v>
      </c>
      <c r="O443" s="13">
        <f t="shared" si="16"/>
        <v>0</v>
      </c>
      <c r="P443" s="12">
        <f t="shared" si="17"/>
        <v>0</v>
      </c>
    </row>
    <row r="444" spans="1:16" ht="14.4" x14ac:dyDescent="0.3">
      <c r="A444" s="7" t="s">
        <v>446</v>
      </c>
      <c r="B444" s="8">
        <v>44377</v>
      </c>
      <c r="C444" s="9">
        <v>351.4</v>
      </c>
      <c r="D444" s="8">
        <v>44469</v>
      </c>
      <c r="E444" s="9">
        <v>411.25</v>
      </c>
      <c r="F444" s="17">
        <v>17.03</v>
      </c>
      <c r="G444" s="11"/>
      <c r="H444" s="12">
        <f t="shared" si="9"/>
        <v>0.17031872509960166</v>
      </c>
      <c r="I444" s="13">
        <f t="shared" si="10"/>
        <v>34063.74501992033</v>
      </c>
      <c r="J444" s="13">
        <f t="shared" si="11"/>
        <v>34063.74501992033</v>
      </c>
      <c r="K444" s="13">
        <f t="shared" si="12"/>
        <v>0</v>
      </c>
      <c r="L444" s="13">
        <f t="shared" si="13"/>
        <v>4756076.8717926815</v>
      </c>
      <c r="M444" s="13">
        <f t="shared" si="14"/>
        <v>14756076.871792682</v>
      </c>
      <c r="N444" s="13">
        <f t="shared" si="15"/>
        <v>14756076.871792682</v>
      </c>
      <c r="O444" s="13">
        <f t="shared" si="16"/>
        <v>0</v>
      </c>
      <c r="P444" s="12">
        <f t="shared" si="17"/>
        <v>0</v>
      </c>
    </row>
    <row r="445" spans="1:16" ht="14.4" x14ac:dyDescent="0.3">
      <c r="A445" s="7" t="s">
        <v>447</v>
      </c>
      <c r="B445" s="8">
        <v>44377</v>
      </c>
      <c r="C445" s="9">
        <v>259.2</v>
      </c>
      <c r="D445" s="8">
        <v>44469</v>
      </c>
      <c r="E445" s="9">
        <v>270.5</v>
      </c>
      <c r="F445" s="17">
        <v>4.3600000000000003</v>
      </c>
      <c r="G445" s="11"/>
      <c r="H445" s="12">
        <f t="shared" si="9"/>
        <v>4.3595679012345727E-2</v>
      </c>
      <c r="I445" s="13">
        <f t="shared" si="10"/>
        <v>8719.1358024691453</v>
      </c>
      <c r="J445" s="13">
        <f t="shared" si="11"/>
        <v>8719.1358024691453</v>
      </c>
      <c r="K445" s="13">
        <f t="shared" si="12"/>
        <v>0</v>
      </c>
      <c r="L445" s="13">
        <f t="shared" si="13"/>
        <v>4764796.0075951507</v>
      </c>
      <c r="M445" s="13">
        <f t="shared" si="14"/>
        <v>14764796.007595152</v>
      </c>
      <c r="N445" s="13">
        <f t="shared" si="15"/>
        <v>14764796.007595152</v>
      </c>
      <c r="O445" s="13">
        <f t="shared" si="16"/>
        <v>0</v>
      </c>
      <c r="P445" s="12">
        <f t="shared" si="17"/>
        <v>0</v>
      </c>
    </row>
    <row r="446" spans="1:16" ht="14.4" x14ac:dyDescent="0.3">
      <c r="A446" s="7" t="s">
        <v>98</v>
      </c>
      <c r="B446" s="8">
        <v>44377</v>
      </c>
      <c r="C446" s="9">
        <v>5429.9</v>
      </c>
      <c r="D446" s="8">
        <v>44469</v>
      </c>
      <c r="E446" s="9">
        <v>5583.5</v>
      </c>
      <c r="F446" s="17">
        <v>2.83</v>
      </c>
      <c r="G446" s="11"/>
      <c r="H446" s="12">
        <f t="shared" si="9"/>
        <v>2.8287813771892736E-2</v>
      </c>
      <c r="I446" s="13">
        <f t="shared" si="10"/>
        <v>5657.5627543785467</v>
      </c>
      <c r="J446" s="13">
        <f t="shared" si="11"/>
        <v>5657.5627543785467</v>
      </c>
      <c r="K446" s="13">
        <f t="shared" si="12"/>
        <v>0</v>
      </c>
      <c r="L446" s="13">
        <f t="shared" si="13"/>
        <v>4770453.5703495294</v>
      </c>
      <c r="M446" s="13">
        <f t="shared" si="14"/>
        <v>14770453.570349529</v>
      </c>
      <c r="N446" s="13">
        <f t="shared" si="15"/>
        <v>14770453.570349529</v>
      </c>
      <c r="O446" s="13">
        <f t="shared" si="16"/>
        <v>0</v>
      </c>
      <c r="P446" s="12">
        <f t="shared" si="17"/>
        <v>0</v>
      </c>
    </row>
    <row r="447" spans="1:16" ht="14.4" x14ac:dyDescent="0.3">
      <c r="A447" s="7" t="s">
        <v>448</v>
      </c>
      <c r="B447" s="8">
        <v>44377</v>
      </c>
      <c r="C447" s="9">
        <v>138</v>
      </c>
      <c r="D447" s="8">
        <v>44469</v>
      </c>
      <c r="E447" s="9">
        <v>120.1</v>
      </c>
      <c r="F447" s="17">
        <v>-12.97</v>
      </c>
      <c r="G447" s="11"/>
      <c r="H447" s="12">
        <f t="shared" si="9"/>
        <v>-0.12971014492753627</v>
      </c>
      <c r="I447" s="13">
        <f t="shared" si="10"/>
        <v>-25942.028985507255</v>
      </c>
      <c r="J447" s="13">
        <f t="shared" si="11"/>
        <v>0</v>
      </c>
      <c r="K447" s="13">
        <f t="shared" si="12"/>
        <v>-25942.028985507255</v>
      </c>
      <c r="L447" s="13">
        <f t="shared" si="13"/>
        <v>4744511.5413640225</v>
      </c>
      <c r="M447" s="13">
        <f t="shared" si="14"/>
        <v>14744511.541364022</v>
      </c>
      <c r="N447" s="13">
        <f t="shared" si="15"/>
        <v>14770453.570349529</v>
      </c>
      <c r="O447" s="13">
        <f t="shared" si="16"/>
        <v>-25942.028985507786</v>
      </c>
      <c r="P447" s="12">
        <f t="shared" si="17"/>
        <v>-1.7563461312782077E-3</v>
      </c>
    </row>
    <row r="448" spans="1:16" ht="14.4" x14ac:dyDescent="0.3">
      <c r="A448" s="7" t="s">
        <v>274</v>
      </c>
      <c r="B448" s="8">
        <v>44377</v>
      </c>
      <c r="C448" s="9">
        <v>42.46</v>
      </c>
      <c r="D448" s="8">
        <v>44469</v>
      </c>
      <c r="E448" s="9">
        <v>81.97</v>
      </c>
      <c r="F448" s="17">
        <v>93.05</v>
      </c>
      <c r="G448" s="11"/>
      <c r="H448" s="12">
        <f t="shared" si="9"/>
        <v>0.930522845030617</v>
      </c>
      <c r="I448" s="13">
        <f t="shared" si="10"/>
        <v>186104.56900612341</v>
      </c>
      <c r="J448" s="13">
        <f t="shared" si="11"/>
        <v>186104.56900612341</v>
      </c>
      <c r="K448" s="13">
        <f t="shared" si="12"/>
        <v>0</v>
      </c>
      <c r="L448" s="13">
        <f t="shared" si="13"/>
        <v>4930616.1103701461</v>
      </c>
      <c r="M448" s="13">
        <f t="shared" si="14"/>
        <v>14930616.110370146</v>
      </c>
      <c r="N448" s="13">
        <f t="shared" si="15"/>
        <v>14930616.110370146</v>
      </c>
      <c r="O448" s="13">
        <f t="shared" si="16"/>
        <v>0</v>
      </c>
      <c r="P448" s="12">
        <f t="shared" si="17"/>
        <v>0</v>
      </c>
    </row>
    <row r="449" spans="1:16" ht="14.4" x14ac:dyDescent="0.3">
      <c r="A449" s="7" t="s">
        <v>449</v>
      </c>
      <c r="B449" s="8">
        <v>44377</v>
      </c>
      <c r="C449" s="9">
        <v>35.82</v>
      </c>
      <c r="D449" s="8">
        <v>44469</v>
      </c>
      <c r="E449" s="9">
        <v>50.55</v>
      </c>
      <c r="F449" s="17">
        <v>41.12</v>
      </c>
      <c r="G449" s="11"/>
      <c r="H449" s="12">
        <f t="shared" si="9"/>
        <v>0.41122278056951417</v>
      </c>
      <c r="I449" s="13">
        <f t="shared" si="10"/>
        <v>82244.556113902829</v>
      </c>
      <c r="J449" s="13">
        <f t="shared" si="11"/>
        <v>82244.556113902829</v>
      </c>
      <c r="K449" s="13">
        <f t="shared" si="12"/>
        <v>0</v>
      </c>
      <c r="L449" s="13">
        <f t="shared" si="13"/>
        <v>5012860.6664840486</v>
      </c>
      <c r="M449" s="13">
        <f t="shared" si="14"/>
        <v>15012860.666484049</v>
      </c>
      <c r="N449" s="13">
        <f t="shared" si="15"/>
        <v>15012860.666484049</v>
      </c>
      <c r="O449" s="13">
        <f t="shared" si="16"/>
        <v>0</v>
      </c>
      <c r="P449" s="12">
        <f t="shared" si="17"/>
        <v>0</v>
      </c>
    </row>
    <row r="450" spans="1:16" ht="14.4" x14ac:dyDescent="0.3">
      <c r="A450" s="7" t="s">
        <v>450</v>
      </c>
      <c r="B450" s="8">
        <v>44377</v>
      </c>
      <c r="C450" s="9">
        <v>33.049999999999997</v>
      </c>
      <c r="D450" s="8">
        <v>44469</v>
      </c>
      <c r="E450" s="9">
        <v>33.380000000000003</v>
      </c>
      <c r="F450" s="17">
        <v>1</v>
      </c>
      <c r="G450" s="11"/>
      <c r="H450" s="12">
        <f t="shared" si="9"/>
        <v>9.9848714069593163E-3</v>
      </c>
      <c r="I450" s="13">
        <f t="shared" si="10"/>
        <v>1996.9742813918633</v>
      </c>
      <c r="J450" s="13">
        <f t="shared" si="11"/>
        <v>1996.9742813918633</v>
      </c>
      <c r="K450" s="13">
        <f t="shared" si="12"/>
        <v>0</v>
      </c>
      <c r="L450" s="13">
        <f t="shared" si="13"/>
        <v>5014857.6407654407</v>
      </c>
      <c r="M450" s="13">
        <f t="shared" si="14"/>
        <v>15014857.64076544</v>
      </c>
      <c r="N450" s="13">
        <f t="shared" si="15"/>
        <v>15014857.64076544</v>
      </c>
      <c r="O450" s="13">
        <f t="shared" si="16"/>
        <v>0</v>
      </c>
      <c r="P450" s="12">
        <f t="shared" si="17"/>
        <v>0</v>
      </c>
    </row>
    <row r="451" spans="1:16" ht="14.4" x14ac:dyDescent="0.3">
      <c r="A451" s="7" t="s">
        <v>227</v>
      </c>
      <c r="B451" s="8">
        <v>44377</v>
      </c>
      <c r="C451" s="9">
        <v>36.950000000000003</v>
      </c>
      <c r="D451" s="8">
        <v>44469</v>
      </c>
      <c r="E451" s="9">
        <v>38.75</v>
      </c>
      <c r="F451" s="17">
        <v>4.87</v>
      </c>
      <c r="G451" s="11"/>
      <c r="H451" s="12">
        <f t="shared" si="9"/>
        <v>4.8714479025710342E-2</v>
      </c>
      <c r="I451" s="13">
        <f t="shared" si="10"/>
        <v>9742.8958051420686</v>
      </c>
      <c r="J451" s="13">
        <f t="shared" si="11"/>
        <v>9742.8958051420686</v>
      </c>
      <c r="K451" s="13">
        <f t="shared" si="12"/>
        <v>0</v>
      </c>
      <c r="L451" s="13">
        <f t="shared" si="13"/>
        <v>5024600.5365705825</v>
      </c>
      <c r="M451" s="13">
        <f t="shared" si="14"/>
        <v>15024600.536570583</v>
      </c>
      <c r="N451" s="13">
        <f t="shared" si="15"/>
        <v>15024600.536570583</v>
      </c>
      <c r="O451" s="13">
        <f t="shared" si="16"/>
        <v>0</v>
      </c>
      <c r="P451" s="12">
        <f t="shared" si="17"/>
        <v>0</v>
      </c>
    </row>
    <row r="452" spans="1:16" ht="14.4" x14ac:dyDescent="0.3">
      <c r="A452" s="7" t="s">
        <v>451</v>
      </c>
      <c r="B452" s="8">
        <v>44377</v>
      </c>
      <c r="C452" s="9">
        <v>136.93</v>
      </c>
      <c r="D452" s="8">
        <v>44469</v>
      </c>
      <c r="E452" s="9">
        <v>141.25</v>
      </c>
      <c r="F452" s="17">
        <v>3.15</v>
      </c>
      <c r="G452" s="11"/>
      <c r="H452" s="12">
        <f t="shared" si="9"/>
        <v>3.1548966625282941E-2</v>
      </c>
      <c r="I452" s="13">
        <f t="shared" si="10"/>
        <v>6309.7933250565884</v>
      </c>
      <c r="J452" s="13">
        <f t="shared" si="11"/>
        <v>6309.7933250565884</v>
      </c>
      <c r="K452" s="13">
        <f t="shared" si="12"/>
        <v>0</v>
      </c>
      <c r="L452" s="13">
        <f t="shared" si="13"/>
        <v>5030910.3298956389</v>
      </c>
      <c r="M452" s="13">
        <f t="shared" si="14"/>
        <v>15030910.329895638</v>
      </c>
      <c r="N452" s="13">
        <f t="shared" si="15"/>
        <v>15030910.329895638</v>
      </c>
      <c r="O452" s="13">
        <f t="shared" si="16"/>
        <v>0</v>
      </c>
      <c r="P452" s="12">
        <f t="shared" si="17"/>
        <v>0</v>
      </c>
    </row>
    <row r="453" spans="1:16" ht="14.4" x14ac:dyDescent="0.3">
      <c r="A453" s="7" t="s">
        <v>452</v>
      </c>
      <c r="B453" s="8">
        <v>44377</v>
      </c>
      <c r="C453" s="9">
        <v>120.5</v>
      </c>
      <c r="D453" s="8">
        <v>44469</v>
      </c>
      <c r="E453" s="9">
        <v>112.85</v>
      </c>
      <c r="F453" s="17">
        <v>-6.35</v>
      </c>
      <c r="G453" s="11"/>
      <c r="H453" s="12">
        <f t="shared" si="9"/>
        <v>-6.3485477178423289E-2</v>
      </c>
      <c r="I453" s="13">
        <f t="shared" si="10"/>
        <v>-12697.095435684658</v>
      </c>
      <c r="J453" s="13">
        <f t="shared" si="11"/>
        <v>0</v>
      </c>
      <c r="K453" s="13">
        <f t="shared" si="12"/>
        <v>-12697.095435684658</v>
      </c>
      <c r="L453" s="13">
        <f t="shared" si="13"/>
        <v>5018213.2344599543</v>
      </c>
      <c r="M453" s="13">
        <f t="shared" si="14"/>
        <v>15018213.234459955</v>
      </c>
      <c r="N453" s="13">
        <f t="shared" si="15"/>
        <v>15030910.329895638</v>
      </c>
      <c r="O453" s="13">
        <f t="shared" si="16"/>
        <v>-12697.095435682684</v>
      </c>
      <c r="P453" s="12">
        <f t="shared" si="17"/>
        <v>-8.4473229877693261E-4</v>
      </c>
    </row>
    <row r="454" spans="1:16" ht="14.4" x14ac:dyDescent="0.3">
      <c r="A454" s="7" t="s">
        <v>453</v>
      </c>
      <c r="B454" s="8">
        <v>44377</v>
      </c>
      <c r="C454" s="9">
        <v>539.35</v>
      </c>
      <c r="D454" s="8">
        <v>44469</v>
      </c>
      <c r="E454" s="9">
        <v>618.79999999999995</v>
      </c>
      <c r="F454" s="17">
        <v>14.73</v>
      </c>
      <c r="G454" s="11"/>
      <c r="H454" s="12">
        <f t="shared" si="9"/>
        <v>0.14730694354315366</v>
      </c>
      <c r="I454" s="13">
        <f t="shared" si="10"/>
        <v>29461.38870863073</v>
      </c>
      <c r="J454" s="13">
        <f t="shared" si="11"/>
        <v>29461.38870863073</v>
      </c>
      <c r="K454" s="13">
        <f t="shared" si="12"/>
        <v>0</v>
      </c>
      <c r="L454" s="13">
        <f t="shared" si="13"/>
        <v>5047674.6231685849</v>
      </c>
      <c r="M454" s="13">
        <f t="shared" si="14"/>
        <v>15047674.623168584</v>
      </c>
      <c r="N454" s="13">
        <f t="shared" si="15"/>
        <v>15047674.623168584</v>
      </c>
      <c r="O454" s="13">
        <f t="shared" si="16"/>
        <v>0</v>
      </c>
      <c r="P454" s="12">
        <f t="shared" si="17"/>
        <v>0</v>
      </c>
    </row>
    <row r="455" spans="1:16" ht="14.4" x14ac:dyDescent="0.3">
      <c r="A455" s="7" t="s">
        <v>454</v>
      </c>
      <c r="B455" s="8">
        <v>44377</v>
      </c>
      <c r="C455" s="9">
        <v>32.28</v>
      </c>
      <c r="D455" s="8">
        <v>44469</v>
      </c>
      <c r="E455" s="9">
        <v>65.8</v>
      </c>
      <c r="F455" s="17">
        <v>103.84</v>
      </c>
      <c r="G455" s="11"/>
      <c r="H455" s="12">
        <f t="shared" si="9"/>
        <v>1.0384138785625774</v>
      </c>
      <c r="I455" s="13">
        <f t="shared" si="10"/>
        <v>207682.77571251549</v>
      </c>
      <c r="J455" s="13">
        <f t="shared" si="11"/>
        <v>207682.77571251549</v>
      </c>
      <c r="K455" s="13">
        <f t="shared" si="12"/>
        <v>0</v>
      </c>
      <c r="L455" s="13">
        <f t="shared" si="13"/>
        <v>5255357.3988811001</v>
      </c>
      <c r="M455" s="13">
        <f t="shared" si="14"/>
        <v>15255357.3988811</v>
      </c>
      <c r="N455" s="13">
        <f t="shared" si="15"/>
        <v>15255357.3988811</v>
      </c>
      <c r="O455" s="13">
        <f t="shared" si="16"/>
        <v>0</v>
      </c>
      <c r="P455" s="12">
        <f t="shared" si="17"/>
        <v>0</v>
      </c>
    </row>
    <row r="456" spans="1:16" ht="14.4" x14ac:dyDescent="0.3">
      <c r="A456" s="7" t="s">
        <v>455</v>
      </c>
      <c r="B456" s="8">
        <v>44377</v>
      </c>
      <c r="C456" s="9">
        <v>1439.05</v>
      </c>
      <c r="D456" s="8">
        <v>44469</v>
      </c>
      <c r="E456" s="9">
        <v>1543.4</v>
      </c>
      <c r="F456" s="17">
        <v>7.25</v>
      </c>
      <c r="G456" s="11"/>
      <c r="H456" s="12">
        <f t="shared" si="9"/>
        <v>7.2513116291998289E-2</v>
      </c>
      <c r="I456" s="13">
        <f t="shared" si="10"/>
        <v>14502.623258399657</v>
      </c>
      <c r="J456" s="13">
        <f t="shared" si="11"/>
        <v>14502.623258399657</v>
      </c>
      <c r="K456" s="13">
        <f t="shared" si="12"/>
        <v>0</v>
      </c>
      <c r="L456" s="13">
        <f t="shared" si="13"/>
        <v>5269860.0221394999</v>
      </c>
      <c r="M456" s="13">
        <f t="shared" si="14"/>
        <v>15269860.022139501</v>
      </c>
      <c r="N456" s="13">
        <f t="shared" si="15"/>
        <v>15269860.022139501</v>
      </c>
      <c r="O456" s="13">
        <f t="shared" si="16"/>
        <v>0</v>
      </c>
      <c r="P456" s="12">
        <f t="shared" si="17"/>
        <v>0</v>
      </c>
    </row>
    <row r="457" spans="1:16" ht="14.4" x14ac:dyDescent="0.3">
      <c r="A457" s="7" t="s">
        <v>456</v>
      </c>
      <c r="B457" s="8">
        <v>44377</v>
      </c>
      <c r="C457" s="9">
        <v>634.15</v>
      </c>
      <c r="D457" s="8">
        <v>44469</v>
      </c>
      <c r="E457" s="9">
        <v>640</v>
      </c>
      <c r="F457" s="17">
        <v>0.92</v>
      </c>
      <c r="G457" s="11"/>
      <c r="H457" s="12">
        <f t="shared" si="9"/>
        <v>9.2249467791532327E-3</v>
      </c>
      <c r="I457" s="13">
        <f t="shared" si="10"/>
        <v>1844.9893558306464</v>
      </c>
      <c r="J457" s="13">
        <f t="shared" si="11"/>
        <v>1844.9893558306464</v>
      </c>
      <c r="K457" s="13">
        <f t="shared" si="12"/>
        <v>0</v>
      </c>
      <c r="L457" s="13">
        <f t="shared" si="13"/>
        <v>5271705.0114953304</v>
      </c>
      <c r="M457" s="13">
        <f t="shared" si="14"/>
        <v>15271705.011495329</v>
      </c>
      <c r="N457" s="13">
        <f t="shared" si="15"/>
        <v>15271705.011495329</v>
      </c>
      <c r="O457" s="13">
        <f t="shared" si="16"/>
        <v>0</v>
      </c>
      <c r="P457" s="12">
        <f t="shared" si="17"/>
        <v>0</v>
      </c>
    </row>
    <row r="458" spans="1:16" ht="14.4" x14ac:dyDescent="0.3">
      <c r="A458" s="7" t="s">
        <v>457</v>
      </c>
      <c r="B458" s="8">
        <v>44377</v>
      </c>
      <c r="C458" s="9">
        <v>47</v>
      </c>
      <c r="D458" s="8">
        <v>44469</v>
      </c>
      <c r="E458" s="9">
        <v>36.25</v>
      </c>
      <c r="F458" s="17">
        <v>-22.87</v>
      </c>
      <c r="G458" s="11"/>
      <c r="H458" s="12">
        <f t="shared" si="9"/>
        <v>-0.22872340425531915</v>
      </c>
      <c r="I458" s="13">
        <f t="shared" si="10"/>
        <v>-45744.680851063829</v>
      </c>
      <c r="J458" s="13">
        <f t="shared" si="11"/>
        <v>0</v>
      </c>
      <c r="K458" s="13">
        <f t="shared" si="12"/>
        <v>-45744.680851063829</v>
      </c>
      <c r="L458" s="13">
        <f t="shared" si="13"/>
        <v>5225960.3306442667</v>
      </c>
      <c r="M458" s="13">
        <f t="shared" si="14"/>
        <v>15225960.330644267</v>
      </c>
      <c r="N458" s="13">
        <f t="shared" si="15"/>
        <v>15271705.011495329</v>
      </c>
      <c r="O458" s="13">
        <f t="shared" si="16"/>
        <v>-45744.68085106276</v>
      </c>
      <c r="P458" s="12">
        <f t="shared" si="17"/>
        <v>-2.9953879292868601E-3</v>
      </c>
    </row>
    <row r="459" spans="1:16" ht="14.4" x14ac:dyDescent="0.3">
      <c r="A459" s="7" t="s">
        <v>356</v>
      </c>
      <c r="B459" s="8">
        <v>44377</v>
      </c>
      <c r="C459" s="9">
        <v>468</v>
      </c>
      <c r="D459" s="8">
        <v>44469</v>
      </c>
      <c r="E459" s="9">
        <v>476.5</v>
      </c>
      <c r="F459" s="17">
        <v>1.82</v>
      </c>
      <c r="G459" s="11"/>
      <c r="H459" s="12">
        <f t="shared" si="9"/>
        <v>1.8162393162393164E-2</v>
      </c>
      <c r="I459" s="13">
        <f t="shared" si="10"/>
        <v>3632.4786324786328</v>
      </c>
      <c r="J459" s="13">
        <f t="shared" si="11"/>
        <v>3632.4786324786328</v>
      </c>
      <c r="K459" s="13">
        <f t="shared" si="12"/>
        <v>0</v>
      </c>
      <c r="L459" s="13">
        <f t="shared" si="13"/>
        <v>5229592.8092767457</v>
      </c>
      <c r="M459" s="13">
        <f t="shared" si="14"/>
        <v>15229592.809276745</v>
      </c>
      <c r="N459" s="13">
        <f t="shared" si="15"/>
        <v>15271705.011495329</v>
      </c>
      <c r="O459" s="13">
        <f t="shared" si="16"/>
        <v>-42112.202218584716</v>
      </c>
      <c r="P459" s="12">
        <f t="shared" si="17"/>
        <v>-2.7575311457945259E-3</v>
      </c>
    </row>
    <row r="460" spans="1:16" ht="14.4" x14ac:dyDescent="0.3">
      <c r="A460" s="7" t="s">
        <v>458</v>
      </c>
      <c r="B460" s="8">
        <v>44377</v>
      </c>
      <c r="C460" s="9">
        <v>1975.05</v>
      </c>
      <c r="D460" s="8">
        <v>44469</v>
      </c>
      <c r="E460" s="9">
        <v>2389</v>
      </c>
      <c r="F460" s="17">
        <v>20.96</v>
      </c>
      <c r="G460" s="11"/>
      <c r="H460" s="12">
        <f t="shared" si="9"/>
        <v>0.20958963064226224</v>
      </c>
      <c r="I460" s="13">
        <f t="shared" si="10"/>
        <v>41917.926128452447</v>
      </c>
      <c r="J460" s="13">
        <f t="shared" si="11"/>
        <v>41917.926128452447</v>
      </c>
      <c r="K460" s="13">
        <f t="shared" si="12"/>
        <v>0</v>
      </c>
      <c r="L460" s="13">
        <f t="shared" si="13"/>
        <v>5271510.7354051983</v>
      </c>
      <c r="M460" s="13">
        <f t="shared" si="14"/>
        <v>15271510.735405199</v>
      </c>
      <c r="N460" s="13">
        <f t="shared" si="15"/>
        <v>15271705.011495329</v>
      </c>
      <c r="O460" s="13">
        <f t="shared" si="16"/>
        <v>-194.27609013020992</v>
      </c>
      <c r="P460" s="12">
        <f t="shared" si="17"/>
        <v>-1.2721309767571746E-5</v>
      </c>
    </row>
    <row r="461" spans="1:16" ht="14.4" x14ac:dyDescent="0.3">
      <c r="A461" s="7" t="s">
        <v>459</v>
      </c>
      <c r="B461" s="8">
        <v>44286</v>
      </c>
      <c r="C461" s="9">
        <v>180.2</v>
      </c>
      <c r="D461" s="8">
        <v>44377</v>
      </c>
      <c r="E461" s="9">
        <v>200.96</v>
      </c>
      <c r="F461" s="17">
        <v>11.52</v>
      </c>
      <c r="G461" s="11"/>
      <c r="H461" s="12">
        <f t="shared" si="9"/>
        <v>0.11520532741398458</v>
      </c>
      <c r="I461" s="13">
        <f t="shared" si="10"/>
        <v>23041.065482796916</v>
      </c>
      <c r="J461" s="13">
        <f t="shared" si="11"/>
        <v>23041.065482796916</v>
      </c>
      <c r="K461" s="13">
        <f t="shared" si="12"/>
        <v>0</v>
      </c>
      <c r="L461" s="13">
        <f t="shared" si="13"/>
        <v>5294551.8008879954</v>
      </c>
      <c r="M461" s="13">
        <f t="shared" si="14"/>
        <v>15294551.800887994</v>
      </c>
      <c r="N461" s="13">
        <f t="shared" si="15"/>
        <v>15294551.800887994</v>
      </c>
      <c r="O461" s="13">
        <f t="shared" si="16"/>
        <v>0</v>
      </c>
      <c r="P461" s="12">
        <f t="shared" si="17"/>
        <v>0</v>
      </c>
    </row>
    <row r="462" spans="1:16" ht="14.4" x14ac:dyDescent="0.3">
      <c r="A462" s="7" t="s">
        <v>460</v>
      </c>
      <c r="B462" s="8">
        <v>44286</v>
      </c>
      <c r="C462" s="9">
        <v>2570.4499999999998</v>
      </c>
      <c r="D462" s="8">
        <v>44377</v>
      </c>
      <c r="E462" s="9">
        <v>2674.65</v>
      </c>
      <c r="F462" s="17">
        <v>4.05</v>
      </c>
      <c r="G462" s="11"/>
      <c r="H462" s="12">
        <f t="shared" si="9"/>
        <v>4.0537649049777386E-2</v>
      </c>
      <c r="I462" s="13">
        <f t="shared" si="10"/>
        <v>8107.5298099554775</v>
      </c>
      <c r="J462" s="13">
        <f t="shared" si="11"/>
        <v>8107.5298099554775</v>
      </c>
      <c r="K462" s="13">
        <f t="shared" si="12"/>
        <v>0</v>
      </c>
      <c r="L462" s="13">
        <f t="shared" si="13"/>
        <v>5302659.3306979509</v>
      </c>
      <c r="M462" s="13">
        <f t="shared" si="14"/>
        <v>15302659.33069795</v>
      </c>
      <c r="N462" s="13">
        <f t="shared" si="15"/>
        <v>15302659.33069795</v>
      </c>
      <c r="O462" s="13">
        <f t="shared" si="16"/>
        <v>0</v>
      </c>
      <c r="P462" s="12">
        <f t="shared" si="17"/>
        <v>0</v>
      </c>
    </row>
    <row r="463" spans="1:16" ht="14.4" x14ac:dyDescent="0.3">
      <c r="A463" s="7" t="s">
        <v>461</v>
      </c>
      <c r="B463" s="8">
        <v>44286</v>
      </c>
      <c r="C463" s="9">
        <v>110.06</v>
      </c>
      <c r="D463" s="8">
        <v>44377</v>
      </c>
      <c r="E463" s="9">
        <v>109.45</v>
      </c>
      <c r="F463" s="17">
        <v>-0.55000000000000004</v>
      </c>
      <c r="G463" s="11"/>
      <c r="H463" s="12">
        <f t="shared" si="9"/>
        <v>-5.5424314010539657E-3</v>
      </c>
      <c r="I463" s="13">
        <f t="shared" si="10"/>
        <v>-1108.4862802107932</v>
      </c>
      <c r="J463" s="13">
        <f t="shared" si="11"/>
        <v>0</v>
      </c>
      <c r="K463" s="13">
        <f t="shared" si="12"/>
        <v>-1108.4862802107932</v>
      </c>
      <c r="L463" s="13">
        <f t="shared" si="13"/>
        <v>5301550.8444177397</v>
      </c>
      <c r="M463" s="13">
        <f t="shared" si="14"/>
        <v>15301550.84441774</v>
      </c>
      <c r="N463" s="13">
        <f t="shared" si="15"/>
        <v>15302659.33069795</v>
      </c>
      <c r="O463" s="13">
        <f t="shared" si="16"/>
        <v>-1108.4862802103162</v>
      </c>
      <c r="P463" s="12">
        <f t="shared" si="17"/>
        <v>-7.2437493134715067E-5</v>
      </c>
    </row>
    <row r="464" spans="1:16" ht="14.4" x14ac:dyDescent="0.3">
      <c r="A464" s="7" t="s">
        <v>462</v>
      </c>
      <c r="B464" s="8">
        <v>44286</v>
      </c>
      <c r="C464" s="9">
        <v>8.34</v>
      </c>
      <c r="D464" s="8">
        <v>44377</v>
      </c>
      <c r="E464" s="9">
        <v>9.9</v>
      </c>
      <c r="F464" s="17">
        <v>18.71</v>
      </c>
      <c r="G464" s="11"/>
      <c r="H464" s="12">
        <f t="shared" si="9"/>
        <v>0.18705035971223027</v>
      </c>
      <c r="I464" s="13">
        <f t="shared" si="10"/>
        <v>37410.071942446055</v>
      </c>
      <c r="J464" s="13">
        <f t="shared" si="11"/>
        <v>37410.071942446055</v>
      </c>
      <c r="K464" s="13">
        <f t="shared" si="12"/>
        <v>0</v>
      </c>
      <c r="L464" s="13">
        <f t="shared" si="13"/>
        <v>5338960.9163601855</v>
      </c>
      <c r="M464" s="13">
        <f t="shared" si="14"/>
        <v>15338960.916360185</v>
      </c>
      <c r="N464" s="13">
        <f t="shared" si="15"/>
        <v>15338960.916360185</v>
      </c>
      <c r="O464" s="13">
        <f t="shared" si="16"/>
        <v>0</v>
      </c>
      <c r="P464" s="12">
        <f t="shared" si="17"/>
        <v>0</v>
      </c>
    </row>
    <row r="465" spans="1:16" ht="14.4" x14ac:dyDescent="0.3">
      <c r="A465" s="7" t="s">
        <v>463</v>
      </c>
      <c r="B465" s="8">
        <v>44286</v>
      </c>
      <c r="C465" s="9">
        <v>4.97</v>
      </c>
      <c r="D465" s="8">
        <v>44377</v>
      </c>
      <c r="E465" s="9">
        <v>6.4</v>
      </c>
      <c r="F465" s="17">
        <v>28.77</v>
      </c>
      <c r="G465" s="11"/>
      <c r="H465" s="12">
        <f t="shared" si="9"/>
        <v>0.28772635814889347</v>
      </c>
      <c r="I465" s="13">
        <f t="shared" si="10"/>
        <v>57545.27162977869</v>
      </c>
      <c r="J465" s="13">
        <f t="shared" si="11"/>
        <v>57545.27162977869</v>
      </c>
      <c r="K465" s="13">
        <f t="shared" si="12"/>
        <v>0</v>
      </c>
      <c r="L465" s="13">
        <f t="shared" si="13"/>
        <v>5396506.1879899641</v>
      </c>
      <c r="M465" s="13">
        <f t="shared" si="14"/>
        <v>15396506.187989965</v>
      </c>
      <c r="N465" s="13">
        <f t="shared" si="15"/>
        <v>15396506.187989965</v>
      </c>
      <c r="O465" s="13">
        <f t="shared" si="16"/>
        <v>0</v>
      </c>
      <c r="P465" s="12">
        <f t="shared" si="17"/>
        <v>0</v>
      </c>
    </row>
    <row r="466" spans="1:16" ht="14.4" x14ac:dyDescent="0.3">
      <c r="A466" s="7" t="s">
        <v>464</v>
      </c>
      <c r="B466" s="8">
        <v>44286</v>
      </c>
      <c r="C466" s="9">
        <v>9.3000000000000007</v>
      </c>
      <c r="D466" s="8">
        <v>44377</v>
      </c>
      <c r="E466" s="9">
        <v>11.53</v>
      </c>
      <c r="F466" s="17">
        <v>23.98</v>
      </c>
      <c r="G466" s="11"/>
      <c r="H466" s="12">
        <f t="shared" si="9"/>
        <v>0.23978494623655897</v>
      </c>
      <c r="I466" s="13">
        <f t="shared" si="10"/>
        <v>47956.989247311794</v>
      </c>
      <c r="J466" s="13">
        <f t="shared" si="11"/>
        <v>47956.989247311794</v>
      </c>
      <c r="K466" s="13">
        <f t="shared" si="12"/>
        <v>0</v>
      </c>
      <c r="L466" s="13">
        <f t="shared" si="13"/>
        <v>5444463.177237276</v>
      </c>
      <c r="M466" s="13">
        <f t="shared" si="14"/>
        <v>15444463.177237276</v>
      </c>
      <c r="N466" s="13">
        <f t="shared" si="15"/>
        <v>15444463.177237276</v>
      </c>
      <c r="O466" s="13">
        <f t="shared" si="16"/>
        <v>0</v>
      </c>
      <c r="P466" s="12">
        <f t="shared" si="17"/>
        <v>0</v>
      </c>
    </row>
    <row r="467" spans="1:16" ht="14.4" x14ac:dyDescent="0.3">
      <c r="A467" s="7" t="s">
        <v>24</v>
      </c>
      <c r="B467" s="8">
        <v>44104</v>
      </c>
      <c r="C467" s="9">
        <v>696.5</v>
      </c>
      <c r="D467" s="8">
        <v>44286</v>
      </c>
      <c r="E467" s="9">
        <v>874.35</v>
      </c>
      <c r="F467" s="17">
        <v>25.53</v>
      </c>
      <c r="G467" s="11"/>
      <c r="H467" s="12">
        <f t="shared" si="9"/>
        <v>0.25534816941852123</v>
      </c>
      <c r="I467" s="13">
        <f t="shared" si="10"/>
        <v>51069.633883704249</v>
      </c>
      <c r="J467" s="13">
        <f t="shared" si="11"/>
        <v>51069.633883704249</v>
      </c>
      <c r="K467" s="13">
        <f t="shared" si="12"/>
        <v>0</v>
      </c>
      <c r="L467" s="13">
        <f t="shared" si="13"/>
        <v>5495532.8111209804</v>
      </c>
      <c r="M467" s="13">
        <f t="shared" si="14"/>
        <v>15495532.811120979</v>
      </c>
      <c r="N467" s="13">
        <f t="shared" si="15"/>
        <v>15495532.811120979</v>
      </c>
      <c r="O467" s="13">
        <f t="shared" si="16"/>
        <v>0</v>
      </c>
      <c r="P467" s="12">
        <f t="shared" si="17"/>
        <v>0</v>
      </c>
    </row>
    <row r="468" spans="1:16" ht="14.4" x14ac:dyDescent="0.3">
      <c r="A468" s="7" t="s">
        <v>465</v>
      </c>
      <c r="B468" s="8">
        <v>44196</v>
      </c>
      <c r="C468" s="9">
        <v>1101.5999999999999</v>
      </c>
      <c r="D468" s="8">
        <v>44286</v>
      </c>
      <c r="E468" s="9">
        <v>1102.7</v>
      </c>
      <c r="F468" s="17">
        <v>0.1</v>
      </c>
      <c r="G468" s="11"/>
      <c r="H468" s="12">
        <f t="shared" si="9"/>
        <v>9.9854756717514216E-4</v>
      </c>
      <c r="I468" s="13">
        <f t="shared" si="10"/>
        <v>199.70951343502844</v>
      </c>
      <c r="J468" s="13">
        <f t="shared" si="11"/>
        <v>199.70951343502844</v>
      </c>
      <c r="K468" s="13">
        <f t="shared" si="12"/>
        <v>0</v>
      </c>
      <c r="L468" s="13">
        <f t="shared" si="13"/>
        <v>5495732.5206344156</v>
      </c>
      <c r="M468" s="13">
        <f t="shared" si="14"/>
        <v>15495732.520634416</v>
      </c>
      <c r="N468" s="13">
        <f t="shared" si="15"/>
        <v>15495732.520634416</v>
      </c>
      <c r="O468" s="13">
        <f t="shared" si="16"/>
        <v>0</v>
      </c>
      <c r="P468" s="12">
        <f t="shared" si="17"/>
        <v>0</v>
      </c>
    </row>
    <row r="469" spans="1:16" ht="14.4" x14ac:dyDescent="0.3">
      <c r="A469" s="7" t="s">
        <v>466</v>
      </c>
      <c r="B469" s="8">
        <v>44196</v>
      </c>
      <c r="C469" s="9">
        <v>62.05</v>
      </c>
      <c r="D469" s="8">
        <v>44286</v>
      </c>
      <c r="E469" s="9">
        <v>35.5</v>
      </c>
      <c r="F469" s="17">
        <v>-42.79</v>
      </c>
      <c r="G469" s="11"/>
      <c r="H469" s="12">
        <f t="shared" si="9"/>
        <v>-0.42788074133763093</v>
      </c>
      <c r="I469" s="13">
        <f t="shared" si="10"/>
        <v>-85576.14826752618</v>
      </c>
      <c r="J469" s="13">
        <f t="shared" si="11"/>
        <v>0</v>
      </c>
      <c r="K469" s="13">
        <f t="shared" si="12"/>
        <v>-85576.14826752618</v>
      </c>
      <c r="L469" s="13">
        <f t="shared" si="13"/>
        <v>5410156.3723668894</v>
      </c>
      <c r="M469" s="13">
        <f t="shared" si="14"/>
        <v>15410156.37236689</v>
      </c>
      <c r="N469" s="13">
        <f t="shared" si="15"/>
        <v>15495732.520634416</v>
      </c>
      <c r="O469" s="13">
        <f t="shared" si="16"/>
        <v>-85576.14826752618</v>
      </c>
      <c r="P469" s="12">
        <f t="shared" si="17"/>
        <v>-5.5225623024643287E-3</v>
      </c>
    </row>
    <row r="470" spans="1:16" ht="14.4" x14ac:dyDescent="0.3">
      <c r="A470" s="7" t="s">
        <v>216</v>
      </c>
      <c r="B470" s="8">
        <v>44196</v>
      </c>
      <c r="C470" s="9">
        <v>232.85</v>
      </c>
      <c r="D470" s="8">
        <v>44286</v>
      </c>
      <c r="E470" s="9">
        <v>287.05</v>
      </c>
      <c r="F470" s="17">
        <v>23.28</v>
      </c>
      <c r="G470" s="11"/>
      <c r="H470" s="12">
        <f t="shared" si="9"/>
        <v>0.23276787631522447</v>
      </c>
      <c r="I470" s="13">
        <f t="shared" si="10"/>
        <v>46553.575263044891</v>
      </c>
      <c r="J470" s="13">
        <f t="shared" si="11"/>
        <v>46553.575263044891</v>
      </c>
      <c r="K470" s="13">
        <f t="shared" si="12"/>
        <v>0</v>
      </c>
      <c r="L470" s="13">
        <f t="shared" si="13"/>
        <v>5456709.9476299342</v>
      </c>
      <c r="M470" s="13">
        <f t="shared" si="14"/>
        <v>15456709.947629934</v>
      </c>
      <c r="N470" s="13">
        <f t="shared" si="15"/>
        <v>15495732.520634416</v>
      </c>
      <c r="O470" s="13">
        <f t="shared" si="16"/>
        <v>-39022.573004482314</v>
      </c>
      <c r="P470" s="12">
        <f t="shared" si="17"/>
        <v>-2.5182786907633507E-3</v>
      </c>
    </row>
    <row r="471" spans="1:16" ht="14.4" x14ac:dyDescent="0.3">
      <c r="A471" s="7" t="s">
        <v>467</v>
      </c>
      <c r="B471" s="8">
        <v>44196</v>
      </c>
      <c r="C471" s="9">
        <v>956.25</v>
      </c>
      <c r="D471" s="8">
        <v>44286</v>
      </c>
      <c r="E471" s="9">
        <v>1218</v>
      </c>
      <c r="F471" s="17">
        <v>27.37</v>
      </c>
      <c r="G471" s="11"/>
      <c r="H471" s="12">
        <f t="shared" si="9"/>
        <v>0.27372549019607845</v>
      </c>
      <c r="I471" s="13">
        <f t="shared" si="10"/>
        <v>54745.098039215693</v>
      </c>
      <c r="J471" s="13">
        <f t="shared" si="11"/>
        <v>54745.098039215693</v>
      </c>
      <c r="K471" s="13">
        <f t="shared" si="12"/>
        <v>0</v>
      </c>
      <c r="L471" s="13">
        <f t="shared" si="13"/>
        <v>5511455.0456691496</v>
      </c>
      <c r="M471" s="13">
        <f t="shared" si="14"/>
        <v>15511455.04566915</v>
      </c>
      <c r="N471" s="13">
        <f t="shared" si="15"/>
        <v>15511455.04566915</v>
      </c>
      <c r="O471" s="13">
        <f t="shared" si="16"/>
        <v>0</v>
      </c>
      <c r="P471" s="12">
        <f t="shared" si="17"/>
        <v>0</v>
      </c>
    </row>
    <row r="472" spans="1:16" ht="14.4" x14ac:dyDescent="0.3">
      <c r="A472" s="7" t="s">
        <v>468</v>
      </c>
      <c r="B472" s="8">
        <v>44196</v>
      </c>
      <c r="C472" s="9">
        <v>19.95</v>
      </c>
      <c r="D472" s="8">
        <v>44286</v>
      </c>
      <c r="E472" s="9">
        <v>15.85</v>
      </c>
      <c r="F472" s="17">
        <v>-20.55</v>
      </c>
      <c r="G472" s="11"/>
      <c r="H472" s="12">
        <f t="shared" si="9"/>
        <v>-0.20551378446115287</v>
      </c>
      <c r="I472" s="13">
        <f t="shared" si="10"/>
        <v>-41102.756892230573</v>
      </c>
      <c r="J472" s="13">
        <f t="shared" si="11"/>
        <v>0</v>
      </c>
      <c r="K472" s="13">
        <f t="shared" si="12"/>
        <v>-41102.756892230573</v>
      </c>
      <c r="L472" s="13">
        <f t="shared" si="13"/>
        <v>5470352.2887769192</v>
      </c>
      <c r="M472" s="13">
        <f t="shared" si="14"/>
        <v>15470352.288776919</v>
      </c>
      <c r="N472" s="13">
        <f t="shared" si="15"/>
        <v>15511455.04566915</v>
      </c>
      <c r="O472" s="13">
        <f t="shared" si="16"/>
        <v>-41102.756892230362</v>
      </c>
      <c r="P472" s="12">
        <f t="shared" si="17"/>
        <v>-2.6498324477758385E-3</v>
      </c>
    </row>
    <row r="473" spans="1:16" ht="14.4" x14ac:dyDescent="0.3">
      <c r="A473" s="7" t="s">
        <v>270</v>
      </c>
      <c r="B473" s="8">
        <v>44196</v>
      </c>
      <c r="C473" s="9">
        <v>320.14999999999998</v>
      </c>
      <c r="D473" s="8">
        <v>44286</v>
      </c>
      <c r="E473" s="9">
        <v>308.7</v>
      </c>
      <c r="F473" s="17">
        <v>-3.58</v>
      </c>
      <c r="G473" s="11"/>
      <c r="H473" s="12">
        <f t="shared" si="9"/>
        <v>-3.5764485397469903E-2</v>
      </c>
      <c r="I473" s="13">
        <f t="shared" si="10"/>
        <v>-7152.8970794939805</v>
      </c>
      <c r="J473" s="13">
        <f t="shared" si="11"/>
        <v>0</v>
      </c>
      <c r="K473" s="13">
        <f t="shared" si="12"/>
        <v>-7152.8970794939805</v>
      </c>
      <c r="L473" s="13">
        <f t="shared" si="13"/>
        <v>5463199.3916974254</v>
      </c>
      <c r="M473" s="13">
        <f t="shared" si="14"/>
        <v>15463199.391697425</v>
      </c>
      <c r="N473" s="13">
        <f t="shared" si="15"/>
        <v>15511455.04566915</v>
      </c>
      <c r="O473" s="13">
        <f t="shared" si="16"/>
        <v>-48255.653971724212</v>
      </c>
      <c r="P473" s="12">
        <f t="shared" si="17"/>
        <v>-3.1109688826514927E-3</v>
      </c>
    </row>
    <row r="474" spans="1:16" ht="14.4" x14ac:dyDescent="0.3">
      <c r="A474" s="7" t="s">
        <v>469</v>
      </c>
      <c r="B474" s="8">
        <v>44196</v>
      </c>
      <c r="C474" s="9">
        <v>88</v>
      </c>
      <c r="D474" s="8">
        <v>44286</v>
      </c>
      <c r="E474" s="9">
        <v>104.5</v>
      </c>
      <c r="F474" s="17">
        <v>18.75</v>
      </c>
      <c r="G474" s="11"/>
      <c r="H474" s="12">
        <f t="shared" si="9"/>
        <v>0.1875</v>
      </c>
      <c r="I474" s="13">
        <f t="shared" si="10"/>
        <v>37500</v>
      </c>
      <c r="J474" s="13">
        <f t="shared" si="11"/>
        <v>37500</v>
      </c>
      <c r="K474" s="13">
        <f t="shared" si="12"/>
        <v>0</v>
      </c>
      <c r="L474" s="13">
        <f t="shared" si="13"/>
        <v>5500699.3916974254</v>
      </c>
      <c r="M474" s="13">
        <f t="shared" si="14"/>
        <v>15500699.391697425</v>
      </c>
      <c r="N474" s="13">
        <f t="shared" si="15"/>
        <v>15511455.04566915</v>
      </c>
      <c r="O474" s="13">
        <f t="shared" si="16"/>
        <v>-10755.653971724212</v>
      </c>
      <c r="P474" s="12">
        <f t="shared" si="17"/>
        <v>-6.93400711929164E-4</v>
      </c>
    </row>
    <row r="475" spans="1:16" ht="14.4" x14ac:dyDescent="0.3">
      <c r="A475" s="7" t="s">
        <v>297</v>
      </c>
      <c r="B475" s="8">
        <v>44196</v>
      </c>
      <c r="C475" s="9">
        <v>24.05</v>
      </c>
      <c r="D475" s="8">
        <v>44286</v>
      </c>
      <c r="E475" s="9">
        <v>24.1</v>
      </c>
      <c r="F475" s="17">
        <v>0.21</v>
      </c>
      <c r="G475" s="11"/>
      <c r="H475" s="12">
        <f t="shared" si="9"/>
        <v>2.0790020790021086E-3</v>
      </c>
      <c r="I475" s="13">
        <f t="shared" si="10"/>
        <v>415.80041580042172</v>
      </c>
      <c r="J475" s="13">
        <f t="shared" si="11"/>
        <v>415.80041580042172</v>
      </c>
      <c r="K475" s="13">
        <f t="shared" si="12"/>
        <v>0</v>
      </c>
      <c r="L475" s="13">
        <f t="shared" si="13"/>
        <v>5501115.1921132263</v>
      </c>
      <c r="M475" s="13">
        <f t="shared" si="14"/>
        <v>15501115.192113226</v>
      </c>
      <c r="N475" s="13">
        <f t="shared" si="15"/>
        <v>15511455.04566915</v>
      </c>
      <c r="O475" s="13">
        <f t="shared" si="16"/>
        <v>-10339.853555923328</v>
      </c>
      <c r="P475" s="12">
        <f t="shared" si="17"/>
        <v>-6.6659468924614199E-4</v>
      </c>
    </row>
    <row r="476" spans="1:16" ht="14.4" x14ac:dyDescent="0.3">
      <c r="A476" s="7" t="s">
        <v>470</v>
      </c>
      <c r="B476" s="8">
        <v>44196</v>
      </c>
      <c r="C476" s="9">
        <v>37105.1</v>
      </c>
      <c r="D476" s="8">
        <v>44286</v>
      </c>
      <c r="E476" s="9">
        <v>47479.85</v>
      </c>
      <c r="F476" s="17">
        <v>27.96</v>
      </c>
      <c r="G476" s="11"/>
      <c r="H476" s="12">
        <f t="shared" si="9"/>
        <v>0.27960442095560989</v>
      </c>
      <c r="I476" s="13">
        <f t="shared" si="10"/>
        <v>55920.884191121979</v>
      </c>
      <c r="J476" s="13">
        <f t="shared" si="11"/>
        <v>55920.884191121979</v>
      </c>
      <c r="K476" s="13">
        <f t="shared" si="12"/>
        <v>0</v>
      </c>
      <c r="L476" s="13">
        <f t="shared" si="13"/>
        <v>5557036.0763043482</v>
      </c>
      <c r="M476" s="13">
        <f t="shared" si="14"/>
        <v>15557036.076304348</v>
      </c>
      <c r="N476" s="13">
        <f t="shared" si="15"/>
        <v>15557036.076304348</v>
      </c>
      <c r="O476" s="13">
        <f t="shared" si="16"/>
        <v>0</v>
      </c>
      <c r="P476" s="12">
        <f t="shared" si="17"/>
        <v>0</v>
      </c>
    </row>
    <row r="477" spans="1:16" ht="14.4" x14ac:dyDescent="0.3">
      <c r="A477" s="7" t="s">
        <v>471</v>
      </c>
      <c r="B477" s="8">
        <v>44196</v>
      </c>
      <c r="C477" s="9">
        <v>836.1</v>
      </c>
      <c r="D477" s="8">
        <v>44286</v>
      </c>
      <c r="E477" s="9">
        <v>930.75</v>
      </c>
      <c r="F477" s="17">
        <v>11.32</v>
      </c>
      <c r="G477" s="11"/>
      <c r="H477" s="12">
        <f t="shared" si="9"/>
        <v>0.1132041621815572</v>
      </c>
      <c r="I477" s="13">
        <f t="shared" si="10"/>
        <v>22640.832436311441</v>
      </c>
      <c r="J477" s="13">
        <f t="shared" si="11"/>
        <v>22640.832436311441</v>
      </c>
      <c r="K477" s="13">
        <f t="shared" si="12"/>
        <v>0</v>
      </c>
      <c r="L477" s="13">
        <f t="shared" si="13"/>
        <v>5579676.9087406592</v>
      </c>
      <c r="M477" s="13">
        <f t="shared" si="14"/>
        <v>15579676.908740658</v>
      </c>
      <c r="N477" s="13">
        <f t="shared" si="15"/>
        <v>15579676.908740658</v>
      </c>
      <c r="O477" s="13">
        <f t="shared" si="16"/>
        <v>0</v>
      </c>
      <c r="P477" s="12">
        <f t="shared" si="17"/>
        <v>0</v>
      </c>
    </row>
    <row r="478" spans="1:16" ht="14.4" x14ac:dyDescent="0.3">
      <c r="A478" s="7" t="s">
        <v>472</v>
      </c>
      <c r="B478" s="8">
        <v>44196</v>
      </c>
      <c r="C478" s="9">
        <v>2764.5</v>
      </c>
      <c r="D478" s="8">
        <v>44286</v>
      </c>
      <c r="E478" s="9">
        <v>2537.4</v>
      </c>
      <c r="F478" s="17">
        <v>-8.2100000000000009</v>
      </c>
      <c r="G478" s="11"/>
      <c r="H478" s="12">
        <f t="shared" si="9"/>
        <v>-8.2148670645686345E-2</v>
      </c>
      <c r="I478" s="13">
        <f t="shared" si="10"/>
        <v>-16429.734129137269</v>
      </c>
      <c r="J478" s="13">
        <f t="shared" si="11"/>
        <v>0</v>
      </c>
      <c r="K478" s="13">
        <f t="shared" si="12"/>
        <v>-16429.734129137269</v>
      </c>
      <c r="L478" s="13">
        <f t="shared" si="13"/>
        <v>5563247.1746115219</v>
      </c>
      <c r="M478" s="13">
        <f t="shared" si="14"/>
        <v>15563247.174611522</v>
      </c>
      <c r="N478" s="13">
        <f t="shared" si="15"/>
        <v>15579676.908740658</v>
      </c>
      <c r="O478" s="13">
        <f t="shared" si="16"/>
        <v>-16429.734129136428</v>
      </c>
      <c r="P478" s="12">
        <f t="shared" si="17"/>
        <v>-1.0545619286827998E-3</v>
      </c>
    </row>
    <row r="479" spans="1:16" ht="14.4" x14ac:dyDescent="0.3">
      <c r="A479" s="7" t="s">
        <v>473</v>
      </c>
      <c r="B479" s="8">
        <v>44196</v>
      </c>
      <c r="C479" s="9">
        <v>405.5</v>
      </c>
      <c r="D479" s="8">
        <v>44286</v>
      </c>
      <c r="E479" s="9">
        <v>509.5</v>
      </c>
      <c r="F479" s="17">
        <v>25.65</v>
      </c>
      <c r="G479" s="11"/>
      <c r="H479" s="12">
        <f t="shared" si="9"/>
        <v>0.2564734895191122</v>
      </c>
      <c r="I479" s="13">
        <f t="shared" si="10"/>
        <v>51294.697903822438</v>
      </c>
      <c r="J479" s="13">
        <f t="shared" si="11"/>
        <v>51294.697903822438</v>
      </c>
      <c r="K479" s="13">
        <f t="shared" si="12"/>
        <v>0</v>
      </c>
      <c r="L479" s="13">
        <f t="shared" si="13"/>
        <v>5614541.8725153441</v>
      </c>
      <c r="M479" s="13">
        <f t="shared" si="14"/>
        <v>15614541.872515343</v>
      </c>
      <c r="N479" s="13">
        <f t="shared" si="15"/>
        <v>15614541.872515343</v>
      </c>
      <c r="O479" s="13">
        <f t="shared" si="16"/>
        <v>0</v>
      </c>
      <c r="P479" s="12">
        <f t="shared" si="17"/>
        <v>0</v>
      </c>
    </row>
    <row r="480" spans="1:16" ht="14.4" x14ac:dyDescent="0.3">
      <c r="A480" s="7" t="s">
        <v>474</v>
      </c>
      <c r="B480" s="8">
        <v>44196</v>
      </c>
      <c r="C480" s="9">
        <v>121.95</v>
      </c>
      <c r="D480" s="8">
        <v>44286</v>
      </c>
      <c r="E480" s="9">
        <v>177.5</v>
      </c>
      <c r="F480" s="17">
        <v>45.55</v>
      </c>
      <c r="G480" s="11"/>
      <c r="H480" s="12">
        <f t="shared" si="9"/>
        <v>0.45551455514555145</v>
      </c>
      <c r="I480" s="13">
        <f t="shared" si="10"/>
        <v>91102.911029110284</v>
      </c>
      <c r="J480" s="13">
        <f t="shared" si="11"/>
        <v>91102.911029110284</v>
      </c>
      <c r="K480" s="13">
        <f t="shared" si="12"/>
        <v>0</v>
      </c>
      <c r="L480" s="13">
        <f t="shared" si="13"/>
        <v>5705644.7835444547</v>
      </c>
      <c r="M480" s="13">
        <f t="shared" si="14"/>
        <v>15705644.783544455</v>
      </c>
      <c r="N480" s="13">
        <f t="shared" si="15"/>
        <v>15705644.783544455</v>
      </c>
      <c r="O480" s="13">
        <f t="shared" si="16"/>
        <v>0</v>
      </c>
      <c r="P480" s="12">
        <f t="shared" si="17"/>
        <v>0</v>
      </c>
    </row>
    <row r="481" spans="1:16" ht="14.4" x14ac:dyDescent="0.3">
      <c r="A481" s="7" t="s">
        <v>475</v>
      </c>
      <c r="B481" s="8">
        <v>44196</v>
      </c>
      <c r="C481" s="9">
        <v>717.4</v>
      </c>
      <c r="D481" s="8">
        <v>44286</v>
      </c>
      <c r="E481" s="9">
        <v>952.2</v>
      </c>
      <c r="F481" s="17">
        <v>32.729999999999997</v>
      </c>
      <c r="G481" s="11"/>
      <c r="H481" s="12">
        <f t="shared" si="9"/>
        <v>0.32729300250906063</v>
      </c>
      <c r="I481" s="13">
        <f t="shared" si="10"/>
        <v>65458.600501812129</v>
      </c>
      <c r="J481" s="13">
        <f t="shared" si="11"/>
        <v>65458.600501812129</v>
      </c>
      <c r="K481" s="13">
        <f t="shared" si="12"/>
        <v>0</v>
      </c>
      <c r="L481" s="13">
        <f t="shared" si="13"/>
        <v>5771103.3840462668</v>
      </c>
      <c r="M481" s="13">
        <f t="shared" si="14"/>
        <v>15771103.384046268</v>
      </c>
      <c r="N481" s="13">
        <f t="shared" si="15"/>
        <v>15771103.384046268</v>
      </c>
      <c r="O481" s="13">
        <f t="shared" si="16"/>
        <v>0</v>
      </c>
      <c r="P481" s="12">
        <f t="shared" si="17"/>
        <v>0</v>
      </c>
    </row>
    <row r="482" spans="1:16" ht="14.4" x14ac:dyDescent="0.3">
      <c r="A482" s="7" t="s">
        <v>476</v>
      </c>
      <c r="B482" s="8">
        <v>44196</v>
      </c>
      <c r="C482" s="9">
        <v>583.4</v>
      </c>
      <c r="D482" s="8">
        <v>44286</v>
      </c>
      <c r="E482" s="9">
        <v>575.15</v>
      </c>
      <c r="F482" s="17">
        <v>-1.41</v>
      </c>
      <c r="G482" s="11"/>
      <c r="H482" s="12">
        <f t="shared" si="9"/>
        <v>-1.4141241001028454E-2</v>
      </c>
      <c r="I482" s="13">
        <f t="shared" si="10"/>
        <v>-2828.2482002056909</v>
      </c>
      <c r="J482" s="13">
        <f t="shared" si="11"/>
        <v>0</v>
      </c>
      <c r="K482" s="13">
        <f t="shared" si="12"/>
        <v>-2828.2482002056909</v>
      </c>
      <c r="L482" s="13">
        <f t="shared" si="13"/>
        <v>5768275.1358460607</v>
      </c>
      <c r="M482" s="13">
        <f t="shared" si="14"/>
        <v>15768275.13584606</v>
      </c>
      <c r="N482" s="13">
        <f t="shared" si="15"/>
        <v>15771103.384046268</v>
      </c>
      <c r="O482" s="13">
        <f t="shared" si="16"/>
        <v>-2828.2482002079487</v>
      </c>
      <c r="P482" s="12">
        <f t="shared" si="17"/>
        <v>-1.7933102911930359E-4</v>
      </c>
    </row>
    <row r="483" spans="1:16" ht="14.4" x14ac:dyDescent="0.3">
      <c r="A483" s="7" t="s">
        <v>84</v>
      </c>
      <c r="B483" s="8">
        <v>44196</v>
      </c>
      <c r="C483" s="9">
        <v>86.95</v>
      </c>
      <c r="D483" s="8">
        <v>44286</v>
      </c>
      <c r="E483" s="9">
        <v>97.8</v>
      </c>
      <c r="F483" s="17">
        <v>12.48</v>
      </c>
      <c r="G483" s="11"/>
      <c r="H483" s="12">
        <f t="shared" si="9"/>
        <v>0.12478435882691195</v>
      </c>
      <c r="I483" s="13">
        <f t="shared" si="10"/>
        <v>24956.871765382391</v>
      </c>
      <c r="J483" s="13">
        <f t="shared" si="11"/>
        <v>24956.871765382391</v>
      </c>
      <c r="K483" s="13">
        <f t="shared" si="12"/>
        <v>0</v>
      </c>
      <c r="L483" s="13">
        <f t="shared" si="13"/>
        <v>5793232.0076114433</v>
      </c>
      <c r="M483" s="13">
        <f t="shared" si="14"/>
        <v>15793232.007611442</v>
      </c>
      <c r="N483" s="13">
        <f t="shared" si="15"/>
        <v>15793232.007611442</v>
      </c>
      <c r="O483" s="13">
        <f t="shared" si="16"/>
        <v>0</v>
      </c>
      <c r="P483" s="12">
        <f t="shared" si="17"/>
        <v>0</v>
      </c>
    </row>
    <row r="484" spans="1:16" ht="14.4" x14ac:dyDescent="0.3">
      <c r="A484" s="7" t="s">
        <v>477</v>
      </c>
      <c r="B484" s="8">
        <v>44196</v>
      </c>
      <c r="C484" s="9">
        <v>27610.25</v>
      </c>
      <c r="D484" s="8">
        <v>44286</v>
      </c>
      <c r="E484" s="9">
        <v>30317.45</v>
      </c>
      <c r="F484" s="17">
        <v>9.81</v>
      </c>
      <c r="G484" s="11"/>
      <c r="H484" s="12">
        <f t="shared" si="9"/>
        <v>9.8050542823770181E-2</v>
      </c>
      <c r="I484" s="13">
        <f t="shared" si="10"/>
        <v>19610.108564754035</v>
      </c>
      <c r="J484" s="13">
        <f t="shared" si="11"/>
        <v>19610.108564754035</v>
      </c>
      <c r="K484" s="13">
        <f t="shared" si="12"/>
        <v>0</v>
      </c>
      <c r="L484" s="13">
        <f t="shared" si="13"/>
        <v>5812842.1161761973</v>
      </c>
      <c r="M484" s="13">
        <f t="shared" si="14"/>
        <v>15812842.116176197</v>
      </c>
      <c r="N484" s="13">
        <f t="shared" si="15"/>
        <v>15812842.116176197</v>
      </c>
      <c r="O484" s="13">
        <f t="shared" si="16"/>
        <v>0</v>
      </c>
      <c r="P484" s="12">
        <f t="shared" si="17"/>
        <v>0</v>
      </c>
    </row>
    <row r="485" spans="1:16" ht="14.4" x14ac:dyDescent="0.3">
      <c r="A485" s="7" t="s">
        <v>298</v>
      </c>
      <c r="B485" s="8">
        <v>44196</v>
      </c>
      <c r="C485" s="9">
        <v>50.5</v>
      </c>
      <c r="D485" s="8">
        <v>44286</v>
      </c>
      <c r="E485" s="9">
        <v>41.63</v>
      </c>
      <c r="F485" s="17">
        <v>-17.559999999999999</v>
      </c>
      <c r="G485" s="11"/>
      <c r="H485" s="12">
        <f t="shared" si="9"/>
        <v>-0.17564356435643561</v>
      </c>
      <c r="I485" s="13">
        <f t="shared" si="10"/>
        <v>-35128.71287128712</v>
      </c>
      <c r="J485" s="13">
        <f t="shared" si="11"/>
        <v>0</v>
      </c>
      <c r="K485" s="13">
        <f t="shared" si="12"/>
        <v>-35128.71287128712</v>
      </c>
      <c r="L485" s="13">
        <f t="shared" si="13"/>
        <v>5777713.4033049103</v>
      </c>
      <c r="M485" s="13">
        <f t="shared" si="14"/>
        <v>15777713.40330491</v>
      </c>
      <c r="N485" s="13">
        <f t="shared" si="15"/>
        <v>15812842.116176197</v>
      </c>
      <c r="O485" s="13">
        <f t="shared" si="16"/>
        <v>-35128.712871287018</v>
      </c>
      <c r="P485" s="12">
        <f t="shared" si="17"/>
        <v>-2.221530615002543E-3</v>
      </c>
    </row>
    <row r="486" spans="1:16" ht="14.4" x14ac:dyDescent="0.3">
      <c r="A486" s="7" t="s">
        <v>478</v>
      </c>
      <c r="B486" s="8">
        <v>44196</v>
      </c>
      <c r="C486" s="9">
        <v>114.65</v>
      </c>
      <c r="D486" s="8">
        <v>44286</v>
      </c>
      <c r="E486" s="9">
        <v>140.75</v>
      </c>
      <c r="F486" s="17">
        <v>22.76</v>
      </c>
      <c r="G486" s="11"/>
      <c r="H486" s="12">
        <f t="shared" si="9"/>
        <v>0.22764936764064539</v>
      </c>
      <c r="I486" s="13">
        <f t="shared" si="10"/>
        <v>45529.873528129079</v>
      </c>
      <c r="J486" s="13">
        <f t="shared" si="11"/>
        <v>45529.873528129079</v>
      </c>
      <c r="K486" s="13">
        <f t="shared" si="12"/>
        <v>0</v>
      </c>
      <c r="L486" s="13">
        <f t="shared" si="13"/>
        <v>5823243.2768330397</v>
      </c>
      <c r="M486" s="13">
        <f t="shared" si="14"/>
        <v>15823243.276833039</v>
      </c>
      <c r="N486" s="13">
        <f t="shared" si="15"/>
        <v>15823243.276833039</v>
      </c>
      <c r="O486" s="13">
        <f t="shared" si="16"/>
        <v>0</v>
      </c>
      <c r="P486" s="12">
        <f t="shared" si="17"/>
        <v>0</v>
      </c>
    </row>
    <row r="487" spans="1:16" ht="14.4" x14ac:dyDescent="0.3">
      <c r="A487" s="7" t="s">
        <v>479</v>
      </c>
      <c r="B487" s="8">
        <v>44196</v>
      </c>
      <c r="C487" s="9">
        <v>15.3</v>
      </c>
      <c r="D487" s="8">
        <v>44286</v>
      </c>
      <c r="E487" s="9">
        <v>14.9</v>
      </c>
      <c r="F487" s="17">
        <v>-2.61</v>
      </c>
      <c r="G487" s="11"/>
      <c r="H487" s="12">
        <f t="shared" si="9"/>
        <v>-2.6143790849673224E-2</v>
      </c>
      <c r="I487" s="13">
        <f t="shared" si="10"/>
        <v>-5228.7581699346447</v>
      </c>
      <c r="J487" s="13">
        <f t="shared" si="11"/>
        <v>0</v>
      </c>
      <c r="K487" s="13">
        <f t="shared" si="12"/>
        <v>-5228.7581699346447</v>
      </c>
      <c r="L487" s="13">
        <f t="shared" si="13"/>
        <v>5818014.5186631046</v>
      </c>
      <c r="M487" s="13">
        <f t="shared" si="14"/>
        <v>15818014.518663105</v>
      </c>
      <c r="N487" s="13">
        <f t="shared" si="15"/>
        <v>15823243.276833039</v>
      </c>
      <c r="O487" s="13">
        <f t="shared" si="16"/>
        <v>-5228.7581699341536</v>
      </c>
      <c r="P487" s="12">
        <f t="shared" si="17"/>
        <v>-3.3044794157905847E-4</v>
      </c>
    </row>
    <row r="488" spans="1:16" ht="14.4" x14ac:dyDescent="0.3">
      <c r="A488" s="7" t="s">
        <v>393</v>
      </c>
      <c r="B488" s="8">
        <v>44196</v>
      </c>
      <c r="C488" s="9">
        <v>138.69999999999999</v>
      </c>
      <c r="D488" s="8">
        <v>44286</v>
      </c>
      <c r="E488" s="9">
        <v>137</v>
      </c>
      <c r="F488" s="17">
        <v>-1.23</v>
      </c>
      <c r="G488" s="11"/>
      <c r="H488" s="12">
        <f t="shared" si="9"/>
        <v>-1.2256669069935031E-2</v>
      </c>
      <c r="I488" s="13">
        <f t="shared" si="10"/>
        <v>-2451.3338139870061</v>
      </c>
      <c r="J488" s="13">
        <f t="shared" si="11"/>
        <v>0</v>
      </c>
      <c r="K488" s="13">
        <f t="shared" si="12"/>
        <v>-2451.3338139870061</v>
      </c>
      <c r="L488" s="13">
        <f t="shared" si="13"/>
        <v>5815563.1848491179</v>
      </c>
      <c r="M488" s="13">
        <f t="shared" si="14"/>
        <v>15815563.184849117</v>
      </c>
      <c r="N488" s="13">
        <f t="shared" si="15"/>
        <v>15823243.276833039</v>
      </c>
      <c r="O488" s="13">
        <f t="shared" si="16"/>
        <v>-7680.0919839218259</v>
      </c>
      <c r="P488" s="12">
        <f t="shared" si="17"/>
        <v>-4.8536774980678719E-4</v>
      </c>
    </row>
    <row r="489" spans="1:16" ht="14.4" x14ac:dyDescent="0.3">
      <c r="A489" s="7" t="s">
        <v>225</v>
      </c>
      <c r="B489" s="8">
        <v>44196</v>
      </c>
      <c r="C489" s="9">
        <v>31.2</v>
      </c>
      <c r="D489" s="8">
        <v>44286</v>
      </c>
      <c r="E489" s="9">
        <v>35.5</v>
      </c>
      <c r="F489" s="17">
        <v>13.78</v>
      </c>
      <c r="G489" s="11"/>
      <c r="H489" s="12">
        <f t="shared" si="9"/>
        <v>0.13782051282051286</v>
      </c>
      <c r="I489" s="13">
        <f t="shared" si="10"/>
        <v>27564.10256410257</v>
      </c>
      <c r="J489" s="13">
        <f t="shared" si="11"/>
        <v>27564.10256410257</v>
      </c>
      <c r="K489" s="13">
        <f t="shared" si="12"/>
        <v>0</v>
      </c>
      <c r="L489" s="13">
        <f t="shared" si="13"/>
        <v>5843127.2874132209</v>
      </c>
      <c r="M489" s="13">
        <f t="shared" si="14"/>
        <v>15843127.287413221</v>
      </c>
      <c r="N489" s="13">
        <f t="shared" si="15"/>
        <v>15843127.287413221</v>
      </c>
      <c r="O489" s="13">
        <f t="shared" si="16"/>
        <v>0</v>
      </c>
      <c r="P489" s="12">
        <f t="shared" si="17"/>
        <v>0</v>
      </c>
    </row>
    <row r="490" spans="1:16" ht="14.4" x14ac:dyDescent="0.3">
      <c r="A490" s="7" t="s">
        <v>480</v>
      </c>
      <c r="B490" s="8">
        <v>44196</v>
      </c>
      <c r="C490" s="9">
        <v>254.25</v>
      </c>
      <c r="D490" s="8">
        <v>44286</v>
      </c>
      <c r="E490" s="9">
        <v>232.85</v>
      </c>
      <c r="F490" s="17">
        <v>-8.42</v>
      </c>
      <c r="G490" s="11"/>
      <c r="H490" s="12">
        <f t="shared" si="9"/>
        <v>-8.4169124877089496E-2</v>
      </c>
      <c r="I490" s="13">
        <f t="shared" si="10"/>
        <v>-16833.824975417898</v>
      </c>
      <c r="J490" s="13">
        <f t="shared" si="11"/>
        <v>0</v>
      </c>
      <c r="K490" s="13">
        <f t="shared" si="12"/>
        <v>-16833.824975417898</v>
      </c>
      <c r="L490" s="13">
        <f t="shared" si="13"/>
        <v>5826293.4624378029</v>
      </c>
      <c r="M490" s="13">
        <f t="shared" si="14"/>
        <v>15826293.462437803</v>
      </c>
      <c r="N490" s="13">
        <f t="shared" si="15"/>
        <v>15843127.287413221</v>
      </c>
      <c r="O490" s="13">
        <f t="shared" si="16"/>
        <v>-16833.824975417927</v>
      </c>
      <c r="P490" s="12">
        <f t="shared" si="17"/>
        <v>-1.0625317003412438E-3</v>
      </c>
    </row>
    <row r="491" spans="1:16" ht="14.4" x14ac:dyDescent="0.3">
      <c r="A491" s="7" t="s">
        <v>481</v>
      </c>
      <c r="B491" s="8">
        <v>44196</v>
      </c>
      <c r="C491" s="9">
        <v>16</v>
      </c>
      <c r="D491" s="8">
        <v>44286</v>
      </c>
      <c r="E491" s="9">
        <v>14.6</v>
      </c>
      <c r="F491" s="17">
        <v>-8.75</v>
      </c>
      <c r="G491" s="11"/>
      <c r="H491" s="12">
        <f t="shared" si="9"/>
        <v>-8.7500000000000022E-2</v>
      </c>
      <c r="I491" s="13">
        <f t="shared" si="10"/>
        <v>-17500.000000000004</v>
      </c>
      <c r="J491" s="13">
        <f t="shared" si="11"/>
        <v>0</v>
      </c>
      <c r="K491" s="13">
        <f t="shared" si="12"/>
        <v>-17500.000000000004</v>
      </c>
      <c r="L491" s="13">
        <f t="shared" si="13"/>
        <v>5808793.4624378029</v>
      </c>
      <c r="M491" s="13">
        <f t="shared" si="14"/>
        <v>15808793.462437803</v>
      </c>
      <c r="N491" s="13">
        <f t="shared" si="15"/>
        <v>15843127.287413221</v>
      </c>
      <c r="O491" s="13">
        <f t="shared" si="16"/>
        <v>-34333.824975417927</v>
      </c>
      <c r="P491" s="12">
        <f t="shared" si="17"/>
        <v>-2.1671116031930691E-3</v>
      </c>
    </row>
    <row r="492" spans="1:16" ht="14.4" x14ac:dyDescent="0.3">
      <c r="A492" s="7" t="s">
        <v>86</v>
      </c>
      <c r="B492" s="8">
        <v>44196</v>
      </c>
      <c r="C492" s="9">
        <v>1348.35</v>
      </c>
      <c r="D492" s="8">
        <v>44286</v>
      </c>
      <c r="E492" s="9">
        <v>1456.15</v>
      </c>
      <c r="F492" s="17">
        <v>7.99</v>
      </c>
      <c r="G492" s="11"/>
      <c r="H492" s="12">
        <f t="shared" si="9"/>
        <v>7.9949567990507051E-2</v>
      </c>
      <c r="I492" s="13">
        <f t="shared" si="10"/>
        <v>15989.91359810141</v>
      </c>
      <c r="J492" s="13">
        <f t="shared" si="11"/>
        <v>15989.91359810141</v>
      </c>
      <c r="K492" s="13">
        <f t="shared" si="12"/>
        <v>0</v>
      </c>
      <c r="L492" s="13">
        <f t="shared" si="13"/>
        <v>5824783.3760359045</v>
      </c>
      <c r="M492" s="13">
        <f t="shared" si="14"/>
        <v>15824783.376035905</v>
      </c>
      <c r="N492" s="13">
        <f t="shared" si="15"/>
        <v>15843127.287413221</v>
      </c>
      <c r="O492" s="13">
        <f t="shared" si="16"/>
        <v>-18343.911377316341</v>
      </c>
      <c r="P492" s="12">
        <f t="shared" si="17"/>
        <v>-1.1578466198330617E-3</v>
      </c>
    </row>
    <row r="493" spans="1:16" ht="14.4" x14ac:dyDescent="0.3">
      <c r="A493" s="7" t="s">
        <v>482</v>
      </c>
      <c r="B493" s="8">
        <v>44196</v>
      </c>
      <c r="C493" s="9">
        <v>169.5</v>
      </c>
      <c r="D493" s="8">
        <v>44286</v>
      </c>
      <c r="E493" s="9">
        <v>190.8</v>
      </c>
      <c r="F493" s="17">
        <v>12.57</v>
      </c>
      <c r="G493" s="11"/>
      <c r="H493" s="12">
        <f t="shared" si="9"/>
        <v>0.12566371681415936</v>
      </c>
      <c r="I493" s="13">
        <f t="shared" si="10"/>
        <v>25132.743362831872</v>
      </c>
      <c r="J493" s="13">
        <f t="shared" si="11"/>
        <v>25132.743362831872</v>
      </c>
      <c r="K493" s="13">
        <f t="shared" si="12"/>
        <v>0</v>
      </c>
      <c r="L493" s="13">
        <f t="shared" si="13"/>
        <v>5849916.1193987364</v>
      </c>
      <c r="M493" s="13">
        <f t="shared" si="14"/>
        <v>15849916.119398735</v>
      </c>
      <c r="N493" s="13">
        <f t="shared" si="15"/>
        <v>15849916.119398735</v>
      </c>
      <c r="O493" s="13">
        <f t="shared" si="16"/>
        <v>0</v>
      </c>
      <c r="P493" s="12">
        <f t="shared" si="17"/>
        <v>0</v>
      </c>
    </row>
    <row r="494" spans="1:16" ht="14.4" x14ac:dyDescent="0.3">
      <c r="A494" s="7" t="s">
        <v>365</v>
      </c>
      <c r="B494" s="8">
        <v>44196</v>
      </c>
      <c r="C494" s="9">
        <v>76.8</v>
      </c>
      <c r="D494" s="8">
        <v>44286</v>
      </c>
      <c r="E494" s="9">
        <v>76</v>
      </c>
      <c r="F494" s="17">
        <v>-1.04</v>
      </c>
      <c r="G494" s="11"/>
      <c r="H494" s="12">
        <f t="shared" si="9"/>
        <v>-1.041666666666663E-2</v>
      </c>
      <c r="I494" s="13">
        <f t="shared" si="10"/>
        <v>-2083.3333333333258</v>
      </c>
      <c r="J494" s="13">
        <f t="shared" si="11"/>
        <v>0</v>
      </c>
      <c r="K494" s="13">
        <f t="shared" si="12"/>
        <v>-2083.3333333333258</v>
      </c>
      <c r="L494" s="13">
        <f t="shared" si="13"/>
        <v>5847832.7860654034</v>
      </c>
      <c r="M494" s="13">
        <f t="shared" si="14"/>
        <v>15847832.786065403</v>
      </c>
      <c r="N494" s="13">
        <f t="shared" si="15"/>
        <v>15849916.119398735</v>
      </c>
      <c r="O494" s="13">
        <f t="shared" si="16"/>
        <v>-2083.3333333320916</v>
      </c>
      <c r="P494" s="12">
        <f t="shared" si="17"/>
        <v>-1.3144128446095036E-4</v>
      </c>
    </row>
    <row r="495" spans="1:16" ht="14.4" x14ac:dyDescent="0.3">
      <c r="A495" s="7" t="s">
        <v>20</v>
      </c>
      <c r="B495" s="8">
        <v>44104</v>
      </c>
      <c r="C495" s="9">
        <v>1336.55</v>
      </c>
      <c r="D495" s="8">
        <v>44196</v>
      </c>
      <c r="E495" s="9">
        <v>1208.2</v>
      </c>
      <c r="F495" s="17">
        <v>-9.6</v>
      </c>
      <c r="G495" s="11"/>
      <c r="H495" s="12">
        <f t="shared" si="9"/>
        <v>-9.6030825633159941E-2</v>
      </c>
      <c r="I495" s="13">
        <f t="shared" si="10"/>
        <v>-19206.16512663199</v>
      </c>
      <c r="J495" s="13">
        <f t="shared" si="11"/>
        <v>0</v>
      </c>
      <c r="K495" s="13">
        <f t="shared" si="12"/>
        <v>-19206.16512663199</v>
      </c>
      <c r="L495" s="13">
        <f t="shared" si="13"/>
        <v>5828626.6209387714</v>
      </c>
      <c r="M495" s="13">
        <f t="shared" si="14"/>
        <v>15828626.62093877</v>
      </c>
      <c r="N495" s="13">
        <f t="shared" si="15"/>
        <v>15849916.119398735</v>
      </c>
      <c r="O495" s="13">
        <f t="shared" si="16"/>
        <v>-21289.498459964991</v>
      </c>
      <c r="P495" s="12">
        <f t="shared" si="17"/>
        <v>-1.3431931310922676E-3</v>
      </c>
    </row>
    <row r="496" spans="1:16" ht="14.4" x14ac:dyDescent="0.3">
      <c r="A496" s="7" t="s">
        <v>483</v>
      </c>
      <c r="B496" s="8">
        <v>44104</v>
      </c>
      <c r="C496" s="9">
        <v>73.3</v>
      </c>
      <c r="D496" s="8">
        <v>44196</v>
      </c>
      <c r="E496" s="9">
        <v>97.5</v>
      </c>
      <c r="F496" s="17">
        <v>33.020000000000003</v>
      </c>
      <c r="G496" s="11"/>
      <c r="H496" s="12">
        <f t="shared" si="9"/>
        <v>0.33015006821282405</v>
      </c>
      <c r="I496" s="13">
        <f t="shared" si="10"/>
        <v>66030.013642564809</v>
      </c>
      <c r="J496" s="13">
        <f t="shared" si="11"/>
        <v>66030.013642564809</v>
      </c>
      <c r="K496" s="13">
        <f t="shared" si="12"/>
        <v>0</v>
      </c>
      <c r="L496" s="13">
        <f t="shared" si="13"/>
        <v>5894656.6345813358</v>
      </c>
      <c r="M496" s="13">
        <f t="shared" si="14"/>
        <v>15894656.634581335</v>
      </c>
      <c r="N496" s="13">
        <f t="shared" si="15"/>
        <v>15894656.634581335</v>
      </c>
      <c r="O496" s="13">
        <f t="shared" si="16"/>
        <v>0</v>
      </c>
      <c r="P496" s="12">
        <f t="shared" si="17"/>
        <v>0</v>
      </c>
    </row>
    <row r="497" spans="1:16" ht="14.4" x14ac:dyDescent="0.3">
      <c r="A497" s="7" t="s">
        <v>484</v>
      </c>
      <c r="B497" s="8">
        <v>44104</v>
      </c>
      <c r="C497" s="9">
        <v>130.22</v>
      </c>
      <c r="D497" s="8">
        <v>44196</v>
      </c>
      <c r="E497" s="9">
        <v>174.47</v>
      </c>
      <c r="F497" s="17">
        <v>33.979999999999997</v>
      </c>
      <c r="G497" s="11"/>
      <c r="H497" s="12">
        <f t="shared" si="9"/>
        <v>0.33980955306404548</v>
      </c>
      <c r="I497" s="13">
        <f t="shared" si="10"/>
        <v>67961.910612809093</v>
      </c>
      <c r="J497" s="13">
        <f t="shared" si="11"/>
        <v>67961.910612809093</v>
      </c>
      <c r="K497" s="13">
        <f t="shared" si="12"/>
        <v>0</v>
      </c>
      <c r="L497" s="13">
        <f t="shared" si="13"/>
        <v>5962618.5451941453</v>
      </c>
      <c r="M497" s="13">
        <f t="shared" si="14"/>
        <v>15962618.545194145</v>
      </c>
      <c r="N497" s="13">
        <f t="shared" si="15"/>
        <v>15962618.545194145</v>
      </c>
      <c r="O497" s="13">
        <f t="shared" si="16"/>
        <v>0</v>
      </c>
      <c r="P497" s="12">
        <f t="shared" si="17"/>
        <v>0</v>
      </c>
    </row>
    <row r="498" spans="1:16" ht="14.4" x14ac:dyDescent="0.3">
      <c r="A498" s="7" t="s">
        <v>485</v>
      </c>
      <c r="B498" s="8">
        <v>44104</v>
      </c>
      <c r="C498" s="9">
        <v>111.94</v>
      </c>
      <c r="D498" s="8">
        <v>44196</v>
      </c>
      <c r="E498" s="9">
        <v>102.37</v>
      </c>
      <c r="F498" s="17">
        <v>-8.5500000000000007</v>
      </c>
      <c r="G498" s="11"/>
      <c r="H498" s="12">
        <f t="shared" si="9"/>
        <v>-8.5492227979274554E-2</v>
      </c>
      <c r="I498" s="13">
        <f t="shared" si="10"/>
        <v>-17098.445595854912</v>
      </c>
      <c r="J498" s="13">
        <f t="shared" si="11"/>
        <v>0</v>
      </c>
      <c r="K498" s="13">
        <f t="shared" si="12"/>
        <v>-17098.445595854912</v>
      </c>
      <c r="L498" s="13">
        <f t="shared" si="13"/>
        <v>5945520.0995982904</v>
      </c>
      <c r="M498" s="13">
        <f t="shared" si="14"/>
        <v>15945520.09959829</v>
      </c>
      <c r="N498" s="13">
        <f t="shared" si="15"/>
        <v>15962618.545194145</v>
      </c>
      <c r="O498" s="13">
        <f t="shared" si="16"/>
        <v>-17098.445595854893</v>
      </c>
      <c r="P498" s="12">
        <f t="shared" si="17"/>
        <v>-1.0711554340188572E-3</v>
      </c>
    </row>
    <row r="499" spans="1:16" ht="14.4" x14ac:dyDescent="0.3">
      <c r="A499" s="7" t="s">
        <v>224</v>
      </c>
      <c r="B499" s="8">
        <v>44104</v>
      </c>
      <c r="C499" s="9">
        <v>1383.45</v>
      </c>
      <c r="D499" s="8">
        <v>44196</v>
      </c>
      <c r="E499" s="9">
        <v>1539.95</v>
      </c>
      <c r="F499" s="17">
        <v>11.31</v>
      </c>
      <c r="G499" s="11"/>
      <c r="H499" s="12">
        <f t="shared" si="9"/>
        <v>0.11312298962738082</v>
      </c>
      <c r="I499" s="13">
        <f t="shared" si="10"/>
        <v>22624.597925476166</v>
      </c>
      <c r="J499" s="13">
        <f t="shared" si="11"/>
        <v>22624.597925476166</v>
      </c>
      <c r="K499" s="13">
        <f t="shared" si="12"/>
        <v>0</v>
      </c>
      <c r="L499" s="13">
        <f t="shared" si="13"/>
        <v>5968144.6975237662</v>
      </c>
      <c r="M499" s="13">
        <f t="shared" si="14"/>
        <v>15968144.697523765</v>
      </c>
      <c r="N499" s="13">
        <f t="shared" si="15"/>
        <v>15968144.697523765</v>
      </c>
      <c r="O499" s="13">
        <f t="shared" si="16"/>
        <v>0</v>
      </c>
      <c r="P499" s="12">
        <f t="shared" si="17"/>
        <v>0</v>
      </c>
    </row>
    <row r="500" spans="1:16" ht="14.4" x14ac:dyDescent="0.3">
      <c r="A500" s="7" t="s">
        <v>82</v>
      </c>
      <c r="B500" s="8">
        <v>44104</v>
      </c>
      <c r="C500" s="9">
        <v>937.3</v>
      </c>
      <c r="D500" s="8">
        <v>44196</v>
      </c>
      <c r="E500" s="9">
        <v>953.17</v>
      </c>
      <c r="F500" s="17">
        <v>1.69</v>
      </c>
      <c r="G500" s="11"/>
      <c r="H500" s="12">
        <f t="shared" si="9"/>
        <v>1.6931612077243152E-2</v>
      </c>
      <c r="I500" s="13">
        <f t="shared" si="10"/>
        <v>3386.3224154486302</v>
      </c>
      <c r="J500" s="13">
        <f t="shared" si="11"/>
        <v>3386.3224154486302</v>
      </c>
      <c r="K500" s="13">
        <f t="shared" si="12"/>
        <v>0</v>
      </c>
      <c r="L500" s="13">
        <f t="shared" si="13"/>
        <v>5971531.0199392149</v>
      </c>
      <c r="M500" s="13">
        <f t="shared" si="14"/>
        <v>15971531.019939214</v>
      </c>
      <c r="N500" s="13">
        <f t="shared" si="15"/>
        <v>15971531.019939214</v>
      </c>
      <c r="O500" s="13">
        <f t="shared" si="16"/>
        <v>0</v>
      </c>
      <c r="P500" s="12">
        <f t="shared" si="17"/>
        <v>0</v>
      </c>
    </row>
    <row r="501" spans="1:16" ht="14.4" x14ac:dyDescent="0.3">
      <c r="A501" s="7" t="s">
        <v>486</v>
      </c>
      <c r="B501" s="8">
        <v>44104</v>
      </c>
      <c r="C501" s="9">
        <v>2037.35</v>
      </c>
      <c r="D501" s="8">
        <v>44196</v>
      </c>
      <c r="E501" s="9">
        <v>1568.4</v>
      </c>
      <c r="F501" s="17">
        <v>-23.02</v>
      </c>
      <c r="G501" s="11"/>
      <c r="H501" s="12">
        <f t="shared" si="9"/>
        <v>-0.23017645470832201</v>
      </c>
      <c r="I501" s="13">
        <f t="shared" si="10"/>
        <v>-46035.290941664403</v>
      </c>
      <c r="J501" s="13">
        <f t="shared" si="11"/>
        <v>0</v>
      </c>
      <c r="K501" s="13">
        <f t="shared" si="12"/>
        <v>-46035.290941664403</v>
      </c>
      <c r="L501" s="13">
        <f t="shared" si="13"/>
        <v>5925495.7289975509</v>
      </c>
      <c r="M501" s="13">
        <f t="shared" si="14"/>
        <v>15925495.728997551</v>
      </c>
      <c r="N501" s="13">
        <f t="shared" si="15"/>
        <v>15971531.019939214</v>
      </c>
      <c r="O501" s="13">
        <f t="shared" si="16"/>
        <v>-46035.290941663086</v>
      </c>
      <c r="P501" s="12">
        <f t="shared" si="17"/>
        <v>-2.8823342536286349E-3</v>
      </c>
    </row>
    <row r="502" spans="1:16" ht="14.4" x14ac:dyDescent="0.3">
      <c r="A502" s="7" t="s">
        <v>487</v>
      </c>
      <c r="B502" s="8">
        <v>44104</v>
      </c>
      <c r="C502" s="9">
        <v>188.75</v>
      </c>
      <c r="D502" s="8">
        <v>44196</v>
      </c>
      <c r="E502" s="9">
        <v>212.95</v>
      </c>
      <c r="F502" s="17">
        <v>12.82</v>
      </c>
      <c r="G502" s="11"/>
      <c r="H502" s="12">
        <f t="shared" si="9"/>
        <v>0.12821192052980127</v>
      </c>
      <c r="I502" s="13">
        <f t="shared" si="10"/>
        <v>25642.384105960253</v>
      </c>
      <c r="J502" s="13">
        <f t="shared" si="11"/>
        <v>25642.384105960253</v>
      </c>
      <c r="K502" s="13">
        <f t="shared" si="12"/>
        <v>0</v>
      </c>
      <c r="L502" s="13">
        <f t="shared" si="13"/>
        <v>5951138.1131035108</v>
      </c>
      <c r="M502" s="13">
        <f t="shared" si="14"/>
        <v>15951138.113103511</v>
      </c>
      <c r="N502" s="13">
        <f t="shared" si="15"/>
        <v>15971531.019939214</v>
      </c>
      <c r="O502" s="13">
        <f t="shared" si="16"/>
        <v>-20392.906835703179</v>
      </c>
      <c r="P502" s="12">
        <f t="shared" si="17"/>
        <v>-1.2768285526443409E-3</v>
      </c>
    </row>
    <row r="503" spans="1:16" ht="14.4" x14ac:dyDescent="0.3">
      <c r="A503" s="7" t="s">
        <v>488</v>
      </c>
      <c r="B503" s="8">
        <v>44104</v>
      </c>
      <c r="C503" s="9">
        <v>115.6</v>
      </c>
      <c r="D503" s="8">
        <v>44196</v>
      </c>
      <c r="E503" s="9">
        <v>153.1</v>
      </c>
      <c r="F503" s="17">
        <v>32.44</v>
      </c>
      <c r="G503" s="11"/>
      <c r="H503" s="12">
        <f t="shared" si="9"/>
        <v>0.3243944636678201</v>
      </c>
      <c r="I503" s="13">
        <f t="shared" si="10"/>
        <v>64878.892733564018</v>
      </c>
      <c r="J503" s="13">
        <f t="shared" si="11"/>
        <v>64878.892733564018</v>
      </c>
      <c r="K503" s="13">
        <f t="shared" si="12"/>
        <v>0</v>
      </c>
      <c r="L503" s="13">
        <f t="shared" si="13"/>
        <v>6016017.0058370745</v>
      </c>
      <c r="M503" s="13">
        <f t="shared" si="14"/>
        <v>16016017.005837075</v>
      </c>
      <c r="N503" s="13">
        <f t="shared" si="15"/>
        <v>16016017.005837075</v>
      </c>
      <c r="O503" s="13">
        <f t="shared" si="16"/>
        <v>0</v>
      </c>
      <c r="P503" s="12">
        <f t="shared" si="17"/>
        <v>0</v>
      </c>
    </row>
    <row r="504" spans="1:16" ht="14.4" x14ac:dyDescent="0.3">
      <c r="A504" s="7" t="s">
        <v>489</v>
      </c>
      <c r="B504" s="8">
        <v>44104</v>
      </c>
      <c r="C504" s="9">
        <v>49.6</v>
      </c>
      <c r="D504" s="8">
        <v>44196</v>
      </c>
      <c r="E504" s="9">
        <v>61</v>
      </c>
      <c r="F504" s="17">
        <v>22.98</v>
      </c>
      <c r="G504" s="11"/>
      <c r="H504" s="12">
        <f t="shared" si="9"/>
        <v>0.22983870967741932</v>
      </c>
      <c r="I504" s="13">
        <f t="shared" si="10"/>
        <v>45967.741935483864</v>
      </c>
      <c r="J504" s="13">
        <f t="shared" si="11"/>
        <v>45967.741935483864</v>
      </c>
      <c r="K504" s="13">
        <f t="shared" si="12"/>
        <v>0</v>
      </c>
      <c r="L504" s="13">
        <f t="shared" si="13"/>
        <v>6061984.7477725586</v>
      </c>
      <c r="M504" s="13">
        <f t="shared" si="14"/>
        <v>16061984.74777256</v>
      </c>
      <c r="N504" s="13">
        <f t="shared" si="15"/>
        <v>16061984.74777256</v>
      </c>
      <c r="O504" s="13">
        <f t="shared" si="16"/>
        <v>0</v>
      </c>
      <c r="P504" s="12">
        <f t="shared" si="17"/>
        <v>0</v>
      </c>
    </row>
    <row r="505" spans="1:16" ht="14.4" x14ac:dyDescent="0.3">
      <c r="A505" s="7" t="s">
        <v>490</v>
      </c>
      <c r="B505" s="8">
        <v>44104</v>
      </c>
      <c r="C505" s="9">
        <v>24.81</v>
      </c>
      <c r="D505" s="8">
        <v>44196</v>
      </c>
      <c r="E505" s="9">
        <v>23.66</v>
      </c>
      <c r="F505" s="17">
        <v>-4.6399999999999997</v>
      </c>
      <c r="G505" s="11"/>
      <c r="H505" s="12">
        <f t="shared" si="9"/>
        <v>-4.6352277307537229E-2</v>
      </c>
      <c r="I505" s="13">
        <f t="shared" si="10"/>
        <v>-9270.4554615074467</v>
      </c>
      <c r="J505" s="13">
        <f t="shared" si="11"/>
        <v>0</v>
      </c>
      <c r="K505" s="13">
        <f t="shared" si="12"/>
        <v>-9270.4554615074467</v>
      </c>
      <c r="L505" s="13">
        <f t="shared" si="13"/>
        <v>6052714.2923110509</v>
      </c>
      <c r="M505" s="13">
        <f t="shared" si="14"/>
        <v>16052714.29231105</v>
      </c>
      <c r="N505" s="13">
        <f t="shared" si="15"/>
        <v>16061984.74777256</v>
      </c>
      <c r="O505" s="13">
        <f t="shared" si="16"/>
        <v>-9270.4554615095258</v>
      </c>
      <c r="P505" s="12">
        <f t="shared" si="17"/>
        <v>-5.77167492504009E-4</v>
      </c>
    </row>
    <row r="506" spans="1:16" ht="14.4" x14ac:dyDescent="0.3">
      <c r="A506" s="7" t="s">
        <v>44</v>
      </c>
      <c r="B506" s="8">
        <v>44012</v>
      </c>
      <c r="C506" s="9">
        <v>564.45000000000005</v>
      </c>
      <c r="D506" s="8">
        <v>44104</v>
      </c>
      <c r="E506" s="9">
        <v>558.75</v>
      </c>
      <c r="F506" s="17">
        <v>-1.01</v>
      </c>
      <c r="G506" s="11"/>
      <c r="H506" s="12">
        <f t="shared" si="9"/>
        <v>-1.0098325803879963E-2</v>
      </c>
      <c r="I506" s="13">
        <f t="shared" si="10"/>
        <v>-2019.6651607759925</v>
      </c>
      <c r="J506" s="13">
        <f t="shared" si="11"/>
        <v>0</v>
      </c>
      <c r="K506" s="13">
        <f t="shared" si="12"/>
        <v>-2019.6651607759925</v>
      </c>
      <c r="L506" s="13">
        <f t="shared" si="13"/>
        <v>6050694.6271502748</v>
      </c>
      <c r="M506" s="13">
        <f t="shared" si="14"/>
        <v>16050694.627150275</v>
      </c>
      <c r="N506" s="13">
        <f t="shared" si="15"/>
        <v>16061984.74777256</v>
      </c>
      <c r="O506" s="13">
        <f t="shared" si="16"/>
        <v>-11290.12062228471</v>
      </c>
      <c r="P506" s="12">
        <f t="shared" si="17"/>
        <v>-7.0290943489100248E-4</v>
      </c>
    </row>
    <row r="507" spans="1:16" ht="14.4" x14ac:dyDescent="0.3">
      <c r="A507" s="7" t="s">
        <v>491</v>
      </c>
      <c r="B507" s="8">
        <v>44012</v>
      </c>
      <c r="C507" s="9">
        <v>1261.0999999999999</v>
      </c>
      <c r="D507" s="8">
        <v>44104</v>
      </c>
      <c r="E507" s="9">
        <v>1477</v>
      </c>
      <c r="F507" s="17">
        <v>17.12</v>
      </c>
      <c r="G507" s="11"/>
      <c r="H507" s="12">
        <f t="shared" si="9"/>
        <v>0.17119974625327103</v>
      </c>
      <c r="I507" s="13">
        <f t="shared" si="10"/>
        <v>34239.949250654208</v>
      </c>
      <c r="J507" s="13">
        <f t="shared" si="11"/>
        <v>34239.949250654208</v>
      </c>
      <c r="K507" s="13">
        <f t="shared" si="12"/>
        <v>0</v>
      </c>
      <c r="L507" s="13">
        <f t="shared" si="13"/>
        <v>6084934.5764009291</v>
      </c>
      <c r="M507" s="13">
        <f t="shared" si="14"/>
        <v>16084934.576400928</v>
      </c>
      <c r="N507" s="13">
        <f t="shared" si="15"/>
        <v>16084934.576400928</v>
      </c>
      <c r="O507" s="13">
        <f t="shared" si="16"/>
        <v>0</v>
      </c>
      <c r="P507" s="12">
        <f t="shared" si="17"/>
        <v>0</v>
      </c>
    </row>
    <row r="508" spans="1:16" ht="14.4" x14ac:dyDescent="0.3">
      <c r="A508" s="7" t="s">
        <v>492</v>
      </c>
      <c r="B508" s="8">
        <v>44012</v>
      </c>
      <c r="C508" s="9">
        <v>6.95</v>
      </c>
      <c r="D508" s="8">
        <v>44104</v>
      </c>
      <c r="E508" s="9">
        <v>6.7</v>
      </c>
      <c r="F508" s="17">
        <v>-3.6</v>
      </c>
      <c r="G508" s="11"/>
      <c r="H508" s="12">
        <f t="shared" si="9"/>
        <v>-3.5971223021582732E-2</v>
      </c>
      <c r="I508" s="13">
        <f t="shared" si="10"/>
        <v>-7194.2446043165464</v>
      </c>
      <c r="J508" s="13">
        <f t="shared" si="11"/>
        <v>0</v>
      </c>
      <c r="K508" s="13">
        <f t="shared" si="12"/>
        <v>-7194.2446043165464</v>
      </c>
      <c r="L508" s="13">
        <f t="shared" si="13"/>
        <v>6077740.3317966126</v>
      </c>
      <c r="M508" s="13">
        <f t="shared" si="14"/>
        <v>16077740.331796613</v>
      </c>
      <c r="N508" s="13">
        <f t="shared" si="15"/>
        <v>16084934.576400928</v>
      </c>
      <c r="O508" s="13">
        <f t="shared" si="16"/>
        <v>-7194.2446043156087</v>
      </c>
      <c r="P508" s="12">
        <f t="shared" si="17"/>
        <v>-4.4726601591968374E-4</v>
      </c>
    </row>
    <row r="509" spans="1:16" ht="14.4" x14ac:dyDescent="0.3">
      <c r="A509" s="7" t="s">
        <v>493</v>
      </c>
      <c r="B509" s="8">
        <v>44012</v>
      </c>
      <c r="C509" s="9">
        <v>1447.65</v>
      </c>
      <c r="D509" s="8">
        <v>44104</v>
      </c>
      <c r="E509" s="9">
        <v>1458.55</v>
      </c>
      <c r="F509" s="17">
        <v>0.75</v>
      </c>
      <c r="G509" s="11"/>
      <c r="H509" s="12">
        <f t="shared" si="9"/>
        <v>7.5294442717506738E-3</v>
      </c>
      <c r="I509" s="13">
        <f t="shared" si="10"/>
        <v>1505.8888543501348</v>
      </c>
      <c r="J509" s="13">
        <f t="shared" si="11"/>
        <v>1505.8888543501348</v>
      </c>
      <c r="K509" s="13">
        <f t="shared" si="12"/>
        <v>0</v>
      </c>
      <c r="L509" s="13">
        <f t="shared" si="13"/>
        <v>6079246.2206509626</v>
      </c>
      <c r="M509" s="13">
        <f t="shared" si="14"/>
        <v>16079246.220650963</v>
      </c>
      <c r="N509" s="13">
        <f t="shared" si="15"/>
        <v>16084934.576400928</v>
      </c>
      <c r="O509" s="13">
        <f t="shared" si="16"/>
        <v>-5688.3557499647141</v>
      </c>
      <c r="P509" s="12">
        <f t="shared" si="17"/>
        <v>-3.5364494166550151E-4</v>
      </c>
    </row>
    <row r="510" spans="1:16" ht="14.4" x14ac:dyDescent="0.3">
      <c r="A510" s="7" t="s">
        <v>354</v>
      </c>
      <c r="B510" s="8">
        <v>44012</v>
      </c>
      <c r="C510" s="9">
        <v>37.200000000000003</v>
      </c>
      <c r="D510" s="8">
        <v>44104</v>
      </c>
      <c r="E510" s="9">
        <v>42.1</v>
      </c>
      <c r="F510" s="17">
        <v>13.17</v>
      </c>
      <c r="G510" s="11"/>
      <c r="H510" s="12">
        <f t="shared" si="9"/>
        <v>0.13172043010752682</v>
      </c>
      <c r="I510" s="13">
        <f t="shared" si="10"/>
        <v>26344.086021505365</v>
      </c>
      <c r="J510" s="13">
        <f t="shared" si="11"/>
        <v>26344.086021505365</v>
      </c>
      <c r="K510" s="13">
        <f t="shared" si="12"/>
        <v>0</v>
      </c>
      <c r="L510" s="13">
        <f t="shared" si="13"/>
        <v>6105590.3066724679</v>
      </c>
      <c r="M510" s="13">
        <f t="shared" si="14"/>
        <v>16105590.306672469</v>
      </c>
      <c r="N510" s="13">
        <f t="shared" si="15"/>
        <v>16105590.306672469</v>
      </c>
      <c r="O510" s="13">
        <f t="shared" si="16"/>
        <v>0</v>
      </c>
      <c r="P510" s="12">
        <f t="shared" si="17"/>
        <v>0</v>
      </c>
    </row>
    <row r="511" spans="1:16" ht="14.4" x14ac:dyDescent="0.3">
      <c r="A511" s="7" t="s">
        <v>494</v>
      </c>
      <c r="B511" s="8">
        <v>44012</v>
      </c>
      <c r="C511" s="9">
        <v>256</v>
      </c>
      <c r="D511" s="8">
        <v>44104</v>
      </c>
      <c r="E511" s="9">
        <v>376</v>
      </c>
      <c r="F511" s="17">
        <v>46.88</v>
      </c>
      <c r="G511" s="11"/>
      <c r="H511" s="12">
        <f t="shared" si="9"/>
        <v>0.46875</v>
      </c>
      <c r="I511" s="13">
        <f t="shared" si="10"/>
        <v>93750</v>
      </c>
      <c r="J511" s="13">
        <f t="shared" si="11"/>
        <v>93750</v>
      </c>
      <c r="K511" s="13">
        <f t="shared" si="12"/>
        <v>0</v>
      </c>
      <c r="L511" s="13">
        <f t="shared" si="13"/>
        <v>6199340.3066724679</v>
      </c>
      <c r="M511" s="13">
        <f t="shared" si="14"/>
        <v>16199340.306672469</v>
      </c>
      <c r="N511" s="13">
        <f t="shared" si="15"/>
        <v>16199340.306672469</v>
      </c>
      <c r="O511" s="13">
        <f t="shared" si="16"/>
        <v>0</v>
      </c>
      <c r="P511" s="12">
        <f t="shared" si="17"/>
        <v>0</v>
      </c>
    </row>
    <row r="512" spans="1:16" ht="14.4" x14ac:dyDescent="0.3">
      <c r="A512" s="7" t="s">
        <v>495</v>
      </c>
      <c r="B512" s="8">
        <v>44012</v>
      </c>
      <c r="C512" s="9">
        <v>469.85</v>
      </c>
      <c r="D512" s="8">
        <v>44104</v>
      </c>
      <c r="E512" s="9">
        <v>463.35</v>
      </c>
      <c r="F512" s="17">
        <v>-1.38</v>
      </c>
      <c r="G512" s="11"/>
      <c r="H512" s="12">
        <f t="shared" si="9"/>
        <v>-1.3834202405022878E-2</v>
      </c>
      <c r="I512" s="13">
        <f t="shared" si="10"/>
        <v>-2766.8404810045758</v>
      </c>
      <c r="J512" s="13">
        <f t="shared" si="11"/>
        <v>0</v>
      </c>
      <c r="K512" s="13">
        <f t="shared" si="12"/>
        <v>-2766.8404810045758</v>
      </c>
      <c r="L512" s="13">
        <f t="shared" si="13"/>
        <v>6196573.4661914632</v>
      </c>
      <c r="M512" s="13">
        <f t="shared" si="14"/>
        <v>16196573.466191463</v>
      </c>
      <c r="N512" s="13">
        <f t="shared" si="15"/>
        <v>16199340.306672469</v>
      </c>
      <c r="O512" s="13">
        <f t="shared" si="16"/>
        <v>-2766.840481005609</v>
      </c>
      <c r="P512" s="12">
        <f t="shared" si="17"/>
        <v>-1.7079957755230033E-4</v>
      </c>
    </row>
    <row r="513" spans="1:16" ht="14.4" x14ac:dyDescent="0.3">
      <c r="A513" s="7" t="s">
        <v>496</v>
      </c>
      <c r="B513" s="8">
        <v>44012</v>
      </c>
      <c r="C513" s="9">
        <v>20.010000000000002</v>
      </c>
      <c r="D513" s="8">
        <v>44104</v>
      </c>
      <c r="E513" s="9">
        <v>45.88</v>
      </c>
      <c r="F513" s="17">
        <v>129.29</v>
      </c>
      <c r="G513" s="11"/>
      <c r="H513" s="12">
        <f t="shared" ref="H513:H767" si="18">(E513-C513)/C513</f>
        <v>1.2928535732133932</v>
      </c>
      <c r="I513" s="13">
        <f t="shared" ref="I513:I767" si="19">10000000*0.02*H513</f>
        <v>258570.71464267865</v>
      </c>
      <c r="J513" s="13">
        <f t="shared" ref="J513:J767" si="20">IF(I513&gt;0, I513, 0)</f>
        <v>258570.71464267865</v>
      </c>
      <c r="K513" s="13">
        <f t="shared" ref="K513:K767" si="21">IF(I513&lt;0, I513, 0)</f>
        <v>0</v>
      </c>
      <c r="L513" s="13">
        <f t="shared" ref="L513:L767" si="22">SUM(I$3:I513)</f>
        <v>6455144.1808341416</v>
      </c>
      <c r="M513" s="13">
        <f t="shared" ref="M513:M767" si="23">10000000+L513</f>
        <v>16455144.180834141</v>
      </c>
      <c r="N513" s="13">
        <f t="shared" ref="N513:N767" si="24">MAX(M$3:M513)</f>
        <v>16455144.180834141</v>
      </c>
      <c r="O513" s="13">
        <f t="shared" ref="O513:O767" si="25">M513-N513</f>
        <v>0</v>
      </c>
      <c r="P513" s="12">
        <f t="shared" ref="P513:P767" si="26">O513/N513</f>
        <v>0</v>
      </c>
    </row>
    <row r="514" spans="1:16" ht="14.4" x14ac:dyDescent="0.3">
      <c r="A514" s="7" t="s">
        <v>497</v>
      </c>
      <c r="B514" s="8">
        <v>44012</v>
      </c>
      <c r="C514" s="9">
        <v>493.4</v>
      </c>
      <c r="D514" s="8">
        <v>44104</v>
      </c>
      <c r="E514" s="9">
        <v>807.4</v>
      </c>
      <c r="F514" s="17">
        <v>63.64</v>
      </c>
      <c r="G514" s="11"/>
      <c r="H514" s="12">
        <f t="shared" si="18"/>
        <v>0.63640048642075397</v>
      </c>
      <c r="I514" s="13">
        <f t="shared" si="19"/>
        <v>127280.09728415079</v>
      </c>
      <c r="J514" s="13">
        <f t="shared" si="20"/>
        <v>127280.09728415079</v>
      </c>
      <c r="K514" s="13">
        <f t="shared" si="21"/>
        <v>0</v>
      </c>
      <c r="L514" s="13">
        <f t="shared" si="22"/>
        <v>6582424.2781182928</v>
      </c>
      <c r="M514" s="13">
        <f t="shared" si="23"/>
        <v>16582424.278118294</v>
      </c>
      <c r="N514" s="13">
        <f t="shared" si="24"/>
        <v>16582424.278118294</v>
      </c>
      <c r="O514" s="13">
        <f t="shared" si="25"/>
        <v>0</v>
      </c>
      <c r="P514" s="12">
        <f t="shared" si="26"/>
        <v>0</v>
      </c>
    </row>
    <row r="515" spans="1:16" ht="14.4" x14ac:dyDescent="0.3">
      <c r="A515" s="7" t="s">
        <v>76</v>
      </c>
      <c r="B515" s="8">
        <v>44012</v>
      </c>
      <c r="C515" s="9">
        <v>5937</v>
      </c>
      <c r="D515" s="8">
        <v>44104</v>
      </c>
      <c r="E515" s="9">
        <v>5891.2</v>
      </c>
      <c r="F515" s="17">
        <v>-0.77</v>
      </c>
      <c r="G515" s="11"/>
      <c r="H515" s="12">
        <f t="shared" si="18"/>
        <v>-7.7143338386390743E-3</v>
      </c>
      <c r="I515" s="13">
        <f t="shared" si="19"/>
        <v>-1542.8667677278149</v>
      </c>
      <c r="J515" s="13">
        <f t="shared" si="20"/>
        <v>0</v>
      </c>
      <c r="K515" s="13">
        <f t="shared" si="21"/>
        <v>-1542.8667677278149</v>
      </c>
      <c r="L515" s="13">
        <f t="shared" si="22"/>
        <v>6580881.411350565</v>
      </c>
      <c r="M515" s="13">
        <f t="shared" si="23"/>
        <v>16580881.411350565</v>
      </c>
      <c r="N515" s="13">
        <f t="shared" si="24"/>
        <v>16582424.278118294</v>
      </c>
      <c r="O515" s="13">
        <f t="shared" si="25"/>
        <v>-1542.8667677287012</v>
      </c>
      <c r="P515" s="12">
        <f t="shared" si="26"/>
        <v>-9.3042292360389392E-5</v>
      </c>
    </row>
    <row r="516" spans="1:16" ht="14.4" x14ac:dyDescent="0.3">
      <c r="A516" s="7" t="s">
        <v>78</v>
      </c>
      <c r="B516" s="8">
        <v>44012</v>
      </c>
      <c r="C516" s="9">
        <v>58.2</v>
      </c>
      <c r="D516" s="8">
        <v>44104</v>
      </c>
      <c r="E516" s="9">
        <v>65.38</v>
      </c>
      <c r="F516" s="17">
        <v>12.34</v>
      </c>
      <c r="G516" s="11"/>
      <c r="H516" s="12">
        <f t="shared" si="18"/>
        <v>0.12336769759450159</v>
      </c>
      <c r="I516" s="13">
        <f t="shared" si="19"/>
        <v>24673.539518900317</v>
      </c>
      <c r="J516" s="13">
        <f t="shared" si="20"/>
        <v>24673.539518900317</v>
      </c>
      <c r="K516" s="13">
        <f t="shared" si="21"/>
        <v>0</v>
      </c>
      <c r="L516" s="13">
        <f t="shared" si="22"/>
        <v>6605554.9508694652</v>
      </c>
      <c r="M516" s="13">
        <f t="shared" si="23"/>
        <v>16605554.950869465</v>
      </c>
      <c r="N516" s="13">
        <f t="shared" si="24"/>
        <v>16605554.950869465</v>
      </c>
      <c r="O516" s="13">
        <f t="shared" si="25"/>
        <v>0</v>
      </c>
      <c r="P516" s="12">
        <f t="shared" si="26"/>
        <v>0</v>
      </c>
    </row>
    <row r="517" spans="1:16" ht="14.4" x14ac:dyDescent="0.3">
      <c r="A517" s="7" t="s">
        <v>425</v>
      </c>
      <c r="B517" s="8">
        <v>44012</v>
      </c>
      <c r="C517" s="9">
        <v>405.75</v>
      </c>
      <c r="D517" s="8">
        <v>44104</v>
      </c>
      <c r="E517" s="9">
        <v>331.6</v>
      </c>
      <c r="F517" s="17">
        <v>-18.27</v>
      </c>
      <c r="G517" s="11"/>
      <c r="H517" s="12">
        <f t="shared" si="18"/>
        <v>-0.18274799753542817</v>
      </c>
      <c r="I517" s="13">
        <f t="shared" si="19"/>
        <v>-36549.599507085637</v>
      </c>
      <c r="J517" s="13">
        <f t="shared" si="20"/>
        <v>0</v>
      </c>
      <c r="K517" s="13">
        <f t="shared" si="21"/>
        <v>-36549.599507085637</v>
      </c>
      <c r="L517" s="13">
        <f t="shared" si="22"/>
        <v>6569005.3513623793</v>
      </c>
      <c r="M517" s="13">
        <f t="shared" si="23"/>
        <v>16569005.351362379</v>
      </c>
      <c r="N517" s="13">
        <f t="shared" si="24"/>
        <v>16605554.950869465</v>
      </c>
      <c r="O517" s="13">
        <f t="shared" si="25"/>
        <v>-36549.599507085979</v>
      </c>
      <c r="P517" s="12">
        <f t="shared" si="26"/>
        <v>-2.2010465543141782E-3</v>
      </c>
    </row>
    <row r="518" spans="1:16" ht="14.4" x14ac:dyDescent="0.3">
      <c r="A518" s="7" t="s">
        <v>498</v>
      </c>
      <c r="B518" s="8">
        <v>44012</v>
      </c>
      <c r="C518" s="9">
        <v>755.75</v>
      </c>
      <c r="D518" s="8">
        <v>44104</v>
      </c>
      <c r="E518" s="9">
        <v>772.85</v>
      </c>
      <c r="F518" s="17">
        <v>2.2599999999999998</v>
      </c>
      <c r="G518" s="11"/>
      <c r="H518" s="12">
        <f t="shared" si="18"/>
        <v>2.262652993714856E-2</v>
      </c>
      <c r="I518" s="13">
        <f t="shared" si="19"/>
        <v>4525.3059874297123</v>
      </c>
      <c r="J518" s="13">
        <f t="shared" si="20"/>
        <v>4525.3059874297123</v>
      </c>
      <c r="K518" s="13">
        <f t="shared" si="21"/>
        <v>0</v>
      </c>
      <c r="L518" s="13">
        <f t="shared" si="22"/>
        <v>6573530.6573498091</v>
      </c>
      <c r="M518" s="13">
        <f t="shared" si="23"/>
        <v>16573530.65734981</v>
      </c>
      <c r="N518" s="13">
        <f t="shared" si="24"/>
        <v>16605554.950869465</v>
      </c>
      <c r="O518" s="13">
        <f t="shared" si="25"/>
        <v>-32024.293519655243</v>
      </c>
      <c r="P518" s="12">
        <f t="shared" si="26"/>
        <v>-1.928528953979852E-3</v>
      </c>
    </row>
    <row r="519" spans="1:16" ht="14.4" x14ac:dyDescent="0.3">
      <c r="A519" s="7" t="s">
        <v>499</v>
      </c>
      <c r="B519" s="8">
        <v>44012</v>
      </c>
      <c r="C519" s="9">
        <v>1040</v>
      </c>
      <c r="D519" s="8">
        <v>44104</v>
      </c>
      <c r="E519" s="9">
        <v>1318.45</v>
      </c>
      <c r="F519" s="17">
        <v>26.77</v>
      </c>
      <c r="G519" s="11"/>
      <c r="H519" s="12">
        <f t="shared" si="18"/>
        <v>0.26774038461538469</v>
      </c>
      <c r="I519" s="13">
        <f t="shared" si="19"/>
        <v>53548.076923076937</v>
      </c>
      <c r="J519" s="13">
        <f t="shared" si="20"/>
        <v>53548.076923076937</v>
      </c>
      <c r="K519" s="13">
        <f t="shared" si="21"/>
        <v>0</v>
      </c>
      <c r="L519" s="13">
        <f t="shared" si="22"/>
        <v>6627078.7342728861</v>
      </c>
      <c r="M519" s="13">
        <f t="shared" si="23"/>
        <v>16627078.734272886</v>
      </c>
      <c r="N519" s="13">
        <f t="shared" si="24"/>
        <v>16627078.734272886</v>
      </c>
      <c r="O519" s="13">
        <f t="shared" si="25"/>
        <v>0</v>
      </c>
      <c r="P519" s="12">
        <f t="shared" si="26"/>
        <v>0</v>
      </c>
    </row>
    <row r="520" spans="1:16" ht="14.4" x14ac:dyDescent="0.3">
      <c r="A520" s="7" t="s">
        <v>223</v>
      </c>
      <c r="B520" s="8">
        <v>44012</v>
      </c>
      <c r="C520" s="9">
        <v>36.75</v>
      </c>
      <c r="D520" s="8">
        <v>44104</v>
      </c>
      <c r="E520" s="9">
        <v>38.9</v>
      </c>
      <c r="F520" s="17">
        <v>5.85</v>
      </c>
      <c r="G520" s="11"/>
      <c r="H520" s="12">
        <f t="shared" si="18"/>
        <v>5.8503401360544181E-2</v>
      </c>
      <c r="I520" s="13">
        <f t="shared" si="19"/>
        <v>11700.680272108837</v>
      </c>
      <c r="J520" s="13">
        <f t="shared" si="20"/>
        <v>11700.680272108837</v>
      </c>
      <c r="K520" s="13">
        <f t="shared" si="21"/>
        <v>0</v>
      </c>
      <c r="L520" s="13">
        <f t="shared" si="22"/>
        <v>6638779.4145449949</v>
      </c>
      <c r="M520" s="13">
        <f t="shared" si="23"/>
        <v>16638779.414544996</v>
      </c>
      <c r="N520" s="13">
        <f t="shared" si="24"/>
        <v>16638779.414544996</v>
      </c>
      <c r="O520" s="13">
        <f t="shared" si="25"/>
        <v>0</v>
      </c>
      <c r="P520" s="12">
        <f t="shared" si="26"/>
        <v>0</v>
      </c>
    </row>
    <row r="521" spans="1:16" ht="14.4" x14ac:dyDescent="0.3">
      <c r="A521" s="7" t="s">
        <v>500</v>
      </c>
      <c r="B521" s="8">
        <v>44012</v>
      </c>
      <c r="C521" s="9">
        <v>690.8</v>
      </c>
      <c r="D521" s="8">
        <v>44104</v>
      </c>
      <c r="E521" s="9">
        <v>724.95</v>
      </c>
      <c r="F521" s="17">
        <v>4.9400000000000004</v>
      </c>
      <c r="G521" s="11"/>
      <c r="H521" s="12">
        <f t="shared" si="18"/>
        <v>4.943543717429081E-2</v>
      </c>
      <c r="I521" s="13">
        <f t="shared" si="19"/>
        <v>9887.0874348581619</v>
      </c>
      <c r="J521" s="13">
        <f t="shared" si="20"/>
        <v>9887.0874348581619</v>
      </c>
      <c r="K521" s="13">
        <f t="shared" si="21"/>
        <v>0</v>
      </c>
      <c r="L521" s="13">
        <f t="shared" si="22"/>
        <v>6648666.501979853</v>
      </c>
      <c r="M521" s="13">
        <f t="shared" si="23"/>
        <v>16648666.501979854</v>
      </c>
      <c r="N521" s="13">
        <f t="shared" si="24"/>
        <v>16648666.501979854</v>
      </c>
      <c r="O521" s="13">
        <f t="shared" si="25"/>
        <v>0</v>
      </c>
      <c r="P521" s="12">
        <f t="shared" si="26"/>
        <v>0</v>
      </c>
    </row>
    <row r="522" spans="1:16" ht="14.4" x14ac:dyDescent="0.3">
      <c r="A522" s="7" t="s">
        <v>501</v>
      </c>
      <c r="B522" s="8">
        <v>44012</v>
      </c>
      <c r="C522" s="9">
        <v>51.85</v>
      </c>
      <c r="D522" s="8">
        <v>44104</v>
      </c>
      <c r="E522" s="9">
        <v>50.15</v>
      </c>
      <c r="F522" s="17">
        <v>-3.28</v>
      </c>
      <c r="G522" s="11"/>
      <c r="H522" s="12">
        <f t="shared" si="18"/>
        <v>-3.2786885245901697E-2</v>
      </c>
      <c r="I522" s="13">
        <f t="shared" si="19"/>
        <v>-6557.3770491803389</v>
      </c>
      <c r="J522" s="13">
        <f t="shared" si="20"/>
        <v>0</v>
      </c>
      <c r="K522" s="13">
        <f t="shared" si="21"/>
        <v>-6557.3770491803389</v>
      </c>
      <c r="L522" s="13">
        <f t="shared" si="22"/>
        <v>6642109.1249306723</v>
      </c>
      <c r="M522" s="13">
        <f t="shared" si="23"/>
        <v>16642109.124930672</v>
      </c>
      <c r="N522" s="13">
        <f t="shared" si="24"/>
        <v>16648666.501979854</v>
      </c>
      <c r="O522" s="13">
        <f t="shared" si="25"/>
        <v>-6557.3770491816103</v>
      </c>
      <c r="P522" s="12">
        <f t="shared" si="26"/>
        <v>-3.9386800428741902E-4</v>
      </c>
    </row>
    <row r="523" spans="1:16" ht="14.4" x14ac:dyDescent="0.3">
      <c r="A523" s="7" t="s">
        <v>502</v>
      </c>
      <c r="B523" s="8">
        <v>44012</v>
      </c>
      <c r="C523" s="9">
        <v>43.87</v>
      </c>
      <c r="D523" s="8">
        <v>44104</v>
      </c>
      <c r="E523" s="9">
        <v>46.92</v>
      </c>
      <c r="F523" s="17">
        <v>6.95</v>
      </c>
      <c r="G523" s="11"/>
      <c r="H523" s="12">
        <f t="shared" si="18"/>
        <v>6.9523592432186102E-2</v>
      </c>
      <c r="I523" s="13">
        <f t="shared" si="19"/>
        <v>13904.718486437221</v>
      </c>
      <c r="J523" s="13">
        <f t="shared" si="20"/>
        <v>13904.718486437221</v>
      </c>
      <c r="K523" s="13">
        <f t="shared" si="21"/>
        <v>0</v>
      </c>
      <c r="L523" s="13">
        <f t="shared" si="22"/>
        <v>6656013.8434171099</v>
      </c>
      <c r="M523" s="13">
        <f t="shared" si="23"/>
        <v>16656013.84341711</v>
      </c>
      <c r="N523" s="13">
        <f t="shared" si="24"/>
        <v>16656013.84341711</v>
      </c>
      <c r="O523" s="13">
        <f t="shared" si="25"/>
        <v>0</v>
      </c>
      <c r="P523" s="12">
        <f t="shared" si="26"/>
        <v>0</v>
      </c>
    </row>
    <row r="524" spans="1:16" ht="14.4" x14ac:dyDescent="0.3">
      <c r="A524" s="7" t="s">
        <v>503</v>
      </c>
      <c r="B524" s="8">
        <v>44012</v>
      </c>
      <c r="C524" s="9">
        <v>368.05</v>
      </c>
      <c r="D524" s="8">
        <v>44104</v>
      </c>
      <c r="E524" s="9">
        <v>431.5</v>
      </c>
      <c r="F524" s="17">
        <v>17.239999999999998</v>
      </c>
      <c r="G524" s="11"/>
      <c r="H524" s="12">
        <f t="shared" si="18"/>
        <v>0.17239505501969837</v>
      </c>
      <c r="I524" s="13">
        <f t="shared" si="19"/>
        <v>34479.011003939675</v>
      </c>
      <c r="J524" s="13">
        <f t="shared" si="20"/>
        <v>34479.011003939675</v>
      </c>
      <c r="K524" s="13">
        <f t="shared" si="21"/>
        <v>0</v>
      </c>
      <c r="L524" s="13">
        <f t="shared" si="22"/>
        <v>6690492.8544210494</v>
      </c>
      <c r="M524" s="13">
        <f t="shared" si="23"/>
        <v>16690492.854421049</v>
      </c>
      <c r="N524" s="13">
        <f t="shared" si="24"/>
        <v>16690492.854421049</v>
      </c>
      <c r="O524" s="13">
        <f t="shared" si="25"/>
        <v>0</v>
      </c>
      <c r="P524" s="12">
        <f t="shared" si="26"/>
        <v>0</v>
      </c>
    </row>
    <row r="525" spans="1:16" ht="14.4" x14ac:dyDescent="0.3">
      <c r="A525" s="7" t="s">
        <v>504</v>
      </c>
      <c r="B525" s="8">
        <v>44012</v>
      </c>
      <c r="C525" s="9">
        <v>1379</v>
      </c>
      <c r="D525" s="8">
        <v>44104</v>
      </c>
      <c r="E525" s="9">
        <v>1506.85</v>
      </c>
      <c r="F525" s="17">
        <v>9.27</v>
      </c>
      <c r="G525" s="11"/>
      <c r="H525" s="12">
        <f t="shared" si="18"/>
        <v>9.2712110224800512E-2</v>
      </c>
      <c r="I525" s="13">
        <f t="shared" si="19"/>
        <v>18542.422044960102</v>
      </c>
      <c r="J525" s="13">
        <f t="shared" si="20"/>
        <v>18542.422044960102</v>
      </c>
      <c r="K525" s="13">
        <f t="shared" si="21"/>
        <v>0</v>
      </c>
      <c r="L525" s="13">
        <f t="shared" si="22"/>
        <v>6709035.2764660092</v>
      </c>
      <c r="M525" s="13">
        <f t="shared" si="23"/>
        <v>16709035.276466008</v>
      </c>
      <c r="N525" s="13">
        <f t="shared" si="24"/>
        <v>16709035.276466008</v>
      </c>
      <c r="O525" s="13">
        <f t="shared" si="25"/>
        <v>0</v>
      </c>
      <c r="P525" s="12">
        <f t="shared" si="26"/>
        <v>0</v>
      </c>
    </row>
    <row r="526" spans="1:16" ht="14.4" x14ac:dyDescent="0.3">
      <c r="A526" s="7" t="s">
        <v>505</v>
      </c>
      <c r="B526" s="8">
        <v>44012</v>
      </c>
      <c r="C526" s="9">
        <v>573.79999999999995</v>
      </c>
      <c r="D526" s="8">
        <v>44104</v>
      </c>
      <c r="E526" s="9">
        <v>531.25</v>
      </c>
      <c r="F526" s="17">
        <v>-7.42</v>
      </c>
      <c r="G526" s="11"/>
      <c r="H526" s="12">
        <f t="shared" si="18"/>
        <v>-7.4154757755315368E-2</v>
      </c>
      <c r="I526" s="13">
        <f t="shared" si="19"/>
        <v>-14830.951551063074</v>
      </c>
      <c r="J526" s="13">
        <f t="shared" si="20"/>
        <v>0</v>
      </c>
      <c r="K526" s="13">
        <f t="shared" si="21"/>
        <v>-14830.951551063074</v>
      </c>
      <c r="L526" s="13">
        <f t="shared" si="22"/>
        <v>6694204.3249149462</v>
      </c>
      <c r="M526" s="13">
        <f t="shared" si="23"/>
        <v>16694204.324914947</v>
      </c>
      <c r="N526" s="13">
        <f t="shared" si="24"/>
        <v>16709035.276466008</v>
      </c>
      <c r="O526" s="13">
        <f t="shared" si="25"/>
        <v>-14830.951551061124</v>
      </c>
      <c r="P526" s="12">
        <f t="shared" si="26"/>
        <v>-8.8760070857890345E-4</v>
      </c>
    </row>
    <row r="527" spans="1:16" ht="14.4" x14ac:dyDescent="0.3">
      <c r="A527" s="7" t="s">
        <v>506</v>
      </c>
      <c r="B527" s="8">
        <v>44012</v>
      </c>
      <c r="C527" s="9">
        <v>272.3</v>
      </c>
      <c r="D527" s="8">
        <v>44104</v>
      </c>
      <c r="E527" s="9">
        <v>284.89999999999998</v>
      </c>
      <c r="F527" s="17">
        <v>4.63</v>
      </c>
      <c r="G527" s="11"/>
      <c r="H527" s="12">
        <f t="shared" si="18"/>
        <v>4.6272493573264656E-2</v>
      </c>
      <c r="I527" s="13">
        <f t="shared" si="19"/>
        <v>9254.4987146529311</v>
      </c>
      <c r="J527" s="13">
        <f t="shared" si="20"/>
        <v>9254.4987146529311</v>
      </c>
      <c r="K527" s="13">
        <f t="shared" si="21"/>
        <v>0</v>
      </c>
      <c r="L527" s="13">
        <f t="shared" si="22"/>
        <v>6703458.8236295991</v>
      </c>
      <c r="M527" s="13">
        <f t="shared" si="23"/>
        <v>16703458.823629599</v>
      </c>
      <c r="N527" s="13">
        <f t="shared" si="24"/>
        <v>16709035.276466008</v>
      </c>
      <c r="O527" s="13">
        <f t="shared" si="25"/>
        <v>-5576.4528364092112</v>
      </c>
      <c r="P527" s="12">
        <f t="shared" si="26"/>
        <v>-3.3373876732808246E-4</v>
      </c>
    </row>
    <row r="528" spans="1:16" ht="14.4" x14ac:dyDescent="0.3">
      <c r="A528" s="7" t="s">
        <v>471</v>
      </c>
      <c r="B528" s="8">
        <v>44012</v>
      </c>
      <c r="C528" s="9">
        <v>743.05</v>
      </c>
      <c r="D528" s="8">
        <v>44104</v>
      </c>
      <c r="E528" s="9">
        <v>497.7</v>
      </c>
      <c r="F528" s="17">
        <v>-33.020000000000003</v>
      </c>
      <c r="G528" s="11"/>
      <c r="H528" s="12">
        <f t="shared" si="18"/>
        <v>-0.33019312293923692</v>
      </c>
      <c r="I528" s="13">
        <f t="shared" si="19"/>
        <v>-66038.624587847386</v>
      </c>
      <c r="J528" s="13">
        <f t="shared" si="20"/>
        <v>0</v>
      </c>
      <c r="K528" s="13">
        <f t="shared" si="21"/>
        <v>-66038.624587847386</v>
      </c>
      <c r="L528" s="13">
        <f t="shared" si="22"/>
        <v>6637420.1990417521</v>
      </c>
      <c r="M528" s="13">
        <f t="shared" si="23"/>
        <v>16637420.199041752</v>
      </c>
      <c r="N528" s="13">
        <f t="shared" si="24"/>
        <v>16709035.276466008</v>
      </c>
      <c r="O528" s="13">
        <f t="shared" si="25"/>
        <v>-71615.077424256131</v>
      </c>
      <c r="P528" s="12">
        <f t="shared" si="26"/>
        <v>-4.2860091105991639E-3</v>
      </c>
    </row>
    <row r="529" spans="1:16" ht="14.4" x14ac:dyDescent="0.3">
      <c r="A529" s="7" t="s">
        <v>80</v>
      </c>
      <c r="B529" s="8">
        <v>44012</v>
      </c>
      <c r="C529" s="9">
        <v>1325.6</v>
      </c>
      <c r="D529" s="8">
        <v>44104</v>
      </c>
      <c r="E529" s="9">
        <v>1678</v>
      </c>
      <c r="F529" s="17">
        <v>26.58</v>
      </c>
      <c r="G529" s="11"/>
      <c r="H529" s="12">
        <f t="shared" si="18"/>
        <v>0.26584188292094157</v>
      </c>
      <c r="I529" s="13">
        <f t="shared" si="19"/>
        <v>53168.376584188314</v>
      </c>
      <c r="J529" s="13">
        <f t="shared" si="20"/>
        <v>53168.376584188314</v>
      </c>
      <c r="K529" s="13">
        <f t="shared" si="21"/>
        <v>0</v>
      </c>
      <c r="L529" s="13">
        <f t="shared" si="22"/>
        <v>6690588.5756259402</v>
      </c>
      <c r="M529" s="13">
        <f t="shared" si="23"/>
        <v>16690588.575625941</v>
      </c>
      <c r="N529" s="13">
        <f t="shared" si="24"/>
        <v>16709035.276466008</v>
      </c>
      <c r="O529" s="13">
        <f t="shared" si="25"/>
        <v>-18446.700840067118</v>
      </c>
      <c r="P529" s="12">
        <f t="shared" si="26"/>
        <v>-1.1039955649652939E-3</v>
      </c>
    </row>
    <row r="530" spans="1:16" ht="14.4" x14ac:dyDescent="0.3">
      <c r="A530" s="7" t="s">
        <v>507</v>
      </c>
      <c r="B530" s="8">
        <v>44012</v>
      </c>
      <c r="C530" s="9">
        <v>400.9</v>
      </c>
      <c r="D530" s="8">
        <v>44104</v>
      </c>
      <c r="E530" s="9">
        <v>552.95000000000005</v>
      </c>
      <c r="F530" s="17">
        <v>37.93</v>
      </c>
      <c r="G530" s="11"/>
      <c r="H530" s="12">
        <f t="shared" si="18"/>
        <v>0.37927163881267167</v>
      </c>
      <c r="I530" s="13">
        <f t="shared" si="19"/>
        <v>75854.327762534333</v>
      </c>
      <c r="J530" s="13">
        <f t="shared" si="20"/>
        <v>75854.327762534333</v>
      </c>
      <c r="K530" s="13">
        <f t="shared" si="21"/>
        <v>0</v>
      </c>
      <c r="L530" s="13">
        <f t="shared" si="22"/>
        <v>6766442.9033884741</v>
      </c>
      <c r="M530" s="13">
        <f t="shared" si="23"/>
        <v>16766442.903388474</v>
      </c>
      <c r="N530" s="13">
        <f t="shared" si="24"/>
        <v>16766442.903388474</v>
      </c>
      <c r="O530" s="13">
        <f t="shared" si="25"/>
        <v>0</v>
      </c>
      <c r="P530" s="12">
        <f t="shared" si="26"/>
        <v>0</v>
      </c>
    </row>
    <row r="531" spans="1:16" ht="14.4" x14ac:dyDescent="0.3">
      <c r="A531" s="7" t="s">
        <v>508</v>
      </c>
      <c r="B531" s="8">
        <v>44012</v>
      </c>
      <c r="C531" s="9">
        <v>54.25</v>
      </c>
      <c r="D531" s="8">
        <v>44104</v>
      </c>
      <c r="E531" s="9">
        <v>94.95</v>
      </c>
      <c r="F531" s="17">
        <v>75.02</v>
      </c>
      <c r="G531" s="11"/>
      <c r="H531" s="12">
        <f t="shared" si="18"/>
        <v>0.75023041474654384</v>
      </c>
      <c r="I531" s="13">
        <f t="shared" si="19"/>
        <v>150046.08294930877</v>
      </c>
      <c r="J531" s="13">
        <f t="shared" si="20"/>
        <v>150046.08294930877</v>
      </c>
      <c r="K531" s="13">
        <f t="shared" si="21"/>
        <v>0</v>
      </c>
      <c r="L531" s="13">
        <f t="shared" si="22"/>
        <v>6916488.9863377828</v>
      </c>
      <c r="M531" s="13">
        <f t="shared" si="23"/>
        <v>16916488.986337781</v>
      </c>
      <c r="N531" s="13">
        <f t="shared" si="24"/>
        <v>16916488.986337781</v>
      </c>
      <c r="O531" s="13">
        <f t="shared" si="25"/>
        <v>0</v>
      </c>
      <c r="P531" s="12">
        <f t="shared" si="26"/>
        <v>0</v>
      </c>
    </row>
    <row r="532" spans="1:16" ht="14.4" x14ac:dyDescent="0.3">
      <c r="A532" s="7" t="s">
        <v>509</v>
      </c>
      <c r="B532" s="8">
        <v>44012</v>
      </c>
      <c r="C532" s="9">
        <v>226.3</v>
      </c>
      <c r="D532" s="8">
        <v>44104</v>
      </c>
      <c r="E532" s="9">
        <v>194.4</v>
      </c>
      <c r="F532" s="17">
        <v>-14.1</v>
      </c>
      <c r="G532" s="11"/>
      <c r="H532" s="12">
        <f t="shared" si="18"/>
        <v>-0.14096332302253647</v>
      </c>
      <c r="I532" s="13">
        <f t="shared" si="19"/>
        <v>-28192.664604507296</v>
      </c>
      <c r="J532" s="13">
        <f t="shared" si="20"/>
        <v>0</v>
      </c>
      <c r="K532" s="13">
        <f t="shared" si="21"/>
        <v>-28192.664604507296</v>
      </c>
      <c r="L532" s="13">
        <f t="shared" si="22"/>
        <v>6888296.3217332754</v>
      </c>
      <c r="M532" s="13">
        <f t="shared" si="23"/>
        <v>16888296.321733274</v>
      </c>
      <c r="N532" s="13">
        <f t="shared" si="24"/>
        <v>16916488.986337781</v>
      </c>
      <c r="O532" s="13">
        <f t="shared" si="25"/>
        <v>-28192.664604507387</v>
      </c>
      <c r="P532" s="12">
        <f t="shared" si="26"/>
        <v>-1.6665789589835429E-3</v>
      </c>
    </row>
    <row r="533" spans="1:16" ht="14.4" x14ac:dyDescent="0.3">
      <c r="A533" s="7" t="s">
        <v>510</v>
      </c>
      <c r="B533" s="8">
        <v>44012</v>
      </c>
      <c r="C533" s="9">
        <v>21.55</v>
      </c>
      <c r="D533" s="8">
        <v>44104</v>
      </c>
      <c r="E533" s="9">
        <v>21.7</v>
      </c>
      <c r="F533" s="17">
        <v>0.7</v>
      </c>
      <c r="G533" s="11"/>
      <c r="H533" s="12">
        <f t="shared" si="18"/>
        <v>6.9605568445474976E-3</v>
      </c>
      <c r="I533" s="13">
        <f t="shared" si="19"/>
        <v>1392.1113689094996</v>
      </c>
      <c r="J533" s="13">
        <f t="shared" si="20"/>
        <v>1392.1113689094996</v>
      </c>
      <c r="K533" s="13">
        <f t="shared" si="21"/>
        <v>0</v>
      </c>
      <c r="L533" s="13">
        <f t="shared" si="22"/>
        <v>6889688.4331021849</v>
      </c>
      <c r="M533" s="13">
        <f t="shared" si="23"/>
        <v>16889688.433102183</v>
      </c>
      <c r="N533" s="13">
        <f t="shared" si="24"/>
        <v>16916488.986337781</v>
      </c>
      <c r="O533" s="13">
        <f t="shared" si="25"/>
        <v>-26800.553235597908</v>
      </c>
      <c r="P533" s="12">
        <f t="shared" si="26"/>
        <v>-1.5842857969666619E-3</v>
      </c>
    </row>
    <row r="534" spans="1:16" ht="14.4" x14ac:dyDescent="0.3">
      <c r="A534" s="7" t="s">
        <v>511</v>
      </c>
      <c r="B534" s="8">
        <v>44012</v>
      </c>
      <c r="C534" s="9">
        <v>142.4</v>
      </c>
      <c r="D534" s="8">
        <v>44104</v>
      </c>
      <c r="E534" s="9">
        <v>261.7</v>
      </c>
      <c r="F534" s="17">
        <v>83.78</v>
      </c>
      <c r="G534" s="11"/>
      <c r="H534" s="12">
        <f t="shared" si="18"/>
        <v>0.83778089887640439</v>
      </c>
      <c r="I534" s="13">
        <f t="shared" si="19"/>
        <v>167556.17977528088</v>
      </c>
      <c r="J534" s="13">
        <f t="shared" si="20"/>
        <v>167556.17977528088</v>
      </c>
      <c r="K534" s="13">
        <f t="shared" si="21"/>
        <v>0</v>
      </c>
      <c r="L534" s="13">
        <f t="shared" si="22"/>
        <v>7057244.6128774658</v>
      </c>
      <c r="M534" s="13">
        <f t="shared" si="23"/>
        <v>17057244.612877466</v>
      </c>
      <c r="N534" s="13">
        <f t="shared" si="24"/>
        <v>17057244.612877466</v>
      </c>
      <c r="O534" s="13">
        <f t="shared" si="25"/>
        <v>0</v>
      </c>
      <c r="P534" s="12">
        <f t="shared" si="26"/>
        <v>0</v>
      </c>
    </row>
    <row r="535" spans="1:16" ht="14.4" x14ac:dyDescent="0.3">
      <c r="A535" s="7" t="s">
        <v>512</v>
      </c>
      <c r="B535" s="8">
        <v>44012</v>
      </c>
      <c r="C535" s="9">
        <v>273.5</v>
      </c>
      <c r="D535" s="8">
        <v>44104</v>
      </c>
      <c r="E535" s="9">
        <v>402.7</v>
      </c>
      <c r="F535" s="17">
        <v>47.24</v>
      </c>
      <c r="G535" s="11"/>
      <c r="H535" s="12">
        <f t="shared" si="18"/>
        <v>0.47239488117001827</v>
      </c>
      <c r="I535" s="13">
        <f t="shared" si="19"/>
        <v>94478.976234003654</v>
      </c>
      <c r="J535" s="13">
        <f t="shared" si="20"/>
        <v>94478.976234003654</v>
      </c>
      <c r="K535" s="13">
        <f t="shared" si="21"/>
        <v>0</v>
      </c>
      <c r="L535" s="13">
        <f t="shared" si="22"/>
        <v>7151723.5891114697</v>
      </c>
      <c r="M535" s="13">
        <f t="shared" si="23"/>
        <v>17151723.58911147</v>
      </c>
      <c r="N535" s="13">
        <f t="shared" si="24"/>
        <v>17151723.58911147</v>
      </c>
      <c r="O535" s="13">
        <f t="shared" si="25"/>
        <v>0</v>
      </c>
      <c r="P535" s="12">
        <f t="shared" si="26"/>
        <v>0</v>
      </c>
    </row>
    <row r="536" spans="1:16" ht="14.4" x14ac:dyDescent="0.3">
      <c r="A536" s="7" t="s">
        <v>513</v>
      </c>
      <c r="B536" s="8">
        <v>44012</v>
      </c>
      <c r="C536" s="9">
        <v>76.3</v>
      </c>
      <c r="D536" s="8">
        <v>44104</v>
      </c>
      <c r="E536" s="9">
        <v>78.95</v>
      </c>
      <c r="F536" s="17">
        <v>3.47</v>
      </c>
      <c r="G536" s="11"/>
      <c r="H536" s="12">
        <f t="shared" si="18"/>
        <v>3.4731323722149487E-2</v>
      </c>
      <c r="I536" s="13">
        <f t="shared" si="19"/>
        <v>6946.2647444298973</v>
      </c>
      <c r="J536" s="13">
        <f t="shared" si="20"/>
        <v>6946.2647444298973</v>
      </c>
      <c r="K536" s="13">
        <f t="shared" si="21"/>
        <v>0</v>
      </c>
      <c r="L536" s="13">
        <f t="shared" si="22"/>
        <v>7158669.8538558995</v>
      </c>
      <c r="M536" s="13">
        <f t="shared" si="23"/>
        <v>17158669.8538559</v>
      </c>
      <c r="N536" s="13">
        <f t="shared" si="24"/>
        <v>17158669.8538559</v>
      </c>
      <c r="O536" s="13">
        <f t="shared" si="25"/>
        <v>0</v>
      </c>
      <c r="P536" s="12">
        <f t="shared" si="26"/>
        <v>0</v>
      </c>
    </row>
    <row r="537" spans="1:16" ht="14.4" x14ac:dyDescent="0.3">
      <c r="A537" s="7" t="s">
        <v>514</v>
      </c>
      <c r="B537" s="8">
        <v>44012</v>
      </c>
      <c r="C537" s="9">
        <v>612.79999999999995</v>
      </c>
      <c r="D537" s="8">
        <v>44104</v>
      </c>
      <c r="E537" s="9">
        <v>994.3</v>
      </c>
      <c r="F537" s="17">
        <v>62.26</v>
      </c>
      <c r="G537" s="11"/>
      <c r="H537" s="12">
        <f t="shared" si="18"/>
        <v>0.6225522193211489</v>
      </c>
      <c r="I537" s="13">
        <f t="shared" si="19"/>
        <v>124510.44386422978</v>
      </c>
      <c r="J537" s="13">
        <f t="shared" si="20"/>
        <v>124510.44386422978</v>
      </c>
      <c r="K537" s="13">
        <f t="shared" si="21"/>
        <v>0</v>
      </c>
      <c r="L537" s="13">
        <f t="shared" si="22"/>
        <v>7283180.2977201296</v>
      </c>
      <c r="M537" s="13">
        <f t="shared" si="23"/>
        <v>17283180.297720131</v>
      </c>
      <c r="N537" s="13">
        <f t="shared" si="24"/>
        <v>17283180.297720131</v>
      </c>
      <c r="O537" s="13">
        <f t="shared" si="25"/>
        <v>0</v>
      </c>
      <c r="P537" s="12">
        <f t="shared" si="26"/>
        <v>0</v>
      </c>
    </row>
    <row r="538" spans="1:16" ht="14.4" x14ac:dyDescent="0.3">
      <c r="A538" s="7" t="s">
        <v>364</v>
      </c>
      <c r="B538" s="8">
        <v>44012</v>
      </c>
      <c r="C538" s="9">
        <v>214.5</v>
      </c>
      <c r="D538" s="8">
        <v>44104</v>
      </c>
      <c r="E538" s="9">
        <v>216.35</v>
      </c>
      <c r="F538" s="17">
        <v>0.86</v>
      </c>
      <c r="G538" s="11"/>
      <c r="H538" s="12">
        <f t="shared" si="18"/>
        <v>8.6247086247085974E-3</v>
      </c>
      <c r="I538" s="13">
        <f t="shared" si="19"/>
        <v>1724.9417249417195</v>
      </c>
      <c r="J538" s="13">
        <f t="shared" si="20"/>
        <v>1724.9417249417195</v>
      </c>
      <c r="K538" s="13">
        <f t="shared" si="21"/>
        <v>0</v>
      </c>
      <c r="L538" s="13">
        <f t="shared" si="22"/>
        <v>7284905.2394450717</v>
      </c>
      <c r="M538" s="13">
        <f t="shared" si="23"/>
        <v>17284905.239445072</v>
      </c>
      <c r="N538" s="13">
        <f t="shared" si="24"/>
        <v>17284905.239445072</v>
      </c>
      <c r="O538" s="13">
        <f t="shared" si="25"/>
        <v>0</v>
      </c>
      <c r="P538" s="12">
        <f t="shared" si="26"/>
        <v>0</v>
      </c>
    </row>
    <row r="539" spans="1:16" ht="14.4" x14ac:dyDescent="0.3">
      <c r="A539" s="7" t="s">
        <v>515</v>
      </c>
      <c r="B539" s="8">
        <v>43738</v>
      </c>
      <c r="C539" s="9">
        <v>38.6</v>
      </c>
      <c r="D539" s="8">
        <v>43921</v>
      </c>
      <c r="E539" s="9">
        <v>36.43</v>
      </c>
      <c r="F539" s="17">
        <v>-5.62</v>
      </c>
      <c r="G539" s="11"/>
      <c r="H539" s="12">
        <f t="shared" si="18"/>
        <v>-5.6217616580310922E-2</v>
      </c>
      <c r="I539" s="13">
        <f t="shared" si="19"/>
        <v>-11243.523316062185</v>
      </c>
      <c r="J539" s="13">
        <f t="shared" si="20"/>
        <v>0</v>
      </c>
      <c r="K539" s="13">
        <f t="shared" si="21"/>
        <v>-11243.523316062185</v>
      </c>
      <c r="L539" s="13">
        <f t="shared" si="22"/>
        <v>7273661.7161290096</v>
      </c>
      <c r="M539" s="13">
        <f t="shared" si="23"/>
        <v>17273661.716129009</v>
      </c>
      <c r="N539" s="13">
        <f t="shared" si="24"/>
        <v>17284905.239445072</v>
      </c>
      <c r="O539" s="13">
        <f t="shared" si="25"/>
        <v>-11243.523316062987</v>
      </c>
      <c r="P539" s="12">
        <f t="shared" si="26"/>
        <v>-6.5048220746994148E-4</v>
      </c>
    </row>
    <row r="540" spans="1:16" ht="14.4" x14ac:dyDescent="0.3">
      <c r="A540" s="7" t="s">
        <v>516</v>
      </c>
      <c r="B540" s="8">
        <v>43830</v>
      </c>
      <c r="C540" s="9">
        <v>626.23</v>
      </c>
      <c r="D540" s="8">
        <v>43921</v>
      </c>
      <c r="E540" s="9">
        <v>838.33</v>
      </c>
      <c r="F540" s="17">
        <v>33.869999999999997</v>
      </c>
      <c r="G540" s="11"/>
      <c r="H540" s="12">
        <f t="shared" si="18"/>
        <v>0.33869345128786549</v>
      </c>
      <c r="I540" s="13">
        <f t="shared" si="19"/>
        <v>67738.690257573093</v>
      </c>
      <c r="J540" s="13">
        <f t="shared" si="20"/>
        <v>67738.690257573093</v>
      </c>
      <c r="K540" s="13">
        <f t="shared" si="21"/>
        <v>0</v>
      </c>
      <c r="L540" s="13">
        <f t="shared" si="22"/>
        <v>7341400.4063865831</v>
      </c>
      <c r="M540" s="13">
        <f t="shared" si="23"/>
        <v>17341400.406386584</v>
      </c>
      <c r="N540" s="13">
        <f t="shared" si="24"/>
        <v>17341400.406386584</v>
      </c>
      <c r="O540" s="13">
        <f t="shared" si="25"/>
        <v>0</v>
      </c>
      <c r="P540" s="12">
        <f t="shared" si="26"/>
        <v>0</v>
      </c>
    </row>
    <row r="541" spans="1:16" ht="14.4" x14ac:dyDescent="0.3">
      <c r="A541" s="7" t="s">
        <v>517</v>
      </c>
      <c r="B541" s="8">
        <v>43738</v>
      </c>
      <c r="C541" s="9">
        <v>584.20000000000005</v>
      </c>
      <c r="D541" s="8">
        <v>43921</v>
      </c>
      <c r="E541" s="9">
        <v>712.7</v>
      </c>
      <c r="F541" s="17">
        <v>22</v>
      </c>
      <c r="G541" s="11"/>
      <c r="H541" s="12">
        <f t="shared" si="18"/>
        <v>0.21995891817870591</v>
      </c>
      <c r="I541" s="13">
        <f t="shared" si="19"/>
        <v>43991.78363574118</v>
      </c>
      <c r="J541" s="13">
        <f t="shared" si="20"/>
        <v>43991.78363574118</v>
      </c>
      <c r="K541" s="13">
        <f t="shared" si="21"/>
        <v>0</v>
      </c>
      <c r="L541" s="13">
        <f t="shared" si="22"/>
        <v>7385392.1900223242</v>
      </c>
      <c r="M541" s="13">
        <f t="shared" si="23"/>
        <v>17385392.190022323</v>
      </c>
      <c r="N541" s="13">
        <f t="shared" si="24"/>
        <v>17385392.190022323</v>
      </c>
      <c r="O541" s="13">
        <f t="shared" si="25"/>
        <v>0</v>
      </c>
      <c r="P541" s="12">
        <f t="shared" si="26"/>
        <v>0</v>
      </c>
    </row>
    <row r="542" spans="1:16" ht="14.4" x14ac:dyDescent="0.3">
      <c r="A542" s="7" t="s">
        <v>518</v>
      </c>
      <c r="B542" s="8">
        <v>43830</v>
      </c>
      <c r="C542" s="9">
        <v>183.4</v>
      </c>
      <c r="D542" s="8">
        <v>43921</v>
      </c>
      <c r="E542" s="9">
        <v>104.05</v>
      </c>
      <c r="F542" s="17">
        <v>-43.27</v>
      </c>
      <c r="G542" s="11"/>
      <c r="H542" s="12">
        <f t="shared" si="18"/>
        <v>-0.43266085059978193</v>
      </c>
      <c r="I542" s="13">
        <f t="shared" si="19"/>
        <v>-86532.170119956383</v>
      </c>
      <c r="J542" s="13">
        <f t="shared" si="20"/>
        <v>0</v>
      </c>
      <c r="K542" s="13">
        <f t="shared" si="21"/>
        <v>-86532.170119956383</v>
      </c>
      <c r="L542" s="13">
        <f t="shared" si="22"/>
        <v>7298860.0199023681</v>
      </c>
      <c r="M542" s="13">
        <f t="shared" si="23"/>
        <v>17298860.019902367</v>
      </c>
      <c r="N542" s="13">
        <f t="shared" si="24"/>
        <v>17385392.190022323</v>
      </c>
      <c r="O542" s="13">
        <f t="shared" si="25"/>
        <v>-86532.170119956136</v>
      </c>
      <c r="P542" s="12">
        <f t="shared" si="26"/>
        <v>-4.9772918076371004E-3</v>
      </c>
    </row>
    <row r="543" spans="1:16" ht="14.4" x14ac:dyDescent="0.3">
      <c r="A543" s="7" t="s">
        <v>424</v>
      </c>
      <c r="B543" s="8">
        <v>43830</v>
      </c>
      <c r="C543" s="9">
        <v>1907.6</v>
      </c>
      <c r="D543" s="8">
        <v>43921</v>
      </c>
      <c r="E543" s="9">
        <v>1254.3</v>
      </c>
      <c r="F543" s="17">
        <v>-34.25</v>
      </c>
      <c r="G543" s="11"/>
      <c r="H543" s="12">
        <f t="shared" si="18"/>
        <v>-0.34247221639756764</v>
      </c>
      <c r="I543" s="13">
        <f t="shared" si="19"/>
        <v>-68494.443279513522</v>
      </c>
      <c r="J543" s="13">
        <f t="shared" si="20"/>
        <v>0</v>
      </c>
      <c r="K543" s="13">
        <f t="shared" si="21"/>
        <v>-68494.443279513522</v>
      </c>
      <c r="L543" s="13">
        <f t="shared" si="22"/>
        <v>7230365.5766228549</v>
      </c>
      <c r="M543" s="13">
        <f t="shared" si="23"/>
        <v>17230365.576622855</v>
      </c>
      <c r="N543" s="13">
        <f t="shared" si="24"/>
        <v>17385392.190022323</v>
      </c>
      <c r="O543" s="13">
        <f t="shared" si="25"/>
        <v>-155026.61339946836</v>
      </c>
      <c r="P543" s="12">
        <f t="shared" si="26"/>
        <v>-8.9170616173065067E-3</v>
      </c>
    </row>
    <row r="544" spans="1:16" ht="14.4" x14ac:dyDescent="0.3">
      <c r="A544" s="7" t="s">
        <v>519</v>
      </c>
      <c r="B544" s="8">
        <v>43830</v>
      </c>
      <c r="C544" s="9">
        <v>33.4</v>
      </c>
      <c r="D544" s="8">
        <v>43921</v>
      </c>
      <c r="E544" s="9">
        <v>16.55</v>
      </c>
      <c r="F544" s="17">
        <v>-50.45</v>
      </c>
      <c r="G544" s="11"/>
      <c r="H544" s="12">
        <f t="shared" si="18"/>
        <v>-0.50449101796407181</v>
      </c>
      <c r="I544" s="13">
        <f t="shared" si="19"/>
        <v>-100898.20359281436</v>
      </c>
      <c r="J544" s="13">
        <f t="shared" si="20"/>
        <v>0</v>
      </c>
      <c r="K544" s="13">
        <f t="shared" si="21"/>
        <v>-100898.20359281436</v>
      </c>
      <c r="L544" s="13">
        <f t="shared" si="22"/>
        <v>7129467.3730300404</v>
      </c>
      <c r="M544" s="13">
        <f t="shared" si="23"/>
        <v>17129467.37303004</v>
      </c>
      <c r="N544" s="13">
        <f t="shared" si="24"/>
        <v>17385392.190022323</v>
      </c>
      <c r="O544" s="13">
        <f t="shared" si="25"/>
        <v>-255924.81699228287</v>
      </c>
      <c r="P544" s="12">
        <f t="shared" si="26"/>
        <v>-1.4720681259014741E-2</v>
      </c>
    </row>
    <row r="545" spans="1:16" ht="14.4" x14ac:dyDescent="0.3">
      <c r="A545" s="7" t="s">
        <v>520</v>
      </c>
      <c r="B545" s="8">
        <v>43830</v>
      </c>
      <c r="C545" s="9">
        <v>177.2</v>
      </c>
      <c r="D545" s="8">
        <v>43921</v>
      </c>
      <c r="E545" s="9">
        <v>155.1</v>
      </c>
      <c r="F545" s="17">
        <v>-12.47</v>
      </c>
      <c r="G545" s="11"/>
      <c r="H545" s="12">
        <f t="shared" si="18"/>
        <v>-0.12471783295711059</v>
      </c>
      <c r="I545" s="13">
        <f t="shared" si="19"/>
        <v>-24943.566591422117</v>
      </c>
      <c r="J545" s="13">
        <f t="shared" si="20"/>
        <v>0</v>
      </c>
      <c r="K545" s="13">
        <f t="shared" si="21"/>
        <v>-24943.566591422117</v>
      </c>
      <c r="L545" s="13">
        <f t="shared" si="22"/>
        <v>7104523.8064386183</v>
      </c>
      <c r="M545" s="13">
        <f t="shared" si="23"/>
        <v>17104523.806438617</v>
      </c>
      <c r="N545" s="13">
        <f t="shared" si="24"/>
        <v>17385392.190022323</v>
      </c>
      <c r="O545" s="13">
        <f t="shared" si="25"/>
        <v>-280868.38358370587</v>
      </c>
      <c r="P545" s="12">
        <f t="shared" si="26"/>
        <v>-1.6155424077513733E-2</v>
      </c>
    </row>
    <row r="546" spans="1:16" ht="14.4" x14ac:dyDescent="0.3">
      <c r="A546" s="7" t="s">
        <v>222</v>
      </c>
      <c r="B546" s="8">
        <v>43830</v>
      </c>
      <c r="C546" s="9">
        <v>43</v>
      </c>
      <c r="D546" s="8">
        <v>43921</v>
      </c>
      <c r="E546" s="9">
        <v>26.65</v>
      </c>
      <c r="F546" s="17">
        <v>-38.020000000000003</v>
      </c>
      <c r="G546" s="11"/>
      <c r="H546" s="12">
        <f t="shared" si="18"/>
        <v>-0.38023255813953494</v>
      </c>
      <c r="I546" s="13">
        <f t="shared" si="19"/>
        <v>-76046.511627906992</v>
      </c>
      <c r="J546" s="13">
        <f t="shared" si="20"/>
        <v>0</v>
      </c>
      <c r="K546" s="13">
        <f t="shared" si="21"/>
        <v>-76046.511627906992</v>
      </c>
      <c r="L546" s="13">
        <f t="shared" si="22"/>
        <v>7028477.2948107114</v>
      </c>
      <c r="M546" s="13">
        <f t="shared" si="23"/>
        <v>17028477.294810712</v>
      </c>
      <c r="N546" s="13">
        <f t="shared" si="24"/>
        <v>17385392.190022323</v>
      </c>
      <c r="O546" s="13">
        <f t="shared" si="25"/>
        <v>-356914.89521161094</v>
      </c>
      <c r="P546" s="12">
        <f t="shared" si="26"/>
        <v>-2.0529585488238137E-2</v>
      </c>
    </row>
    <row r="547" spans="1:16" ht="14.4" x14ac:dyDescent="0.3">
      <c r="A547" s="7" t="s">
        <v>521</v>
      </c>
      <c r="B547" s="8">
        <v>43830</v>
      </c>
      <c r="C547" s="9">
        <v>164.35</v>
      </c>
      <c r="D547" s="8">
        <v>43921</v>
      </c>
      <c r="E547" s="9">
        <v>138.19999999999999</v>
      </c>
      <c r="F547" s="17">
        <v>-15.91</v>
      </c>
      <c r="G547" s="11"/>
      <c r="H547" s="12">
        <f t="shared" si="18"/>
        <v>-0.15911165196227567</v>
      </c>
      <c r="I547" s="13">
        <f t="shared" si="19"/>
        <v>-31822.330392455133</v>
      </c>
      <c r="J547" s="13">
        <f t="shared" si="20"/>
        <v>0</v>
      </c>
      <c r="K547" s="13">
        <f t="shared" si="21"/>
        <v>-31822.330392455133</v>
      </c>
      <c r="L547" s="13">
        <f t="shared" si="22"/>
        <v>6996654.9644182567</v>
      </c>
      <c r="M547" s="13">
        <f t="shared" si="23"/>
        <v>16996654.964418255</v>
      </c>
      <c r="N547" s="13">
        <f t="shared" si="24"/>
        <v>17385392.190022323</v>
      </c>
      <c r="O547" s="13">
        <f t="shared" si="25"/>
        <v>-388737.22560406849</v>
      </c>
      <c r="P547" s="12">
        <f t="shared" si="26"/>
        <v>-2.2359991730711098E-2</v>
      </c>
    </row>
    <row r="548" spans="1:16" ht="14.4" x14ac:dyDescent="0.3">
      <c r="A548" s="7" t="s">
        <v>74</v>
      </c>
      <c r="B548" s="8">
        <v>43830</v>
      </c>
      <c r="C548" s="9">
        <v>13.2</v>
      </c>
      <c r="D548" s="8">
        <v>43921</v>
      </c>
      <c r="E548" s="9">
        <v>6.32</v>
      </c>
      <c r="F548" s="17">
        <v>-52.12</v>
      </c>
      <c r="G548" s="11"/>
      <c r="H548" s="12">
        <f t="shared" si="18"/>
        <v>-0.52121212121212113</v>
      </c>
      <c r="I548" s="13">
        <f t="shared" si="19"/>
        <v>-104242.42424242423</v>
      </c>
      <c r="J548" s="13">
        <f t="shared" si="20"/>
        <v>0</v>
      </c>
      <c r="K548" s="13">
        <f t="shared" si="21"/>
        <v>-104242.42424242423</v>
      </c>
      <c r="L548" s="13">
        <f t="shared" si="22"/>
        <v>6892412.5401758328</v>
      </c>
      <c r="M548" s="13">
        <f t="shared" si="23"/>
        <v>16892412.540175833</v>
      </c>
      <c r="N548" s="13">
        <f t="shared" si="24"/>
        <v>17385392.190022323</v>
      </c>
      <c r="O548" s="13">
        <f t="shared" si="25"/>
        <v>-492979.64984649047</v>
      </c>
      <c r="P548" s="12">
        <f t="shared" si="26"/>
        <v>-2.8355969451722647E-2</v>
      </c>
    </row>
    <row r="549" spans="1:16" ht="14.4" x14ac:dyDescent="0.3">
      <c r="A549" s="7" t="s">
        <v>495</v>
      </c>
      <c r="B549" s="8">
        <v>43830</v>
      </c>
      <c r="C549" s="9">
        <v>406.8</v>
      </c>
      <c r="D549" s="8">
        <v>43921</v>
      </c>
      <c r="E549" s="9">
        <v>276.45</v>
      </c>
      <c r="F549" s="17">
        <v>-32.04</v>
      </c>
      <c r="G549" s="11"/>
      <c r="H549" s="12">
        <f t="shared" si="18"/>
        <v>-0.32042772861356938</v>
      </c>
      <c r="I549" s="13">
        <f t="shared" si="19"/>
        <v>-64085.545722713876</v>
      </c>
      <c r="J549" s="13">
        <f t="shared" si="20"/>
        <v>0</v>
      </c>
      <c r="K549" s="13">
        <f t="shared" si="21"/>
        <v>-64085.545722713876</v>
      </c>
      <c r="L549" s="13">
        <f t="shared" si="22"/>
        <v>6828326.9944531191</v>
      </c>
      <c r="M549" s="13">
        <f t="shared" si="23"/>
        <v>16828326.994453117</v>
      </c>
      <c r="N549" s="13">
        <f t="shared" si="24"/>
        <v>17385392.190022323</v>
      </c>
      <c r="O549" s="13">
        <f t="shared" si="25"/>
        <v>-557065.19556920603</v>
      </c>
      <c r="P549" s="12">
        <f t="shared" si="26"/>
        <v>-3.2042141441532286E-2</v>
      </c>
    </row>
    <row r="550" spans="1:16" ht="14.4" x14ac:dyDescent="0.3">
      <c r="A550" s="7" t="s">
        <v>496</v>
      </c>
      <c r="B550" s="8">
        <v>43830</v>
      </c>
      <c r="C550" s="9">
        <v>16.399999999999999</v>
      </c>
      <c r="D550" s="8">
        <v>43921</v>
      </c>
      <c r="E550" s="9">
        <v>12.24</v>
      </c>
      <c r="F550" s="17">
        <v>-25.37</v>
      </c>
      <c r="G550" s="11"/>
      <c r="H550" s="12">
        <f t="shared" si="18"/>
        <v>-0.2536585365853658</v>
      </c>
      <c r="I550" s="13">
        <f t="shared" si="19"/>
        <v>-50731.70731707316</v>
      </c>
      <c r="J550" s="13">
        <f t="shared" si="20"/>
        <v>0</v>
      </c>
      <c r="K550" s="13">
        <f t="shared" si="21"/>
        <v>-50731.70731707316</v>
      </c>
      <c r="L550" s="13">
        <f t="shared" si="22"/>
        <v>6777595.2871360462</v>
      </c>
      <c r="M550" s="13">
        <f t="shared" si="23"/>
        <v>16777595.287136048</v>
      </c>
      <c r="N550" s="13">
        <f t="shared" si="24"/>
        <v>17385392.190022323</v>
      </c>
      <c r="O550" s="13">
        <f t="shared" si="25"/>
        <v>-607796.9028862752</v>
      </c>
      <c r="P550" s="12">
        <f t="shared" si="26"/>
        <v>-3.4960206605813407E-2</v>
      </c>
    </row>
    <row r="551" spans="1:16" ht="14.4" x14ac:dyDescent="0.3">
      <c r="A551" s="7" t="s">
        <v>522</v>
      </c>
      <c r="B551" s="8">
        <v>43644</v>
      </c>
      <c r="C551" s="9">
        <v>18.75</v>
      </c>
      <c r="D551" s="8">
        <v>43830</v>
      </c>
      <c r="E551" s="9">
        <v>21.2</v>
      </c>
      <c r="F551" s="17">
        <v>13.07</v>
      </c>
      <c r="G551" s="11"/>
      <c r="H551" s="12">
        <f t="shared" si="18"/>
        <v>0.13066666666666663</v>
      </c>
      <c r="I551" s="13">
        <f t="shared" si="19"/>
        <v>26133.333333333325</v>
      </c>
      <c r="J551" s="13">
        <f t="shared" si="20"/>
        <v>26133.333333333325</v>
      </c>
      <c r="K551" s="13">
        <f t="shared" si="21"/>
        <v>0</v>
      </c>
      <c r="L551" s="13">
        <f t="shared" si="22"/>
        <v>6803728.6204693792</v>
      </c>
      <c r="M551" s="13">
        <f t="shared" si="23"/>
        <v>16803728.62046938</v>
      </c>
      <c r="N551" s="13">
        <f t="shared" si="24"/>
        <v>17385392.190022323</v>
      </c>
      <c r="O551" s="13">
        <f t="shared" si="25"/>
        <v>-581663.56955294311</v>
      </c>
      <c r="P551" s="12">
        <f t="shared" si="26"/>
        <v>-3.3457028935290081E-2</v>
      </c>
    </row>
    <row r="552" spans="1:16" ht="14.4" x14ac:dyDescent="0.3">
      <c r="A552" s="7" t="s">
        <v>523</v>
      </c>
      <c r="B552" s="8">
        <v>43738</v>
      </c>
      <c r="C552" s="9">
        <v>1722.2</v>
      </c>
      <c r="D552" s="8">
        <v>43830</v>
      </c>
      <c r="E552" s="9">
        <v>1751.55</v>
      </c>
      <c r="F552" s="17">
        <v>1.7</v>
      </c>
      <c r="G552" s="11"/>
      <c r="H552" s="12">
        <f t="shared" si="18"/>
        <v>1.7042155382650047E-2</v>
      </c>
      <c r="I552" s="13">
        <f t="shared" si="19"/>
        <v>3408.4310765300092</v>
      </c>
      <c r="J552" s="13">
        <f t="shared" si="20"/>
        <v>3408.4310765300092</v>
      </c>
      <c r="K552" s="13">
        <f t="shared" si="21"/>
        <v>0</v>
      </c>
      <c r="L552" s="13">
        <f t="shared" si="22"/>
        <v>6807137.0515459096</v>
      </c>
      <c r="M552" s="13">
        <f t="shared" si="23"/>
        <v>16807137.051545911</v>
      </c>
      <c r="N552" s="13">
        <f t="shared" si="24"/>
        <v>17385392.190022323</v>
      </c>
      <c r="O552" s="13">
        <f t="shared" si="25"/>
        <v>-578255.13847641274</v>
      </c>
      <c r="P552" s="12">
        <f t="shared" si="26"/>
        <v>-3.3260977500886059E-2</v>
      </c>
    </row>
    <row r="553" spans="1:16" ht="14.4" x14ac:dyDescent="0.3">
      <c r="A553" s="7" t="s">
        <v>68</v>
      </c>
      <c r="B553" s="8">
        <v>43738</v>
      </c>
      <c r="C553" s="9">
        <v>1503.95</v>
      </c>
      <c r="D553" s="8">
        <v>43830</v>
      </c>
      <c r="E553" s="9">
        <v>1462.9</v>
      </c>
      <c r="F553" s="17">
        <v>-2.73</v>
      </c>
      <c r="G553" s="11"/>
      <c r="H553" s="12">
        <f t="shared" si="18"/>
        <v>-2.729479038531863E-2</v>
      </c>
      <c r="I553" s="13">
        <f t="shared" si="19"/>
        <v>-5458.9580770637258</v>
      </c>
      <c r="J553" s="13">
        <f t="shared" si="20"/>
        <v>0</v>
      </c>
      <c r="K553" s="13">
        <f t="shared" si="21"/>
        <v>-5458.9580770637258</v>
      </c>
      <c r="L553" s="13">
        <f t="shared" si="22"/>
        <v>6801678.0934688458</v>
      </c>
      <c r="M553" s="13">
        <f t="shared" si="23"/>
        <v>16801678.093468845</v>
      </c>
      <c r="N553" s="13">
        <f t="shared" si="24"/>
        <v>17385392.190022323</v>
      </c>
      <c r="O553" s="13">
        <f t="shared" si="25"/>
        <v>-583714.09655347839</v>
      </c>
      <c r="P553" s="12">
        <f t="shared" si="26"/>
        <v>-3.3574974333249651E-2</v>
      </c>
    </row>
    <row r="554" spans="1:16" ht="14.4" x14ac:dyDescent="0.3">
      <c r="A554" s="7" t="s">
        <v>524</v>
      </c>
      <c r="B554" s="8">
        <v>43738</v>
      </c>
      <c r="C554" s="9">
        <v>484</v>
      </c>
      <c r="D554" s="8">
        <v>43830</v>
      </c>
      <c r="E554" s="9">
        <v>458.28</v>
      </c>
      <c r="F554" s="17">
        <v>-5.31</v>
      </c>
      <c r="G554" s="11"/>
      <c r="H554" s="12">
        <f t="shared" si="18"/>
        <v>-5.3140495867768651E-2</v>
      </c>
      <c r="I554" s="13">
        <f t="shared" si="19"/>
        <v>-10628.09917355373</v>
      </c>
      <c r="J554" s="13">
        <f t="shared" si="20"/>
        <v>0</v>
      </c>
      <c r="K554" s="13">
        <f t="shared" si="21"/>
        <v>-10628.09917355373</v>
      </c>
      <c r="L554" s="13">
        <f t="shared" si="22"/>
        <v>6791049.9942952925</v>
      </c>
      <c r="M554" s="13">
        <f t="shared" si="23"/>
        <v>16791049.994295292</v>
      </c>
      <c r="N554" s="13">
        <f t="shared" si="24"/>
        <v>17385392.190022323</v>
      </c>
      <c r="O554" s="13">
        <f t="shared" si="25"/>
        <v>-594342.19572703168</v>
      </c>
      <c r="P554" s="12">
        <f t="shared" si="26"/>
        <v>-3.4186297854593782E-2</v>
      </c>
    </row>
    <row r="555" spans="1:16" ht="14.4" x14ac:dyDescent="0.3">
      <c r="A555" s="7" t="s">
        <v>470</v>
      </c>
      <c r="B555" s="8">
        <v>43738</v>
      </c>
      <c r="C555" s="9">
        <v>28677.5</v>
      </c>
      <c r="D555" s="8">
        <v>43830</v>
      </c>
      <c r="E555" s="9">
        <v>27315.05</v>
      </c>
      <c r="F555" s="17">
        <v>-4.75</v>
      </c>
      <c r="G555" s="11"/>
      <c r="H555" s="12">
        <f t="shared" si="18"/>
        <v>-4.7509371458460493E-2</v>
      </c>
      <c r="I555" s="13">
        <f t="shared" si="19"/>
        <v>-9501.8742916920983</v>
      </c>
      <c r="J555" s="13">
        <f t="shared" si="20"/>
        <v>0</v>
      </c>
      <c r="K555" s="13">
        <f t="shared" si="21"/>
        <v>-9501.8742916920983</v>
      </c>
      <c r="L555" s="13">
        <f t="shared" si="22"/>
        <v>6781548.1200036006</v>
      </c>
      <c r="M555" s="13">
        <f t="shared" si="23"/>
        <v>16781548.1200036</v>
      </c>
      <c r="N555" s="13">
        <f t="shared" si="24"/>
        <v>17385392.190022323</v>
      </c>
      <c r="O555" s="13">
        <f t="shared" si="25"/>
        <v>-603844.07001872361</v>
      </c>
      <c r="P555" s="12">
        <f t="shared" si="26"/>
        <v>-3.4732841423346011E-2</v>
      </c>
    </row>
    <row r="556" spans="1:16" ht="14.4" x14ac:dyDescent="0.3">
      <c r="A556" s="7" t="s">
        <v>70</v>
      </c>
      <c r="B556" s="8">
        <v>43738</v>
      </c>
      <c r="C556" s="9">
        <v>150</v>
      </c>
      <c r="D556" s="8">
        <v>43830</v>
      </c>
      <c r="E556" s="9">
        <v>124.2</v>
      </c>
      <c r="F556" s="17">
        <v>-17.2</v>
      </c>
      <c r="G556" s="11"/>
      <c r="H556" s="12">
        <f t="shared" si="18"/>
        <v>-0.17199999999999999</v>
      </c>
      <c r="I556" s="13">
        <f t="shared" si="19"/>
        <v>-34400</v>
      </c>
      <c r="J556" s="13">
        <f t="shared" si="20"/>
        <v>0</v>
      </c>
      <c r="K556" s="13">
        <f t="shared" si="21"/>
        <v>-34400</v>
      </c>
      <c r="L556" s="13">
        <f t="shared" si="22"/>
        <v>6747148.1200036006</v>
      </c>
      <c r="M556" s="13">
        <f t="shared" si="23"/>
        <v>16747148.1200036</v>
      </c>
      <c r="N556" s="13">
        <f t="shared" si="24"/>
        <v>17385392.190022323</v>
      </c>
      <c r="O556" s="13">
        <f t="shared" si="25"/>
        <v>-638244.07001872361</v>
      </c>
      <c r="P556" s="12">
        <f t="shared" si="26"/>
        <v>-3.6711514071279865E-2</v>
      </c>
    </row>
    <row r="557" spans="1:16" ht="14.4" x14ac:dyDescent="0.3">
      <c r="A557" s="7" t="s">
        <v>525</v>
      </c>
      <c r="B557" s="8">
        <v>43738</v>
      </c>
      <c r="C557" s="9">
        <v>228.05</v>
      </c>
      <c r="D557" s="8">
        <v>43830</v>
      </c>
      <c r="E557" s="9">
        <v>218.05</v>
      </c>
      <c r="F557" s="17">
        <v>-4.3899999999999997</v>
      </c>
      <c r="G557" s="11"/>
      <c r="H557" s="12">
        <f t="shared" si="18"/>
        <v>-4.3850032887524662E-2</v>
      </c>
      <c r="I557" s="13">
        <f t="shared" si="19"/>
        <v>-8770.0065775049316</v>
      </c>
      <c r="J557" s="13">
        <f t="shared" si="20"/>
        <v>0</v>
      </c>
      <c r="K557" s="13">
        <f t="shared" si="21"/>
        <v>-8770.0065775049316</v>
      </c>
      <c r="L557" s="13">
        <f t="shared" si="22"/>
        <v>6738378.1134260958</v>
      </c>
      <c r="M557" s="13">
        <f t="shared" si="23"/>
        <v>16738378.113426097</v>
      </c>
      <c r="N557" s="13">
        <f t="shared" si="24"/>
        <v>17385392.190022323</v>
      </c>
      <c r="O557" s="13">
        <f t="shared" si="25"/>
        <v>-647014.07659622654</v>
      </c>
      <c r="P557" s="12">
        <f t="shared" si="26"/>
        <v>-3.7215960935730596E-2</v>
      </c>
    </row>
    <row r="558" spans="1:16" ht="14.4" x14ac:dyDescent="0.3">
      <c r="A558" s="7" t="s">
        <v>72</v>
      </c>
      <c r="B558" s="8">
        <v>43738</v>
      </c>
      <c r="C558" s="9">
        <v>37.25</v>
      </c>
      <c r="D558" s="8">
        <v>43830</v>
      </c>
      <c r="E558" s="9">
        <v>42.6</v>
      </c>
      <c r="F558" s="17">
        <v>14.36</v>
      </c>
      <c r="G558" s="11"/>
      <c r="H558" s="12">
        <f t="shared" si="18"/>
        <v>0.14362416107382553</v>
      </c>
      <c r="I558" s="13">
        <f t="shared" si="19"/>
        <v>28724.832214765105</v>
      </c>
      <c r="J558" s="13">
        <f t="shared" si="20"/>
        <v>28724.832214765105</v>
      </c>
      <c r="K558" s="13">
        <f t="shared" si="21"/>
        <v>0</v>
      </c>
      <c r="L558" s="13">
        <f t="shared" si="22"/>
        <v>6767102.9456408611</v>
      </c>
      <c r="M558" s="13">
        <f t="shared" si="23"/>
        <v>16767102.945640862</v>
      </c>
      <c r="N558" s="13">
        <f t="shared" si="24"/>
        <v>17385392.190022323</v>
      </c>
      <c r="O558" s="13">
        <f t="shared" si="25"/>
        <v>-618289.24438146129</v>
      </c>
      <c r="P558" s="12">
        <f t="shared" si="26"/>
        <v>-3.556372140608393E-2</v>
      </c>
    </row>
    <row r="559" spans="1:16" ht="14.4" x14ac:dyDescent="0.3">
      <c r="A559" s="7" t="s">
        <v>526</v>
      </c>
      <c r="B559" s="8">
        <v>43738</v>
      </c>
      <c r="C559" s="9">
        <v>690</v>
      </c>
      <c r="D559" s="8">
        <v>43830</v>
      </c>
      <c r="E559" s="9">
        <v>747.5</v>
      </c>
      <c r="F559" s="17">
        <v>8.33</v>
      </c>
      <c r="G559" s="11"/>
      <c r="H559" s="12">
        <f t="shared" si="18"/>
        <v>8.3333333333333329E-2</v>
      </c>
      <c r="I559" s="13">
        <f t="shared" si="19"/>
        <v>16666.666666666664</v>
      </c>
      <c r="J559" s="13">
        <f t="shared" si="20"/>
        <v>16666.666666666664</v>
      </c>
      <c r="K559" s="13">
        <f t="shared" si="21"/>
        <v>0</v>
      </c>
      <c r="L559" s="13">
        <f t="shared" si="22"/>
        <v>6783769.612307528</v>
      </c>
      <c r="M559" s="13">
        <f t="shared" si="23"/>
        <v>16783769.612307526</v>
      </c>
      <c r="N559" s="13">
        <f t="shared" si="24"/>
        <v>17385392.190022323</v>
      </c>
      <c r="O559" s="13">
        <f t="shared" si="25"/>
        <v>-601622.57771479711</v>
      </c>
      <c r="P559" s="12">
        <f t="shared" si="26"/>
        <v>-3.4605062177433948E-2</v>
      </c>
    </row>
    <row r="560" spans="1:16" ht="14.4" x14ac:dyDescent="0.3">
      <c r="A560" s="7" t="s">
        <v>527</v>
      </c>
      <c r="B560" s="8">
        <v>43738</v>
      </c>
      <c r="C560" s="9">
        <v>1729.6</v>
      </c>
      <c r="D560" s="8">
        <v>43830</v>
      </c>
      <c r="E560" s="9">
        <v>1945.05</v>
      </c>
      <c r="F560" s="17">
        <v>12.46</v>
      </c>
      <c r="G560" s="11"/>
      <c r="H560" s="12">
        <f t="shared" si="18"/>
        <v>0.12456637372802963</v>
      </c>
      <c r="I560" s="13">
        <f t="shared" si="19"/>
        <v>24913.274745605926</v>
      </c>
      <c r="J560" s="13">
        <f t="shared" si="20"/>
        <v>24913.274745605926</v>
      </c>
      <c r="K560" s="13">
        <f t="shared" si="21"/>
        <v>0</v>
      </c>
      <c r="L560" s="13">
        <f t="shared" si="22"/>
        <v>6808682.8870531339</v>
      </c>
      <c r="M560" s="13">
        <f t="shared" si="23"/>
        <v>16808682.887053132</v>
      </c>
      <c r="N560" s="13">
        <f t="shared" si="24"/>
        <v>17385392.190022323</v>
      </c>
      <c r="O560" s="13">
        <f t="shared" si="25"/>
        <v>-576709.30296919122</v>
      </c>
      <c r="P560" s="12">
        <f t="shared" si="26"/>
        <v>-3.3172061732387681E-2</v>
      </c>
    </row>
    <row r="561" spans="1:16" ht="14.4" x14ac:dyDescent="0.3">
      <c r="A561" s="7" t="s">
        <v>528</v>
      </c>
      <c r="B561" s="8">
        <v>43644</v>
      </c>
      <c r="C561" s="9">
        <v>450.9</v>
      </c>
      <c r="D561" s="8">
        <v>43738</v>
      </c>
      <c r="E561" s="9">
        <v>424.2</v>
      </c>
      <c r="F561" s="17">
        <v>-5.92</v>
      </c>
      <c r="G561" s="11"/>
      <c r="H561" s="12">
        <f t="shared" si="18"/>
        <v>-5.9214903526280747E-2</v>
      </c>
      <c r="I561" s="13">
        <f t="shared" si="19"/>
        <v>-11842.98070525615</v>
      </c>
      <c r="J561" s="13">
        <f t="shared" si="20"/>
        <v>0</v>
      </c>
      <c r="K561" s="13">
        <f t="shared" si="21"/>
        <v>-11842.98070525615</v>
      </c>
      <c r="L561" s="13">
        <f t="shared" si="22"/>
        <v>6796839.9063478773</v>
      </c>
      <c r="M561" s="13">
        <f t="shared" si="23"/>
        <v>16796839.906347878</v>
      </c>
      <c r="N561" s="13">
        <f t="shared" si="24"/>
        <v>17385392.190022323</v>
      </c>
      <c r="O561" s="13">
        <f t="shared" si="25"/>
        <v>-588552.283674445</v>
      </c>
      <c r="P561" s="12">
        <f t="shared" si="26"/>
        <v>-3.3853264697256698E-2</v>
      </c>
    </row>
    <row r="562" spans="1:16" ht="14.4" x14ac:dyDescent="0.3">
      <c r="A562" s="7" t="s">
        <v>399</v>
      </c>
      <c r="B562" s="8">
        <v>43644</v>
      </c>
      <c r="C562" s="9">
        <v>102.3</v>
      </c>
      <c r="D562" s="8">
        <v>43738</v>
      </c>
      <c r="E562" s="9">
        <v>91.6</v>
      </c>
      <c r="F562" s="17">
        <v>-10.46</v>
      </c>
      <c r="G562" s="11"/>
      <c r="H562" s="12">
        <f t="shared" si="18"/>
        <v>-0.10459433040078205</v>
      </c>
      <c r="I562" s="13">
        <f t="shared" si="19"/>
        <v>-20918.866080156407</v>
      </c>
      <c r="J562" s="13">
        <f t="shared" si="20"/>
        <v>0</v>
      </c>
      <c r="K562" s="13">
        <f t="shared" si="21"/>
        <v>-20918.866080156407</v>
      </c>
      <c r="L562" s="13">
        <f t="shared" si="22"/>
        <v>6775921.0402677208</v>
      </c>
      <c r="M562" s="13">
        <f t="shared" si="23"/>
        <v>16775921.040267721</v>
      </c>
      <c r="N562" s="13">
        <f t="shared" si="24"/>
        <v>17385392.190022323</v>
      </c>
      <c r="O562" s="13">
        <f t="shared" si="25"/>
        <v>-609471.14975460246</v>
      </c>
      <c r="P562" s="12">
        <f t="shared" si="26"/>
        <v>-3.5056508538495033E-2</v>
      </c>
    </row>
    <row r="563" spans="1:16" ht="14.4" x14ac:dyDescent="0.3">
      <c r="A563" s="7" t="s">
        <v>529</v>
      </c>
      <c r="B563" s="8">
        <v>43644</v>
      </c>
      <c r="C563" s="9">
        <v>4.4000000000000004</v>
      </c>
      <c r="D563" s="8">
        <v>43738</v>
      </c>
      <c r="E563" s="9">
        <v>2.5499999999999998</v>
      </c>
      <c r="F563" s="17">
        <v>-42.05</v>
      </c>
      <c r="G563" s="11"/>
      <c r="H563" s="12">
        <f t="shared" si="18"/>
        <v>-0.42045454545454553</v>
      </c>
      <c r="I563" s="13">
        <f t="shared" si="19"/>
        <v>-84090.909090909103</v>
      </c>
      <c r="J563" s="13">
        <f t="shared" si="20"/>
        <v>0</v>
      </c>
      <c r="K563" s="13">
        <f t="shared" si="21"/>
        <v>-84090.909090909103</v>
      </c>
      <c r="L563" s="13">
        <f t="shared" si="22"/>
        <v>6691830.1311768116</v>
      </c>
      <c r="M563" s="13">
        <f t="shared" si="23"/>
        <v>16691830.131176811</v>
      </c>
      <c r="N563" s="13">
        <f t="shared" si="24"/>
        <v>17385392.190022323</v>
      </c>
      <c r="O563" s="13">
        <f t="shared" si="25"/>
        <v>-693562.05884551257</v>
      </c>
      <c r="P563" s="12">
        <f t="shared" si="26"/>
        <v>-3.9893380101229801E-2</v>
      </c>
    </row>
    <row r="564" spans="1:16" ht="14.4" x14ac:dyDescent="0.3">
      <c r="A564" s="7" t="s">
        <v>494</v>
      </c>
      <c r="B564" s="8">
        <v>43644</v>
      </c>
      <c r="C564" s="9">
        <v>169.1</v>
      </c>
      <c r="D564" s="8">
        <v>43738</v>
      </c>
      <c r="E564" s="9">
        <v>172</v>
      </c>
      <c r="F564" s="17">
        <v>1.71</v>
      </c>
      <c r="G564" s="11"/>
      <c r="H564" s="12">
        <f t="shared" si="18"/>
        <v>1.7149615612063903E-2</v>
      </c>
      <c r="I564" s="13">
        <f t="shared" si="19"/>
        <v>3429.9231224127807</v>
      </c>
      <c r="J564" s="13">
        <f t="shared" si="20"/>
        <v>3429.9231224127807</v>
      </c>
      <c r="K564" s="13">
        <f t="shared" si="21"/>
        <v>0</v>
      </c>
      <c r="L564" s="13">
        <f t="shared" si="22"/>
        <v>6695260.0542992242</v>
      </c>
      <c r="M564" s="13">
        <f t="shared" si="23"/>
        <v>16695260.054299224</v>
      </c>
      <c r="N564" s="13">
        <f t="shared" si="24"/>
        <v>17385392.190022323</v>
      </c>
      <c r="O564" s="13">
        <f t="shared" si="25"/>
        <v>-690132.13572309911</v>
      </c>
      <c r="P564" s="12">
        <f t="shared" si="26"/>
        <v>-3.9696092453938077E-2</v>
      </c>
    </row>
    <row r="565" spans="1:16" ht="14.4" x14ac:dyDescent="0.3">
      <c r="A565" s="7" t="s">
        <v>485</v>
      </c>
      <c r="B565" s="8">
        <v>43553</v>
      </c>
      <c r="C565" s="9">
        <v>87</v>
      </c>
      <c r="D565" s="8">
        <v>43644</v>
      </c>
      <c r="E565" s="9">
        <v>79.430000000000007</v>
      </c>
      <c r="F565" s="17">
        <v>-8.6999999999999993</v>
      </c>
      <c r="G565" s="11"/>
      <c r="H565" s="12">
        <f t="shared" si="18"/>
        <v>-8.7011494252873481E-2</v>
      </c>
      <c r="I565" s="13">
        <f t="shared" si="19"/>
        <v>-17402.298850574694</v>
      </c>
      <c r="J565" s="13">
        <f t="shared" si="20"/>
        <v>0</v>
      </c>
      <c r="K565" s="13">
        <f t="shared" si="21"/>
        <v>-17402.298850574694</v>
      </c>
      <c r="L565" s="13">
        <f t="shared" si="22"/>
        <v>6677857.7554486496</v>
      </c>
      <c r="M565" s="13">
        <f t="shared" si="23"/>
        <v>16677857.755448651</v>
      </c>
      <c r="N565" s="13">
        <f t="shared" si="24"/>
        <v>17385392.190022323</v>
      </c>
      <c r="O565" s="13">
        <f t="shared" si="25"/>
        <v>-707534.43457367271</v>
      </c>
      <c r="P565" s="12">
        <f t="shared" si="26"/>
        <v>-4.0697064917507866E-2</v>
      </c>
    </row>
    <row r="566" spans="1:16" ht="14.4" x14ac:dyDescent="0.3">
      <c r="A566" s="7" t="s">
        <v>44</v>
      </c>
      <c r="B566" s="8">
        <v>43553</v>
      </c>
      <c r="C566" s="9">
        <v>456.1</v>
      </c>
      <c r="D566" s="8">
        <v>43644</v>
      </c>
      <c r="E566" s="9">
        <v>521.85</v>
      </c>
      <c r="F566" s="17">
        <v>14.42</v>
      </c>
      <c r="G566" s="11"/>
      <c r="H566" s="12">
        <f t="shared" si="18"/>
        <v>0.14415698311773734</v>
      </c>
      <c r="I566" s="13">
        <f t="shared" si="19"/>
        <v>28831.396623547465</v>
      </c>
      <c r="J566" s="13">
        <f t="shared" si="20"/>
        <v>28831.396623547465</v>
      </c>
      <c r="K566" s="13">
        <f t="shared" si="21"/>
        <v>0</v>
      </c>
      <c r="L566" s="13">
        <f t="shared" si="22"/>
        <v>6706689.1520721968</v>
      </c>
      <c r="M566" s="13">
        <f t="shared" si="23"/>
        <v>16706689.152072197</v>
      </c>
      <c r="N566" s="13">
        <f t="shared" si="24"/>
        <v>17385392.190022323</v>
      </c>
      <c r="O566" s="13">
        <f t="shared" si="25"/>
        <v>-678703.03795012645</v>
      </c>
      <c r="P566" s="12">
        <f t="shared" si="26"/>
        <v>-3.903869585062579E-2</v>
      </c>
    </row>
    <row r="567" spans="1:16" ht="14.4" x14ac:dyDescent="0.3">
      <c r="A567" s="7" t="s">
        <v>530</v>
      </c>
      <c r="B567" s="8">
        <v>43553</v>
      </c>
      <c r="C567" s="9">
        <v>126.5</v>
      </c>
      <c r="D567" s="8">
        <v>43644</v>
      </c>
      <c r="E567" s="9">
        <v>99.6</v>
      </c>
      <c r="F567" s="17">
        <v>-21.26</v>
      </c>
      <c r="G567" s="11"/>
      <c r="H567" s="12">
        <f t="shared" si="18"/>
        <v>-0.21264822134387357</v>
      </c>
      <c r="I567" s="13">
        <f t="shared" si="19"/>
        <v>-42529.644268774711</v>
      </c>
      <c r="J567" s="13">
        <f t="shared" si="20"/>
        <v>0</v>
      </c>
      <c r="K567" s="13">
        <f t="shared" si="21"/>
        <v>-42529.644268774711</v>
      </c>
      <c r="L567" s="13">
        <f t="shared" si="22"/>
        <v>6664159.5078034224</v>
      </c>
      <c r="M567" s="13">
        <f t="shared" si="23"/>
        <v>16664159.507803421</v>
      </c>
      <c r="N567" s="13">
        <f t="shared" si="24"/>
        <v>17385392.190022323</v>
      </c>
      <c r="O567" s="13">
        <f t="shared" si="25"/>
        <v>-721232.68221890181</v>
      </c>
      <c r="P567" s="12">
        <f t="shared" si="26"/>
        <v>-4.1484982008793886E-2</v>
      </c>
    </row>
    <row r="568" spans="1:16" ht="14.4" x14ac:dyDescent="0.3">
      <c r="A568" s="7" t="s">
        <v>411</v>
      </c>
      <c r="B568" s="8">
        <v>43553</v>
      </c>
      <c r="C568" s="9">
        <v>389.33</v>
      </c>
      <c r="D568" s="8">
        <v>43644</v>
      </c>
      <c r="E568" s="9">
        <v>276.05</v>
      </c>
      <c r="F568" s="17">
        <v>-29.1</v>
      </c>
      <c r="G568" s="11"/>
      <c r="H568" s="12">
        <f t="shared" si="18"/>
        <v>-0.29096139521742476</v>
      </c>
      <c r="I568" s="13">
        <f t="shared" si="19"/>
        <v>-58192.279043484952</v>
      </c>
      <c r="J568" s="13">
        <f t="shared" si="20"/>
        <v>0</v>
      </c>
      <c r="K568" s="13">
        <f t="shared" si="21"/>
        <v>-58192.279043484952</v>
      </c>
      <c r="L568" s="13">
        <f t="shared" si="22"/>
        <v>6605967.228759937</v>
      </c>
      <c r="M568" s="13">
        <f t="shared" si="23"/>
        <v>16605967.228759937</v>
      </c>
      <c r="N568" s="13">
        <f t="shared" si="24"/>
        <v>17385392.190022323</v>
      </c>
      <c r="O568" s="13">
        <f t="shared" si="25"/>
        <v>-779424.96126238629</v>
      </c>
      <c r="P568" s="12">
        <f t="shared" si="26"/>
        <v>-4.4832175929267054E-2</v>
      </c>
    </row>
    <row r="569" spans="1:16" ht="14.4" x14ac:dyDescent="0.3">
      <c r="A569" s="7" t="s">
        <v>531</v>
      </c>
      <c r="B569" s="8">
        <v>43553</v>
      </c>
      <c r="C569" s="9">
        <v>489</v>
      </c>
      <c r="D569" s="8">
        <v>43644</v>
      </c>
      <c r="E569" s="9">
        <v>461</v>
      </c>
      <c r="F569" s="17">
        <v>-5.73</v>
      </c>
      <c r="G569" s="11"/>
      <c r="H569" s="12">
        <f t="shared" si="18"/>
        <v>-5.7259713701431493E-2</v>
      </c>
      <c r="I569" s="13">
        <f t="shared" si="19"/>
        <v>-11451.942740286298</v>
      </c>
      <c r="J569" s="13">
        <f t="shared" si="20"/>
        <v>0</v>
      </c>
      <c r="K569" s="13">
        <f t="shared" si="21"/>
        <v>-11451.942740286298</v>
      </c>
      <c r="L569" s="13">
        <f t="shared" si="22"/>
        <v>6594515.2860196503</v>
      </c>
      <c r="M569" s="13">
        <f t="shared" si="23"/>
        <v>16594515.286019649</v>
      </c>
      <c r="N569" s="13">
        <f t="shared" si="24"/>
        <v>17385392.190022323</v>
      </c>
      <c r="O569" s="13">
        <f t="shared" si="25"/>
        <v>-790876.90400267392</v>
      </c>
      <c r="P569" s="12">
        <f t="shared" si="26"/>
        <v>-4.5490886564904028E-2</v>
      </c>
    </row>
    <row r="570" spans="1:16" ht="14.4" x14ac:dyDescent="0.3">
      <c r="A570" s="7" t="s">
        <v>532</v>
      </c>
      <c r="B570" s="8">
        <v>43553</v>
      </c>
      <c r="C570" s="9">
        <v>844</v>
      </c>
      <c r="D570" s="8">
        <v>43644</v>
      </c>
      <c r="E570" s="9">
        <v>746.45</v>
      </c>
      <c r="F570" s="17">
        <v>-11.56</v>
      </c>
      <c r="G570" s="11"/>
      <c r="H570" s="12">
        <f t="shared" si="18"/>
        <v>-0.1155805687203791</v>
      </c>
      <c r="I570" s="13">
        <f t="shared" si="19"/>
        <v>-23116.113744075821</v>
      </c>
      <c r="J570" s="13">
        <f t="shared" si="20"/>
        <v>0</v>
      </c>
      <c r="K570" s="13">
        <f t="shared" si="21"/>
        <v>-23116.113744075821</v>
      </c>
      <c r="L570" s="13">
        <f t="shared" si="22"/>
        <v>6571399.1722755749</v>
      </c>
      <c r="M570" s="13">
        <f t="shared" si="23"/>
        <v>16571399.172275575</v>
      </c>
      <c r="N570" s="13">
        <f t="shared" si="24"/>
        <v>17385392.190022323</v>
      </c>
      <c r="O570" s="13">
        <f t="shared" si="25"/>
        <v>-813993.0177467484</v>
      </c>
      <c r="P570" s="12">
        <f t="shared" si="26"/>
        <v>-4.6820515111181002E-2</v>
      </c>
    </row>
    <row r="571" spans="1:16" ht="14.4" x14ac:dyDescent="0.3">
      <c r="A571" s="7" t="s">
        <v>533</v>
      </c>
      <c r="B571" s="8">
        <v>43553</v>
      </c>
      <c r="C571" s="9">
        <v>459</v>
      </c>
      <c r="D571" s="8">
        <v>43644</v>
      </c>
      <c r="E571" s="9">
        <v>435.25</v>
      </c>
      <c r="F571" s="17">
        <v>-5.17</v>
      </c>
      <c r="G571" s="11"/>
      <c r="H571" s="12">
        <f t="shared" si="18"/>
        <v>-5.1742919389978215E-2</v>
      </c>
      <c r="I571" s="13">
        <f t="shared" si="19"/>
        <v>-10348.583877995643</v>
      </c>
      <c r="J571" s="13">
        <f t="shared" si="20"/>
        <v>0</v>
      </c>
      <c r="K571" s="13">
        <f t="shared" si="21"/>
        <v>-10348.583877995643</v>
      </c>
      <c r="L571" s="13">
        <f t="shared" si="22"/>
        <v>6561050.5883975793</v>
      </c>
      <c r="M571" s="13">
        <f t="shared" si="23"/>
        <v>16561050.588397579</v>
      </c>
      <c r="N571" s="13">
        <f t="shared" si="24"/>
        <v>17385392.190022323</v>
      </c>
      <c r="O571" s="13">
        <f t="shared" si="25"/>
        <v>-824341.60162474401</v>
      </c>
      <c r="P571" s="12">
        <f t="shared" si="26"/>
        <v>-4.7415761037467023E-2</v>
      </c>
    </row>
    <row r="572" spans="1:16" ht="14.4" x14ac:dyDescent="0.3">
      <c r="A572" s="7" t="s">
        <v>534</v>
      </c>
      <c r="B572" s="8">
        <v>43465</v>
      </c>
      <c r="C572" s="9">
        <v>157.5</v>
      </c>
      <c r="D572" s="8">
        <v>43553</v>
      </c>
      <c r="E572" s="9">
        <v>98.83</v>
      </c>
      <c r="F572" s="17">
        <v>-37.25</v>
      </c>
      <c r="G572" s="11"/>
      <c r="H572" s="12">
        <f t="shared" si="18"/>
        <v>-0.37250793650793651</v>
      </c>
      <c r="I572" s="13">
        <f t="shared" si="19"/>
        <v>-74501.587301587308</v>
      </c>
      <c r="J572" s="13">
        <f t="shared" si="20"/>
        <v>0</v>
      </c>
      <c r="K572" s="13">
        <f t="shared" si="21"/>
        <v>-74501.587301587308</v>
      </c>
      <c r="L572" s="13">
        <f t="shared" si="22"/>
        <v>6486549.0010959916</v>
      </c>
      <c r="M572" s="13">
        <f t="shared" si="23"/>
        <v>16486549.001095992</v>
      </c>
      <c r="N572" s="13">
        <f t="shared" si="24"/>
        <v>17385392.190022323</v>
      </c>
      <c r="O572" s="13">
        <f t="shared" si="25"/>
        <v>-898843.1889263317</v>
      </c>
      <c r="P572" s="12">
        <f t="shared" si="26"/>
        <v>-5.1701059090412019E-2</v>
      </c>
    </row>
    <row r="573" spans="1:16" ht="14.4" x14ac:dyDescent="0.3">
      <c r="A573" s="7" t="s">
        <v>535</v>
      </c>
      <c r="B573" s="8">
        <v>43465</v>
      </c>
      <c r="C573" s="9">
        <v>109.9</v>
      </c>
      <c r="D573" s="8">
        <v>43553</v>
      </c>
      <c r="E573" s="9">
        <v>126.75</v>
      </c>
      <c r="F573" s="17">
        <v>15.33</v>
      </c>
      <c r="G573" s="11"/>
      <c r="H573" s="12">
        <f t="shared" si="18"/>
        <v>0.15332120109190167</v>
      </c>
      <c r="I573" s="13">
        <f t="shared" si="19"/>
        <v>30664.240218380335</v>
      </c>
      <c r="J573" s="13">
        <f t="shared" si="20"/>
        <v>30664.240218380335</v>
      </c>
      <c r="K573" s="13">
        <f t="shared" si="21"/>
        <v>0</v>
      </c>
      <c r="L573" s="13">
        <f t="shared" si="22"/>
        <v>6517213.241314372</v>
      </c>
      <c r="M573" s="13">
        <f t="shared" si="23"/>
        <v>16517213.241314372</v>
      </c>
      <c r="N573" s="13">
        <f t="shared" si="24"/>
        <v>17385392.190022323</v>
      </c>
      <c r="O573" s="13">
        <f t="shared" si="25"/>
        <v>-868178.94870795123</v>
      </c>
      <c r="P573" s="12">
        <f t="shared" si="26"/>
        <v>-4.9937265677918334E-2</v>
      </c>
    </row>
    <row r="574" spans="1:16" ht="14.4" x14ac:dyDescent="0.3">
      <c r="A574" s="7" t="s">
        <v>536</v>
      </c>
      <c r="B574" s="8">
        <v>43465</v>
      </c>
      <c r="C574" s="9">
        <v>62</v>
      </c>
      <c r="D574" s="8">
        <v>43553</v>
      </c>
      <c r="E574" s="9">
        <v>42</v>
      </c>
      <c r="F574" s="17">
        <v>-32.26</v>
      </c>
      <c r="G574" s="11"/>
      <c r="H574" s="12">
        <f t="shared" si="18"/>
        <v>-0.32258064516129031</v>
      </c>
      <c r="I574" s="13">
        <f t="shared" si="19"/>
        <v>-64516.129032258061</v>
      </c>
      <c r="J574" s="13">
        <f t="shared" si="20"/>
        <v>0</v>
      </c>
      <c r="K574" s="13">
        <f t="shared" si="21"/>
        <v>-64516.129032258061</v>
      </c>
      <c r="L574" s="13">
        <f t="shared" si="22"/>
        <v>6452697.1122821141</v>
      </c>
      <c r="M574" s="13">
        <f t="shared" si="23"/>
        <v>16452697.112282114</v>
      </c>
      <c r="N574" s="13">
        <f t="shared" si="24"/>
        <v>17385392.190022323</v>
      </c>
      <c r="O574" s="13">
        <f t="shared" si="25"/>
        <v>-932695.07774020918</v>
      </c>
      <c r="P574" s="12">
        <f t="shared" si="26"/>
        <v>-5.3648204627531705E-2</v>
      </c>
    </row>
    <row r="575" spans="1:16" ht="14.4" x14ac:dyDescent="0.3">
      <c r="A575" s="7" t="s">
        <v>537</v>
      </c>
      <c r="B575" s="8">
        <v>43371</v>
      </c>
      <c r="C575" s="9">
        <v>2050.9499999999998</v>
      </c>
      <c r="D575" s="8">
        <v>43465</v>
      </c>
      <c r="E575" s="9">
        <v>1535</v>
      </c>
      <c r="F575" s="17">
        <v>-25.16</v>
      </c>
      <c r="G575" s="11"/>
      <c r="H575" s="12">
        <f t="shared" si="18"/>
        <v>-0.25156634730246952</v>
      </c>
      <c r="I575" s="13">
        <f t="shared" si="19"/>
        <v>-50313.269460493902</v>
      </c>
      <c r="J575" s="13">
        <f t="shared" si="20"/>
        <v>0</v>
      </c>
      <c r="K575" s="13">
        <f t="shared" si="21"/>
        <v>-50313.269460493902</v>
      </c>
      <c r="L575" s="13">
        <f t="shared" si="22"/>
        <v>6402383.8428216204</v>
      </c>
      <c r="M575" s="13">
        <f t="shared" si="23"/>
        <v>16402383.84282162</v>
      </c>
      <c r="N575" s="13">
        <f t="shared" si="24"/>
        <v>17385392.190022323</v>
      </c>
      <c r="O575" s="13">
        <f t="shared" si="25"/>
        <v>-983008.34720070288</v>
      </c>
      <c r="P575" s="12">
        <f t="shared" si="26"/>
        <v>-5.6542201433043462E-2</v>
      </c>
    </row>
    <row r="576" spans="1:16" ht="14.4" x14ac:dyDescent="0.3">
      <c r="A576" s="7" t="s">
        <v>538</v>
      </c>
      <c r="B576" s="8">
        <v>43371</v>
      </c>
      <c r="C576" s="9">
        <v>439</v>
      </c>
      <c r="D576" s="8">
        <v>43465</v>
      </c>
      <c r="E576" s="9">
        <v>337.1</v>
      </c>
      <c r="F576" s="17">
        <v>-23.21</v>
      </c>
      <c r="G576" s="11"/>
      <c r="H576" s="12">
        <f t="shared" si="18"/>
        <v>-0.2321184510250569</v>
      </c>
      <c r="I576" s="13">
        <f t="shared" si="19"/>
        <v>-46423.690205011379</v>
      </c>
      <c r="J576" s="13">
        <f t="shared" si="20"/>
        <v>0</v>
      </c>
      <c r="K576" s="13">
        <f t="shared" si="21"/>
        <v>-46423.690205011379</v>
      </c>
      <c r="L576" s="13">
        <f t="shared" si="22"/>
        <v>6355960.1526166089</v>
      </c>
      <c r="M576" s="13">
        <f t="shared" si="23"/>
        <v>16355960.152616609</v>
      </c>
      <c r="N576" s="13">
        <f t="shared" si="24"/>
        <v>17385392.190022323</v>
      </c>
      <c r="O576" s="13">
        <f t="shared" si="25"/>
        <v>-1029432.0374057144</v>
      </c>
      <c r="P576" s="12">
        <f t="shared" si="26"/>
        <v>-5.9212471375625179E-2</v>
      </c>
    </row>
    <row r="577" spans="1:16" ht="14.4" x14ac:dyDescent="0.3">
      <c r="A577" s="7" t="s">
        <v>17</v>
      </c>
      <c r="B577" s="8">
        <v>43098</v>
      </c>
      <c r="C577" s="9">
        <v>57.75</v>
      </c>
      <c r="D577" s="8">
        <v>43187</v>
      </c>
      <c r="E577" s="9">
        <v>53.35</v>
      </c>
      <c r="F577" s="17">
        <v>-7.62</v>
      </c>
      <c r="G577" s="11"/>
      <c r="H577" s="12">
        <f t="shared" si="18"/>
        <v>-7.619047619047617E-2</v>
      </c>
      <c r="I577" s="13">
        <f t="shared" si="19"/>
        <v>-15238.095238095233</v>
      </c>
      <c r="J577" s="13">
        <f t="shared" si="20"/>
        <v>0</v>
      </c>
      <c r="K577" s="13">
        <f t="shared" si="21"/>
        <v>-15238.095238095233</v>
      </c>
      <c r="L577" s="13">
        <f t="shared" si="22"/>
        <v>6340722.0573785137</v>
      </c>
      <c r="M577" s="13">
        <f t="shared" si="23"/>
        <v>16340722.057378514</v>
      </c>
      <c r="N577" s="13">
        <f t="shared" si="24"/>
        <v>17385392.190022323</v>
      </c>
      <c r="O577" s="13">
        <f t="shared" si="25"/>
        <v>-1044670.1326438095</v>
      </c>
      <c r="P577" s="12">
        <f t="shared" si="26"/>
        <v>-6.0088959813248147E-2</v>
      </c>
    </row>
    <row r="578" spans="1:16" ht="14.4" x14ac:dyDescent="0.3">
      <c r="A578" s="7" t="s">
        <v>348</v>
      </c>
      <c r="B578" s="8">
        <v>43098</v>
      </c>
      <c r="C578" s="9">
        <v>520.6</v>
      </c>
      <c r="D578" s="8">
        <v>43187</v>
      </c>
      <c r="E578" s="9">
        <v>402</v>
      </c>
      <c r="F578" s="17">
        <v>-22.78</v>
      </c>
      <c r="G578" s="11"/>
      <c r="H578" s="12">
        <f t="shared" si="18"/>
        <v>-0.22781406069919327</v>
      </c>
      <c r="I578" s="13">
        <f t="shared" si="19"/>
        <v>-45562.812139838657</v>
      </c>
      <c r="J578" s="13">
        <f t="shared" si="20"/>
        <v>0</v>
      </c>
      <c r="K578" s="13">
        <f t="shared" si="21"/>
        <v>-45562.812139838657</v>
      </c>
      <c r="L578" s="13">
        <f t="shared" si="22"/>
        <v>6295159.2452386748</v>
      </c>
      <c r="M578" s="13">
        <f t="shared" si="23"/>
        <v>16295159.245238675</v>
      </c>
      <c r="N578" s="13">
        <f t="shared" si="24"/>
        <v>17385392.190022323</v>
      </c>
      <c r="O578" s="13">
        <f t="shared" si="25"/>
        <v>-1090232.9447836485</v>
      </c>
      <c r="P578" s="12">
        <f t="shared" si="26"/>
        <v>-6.2709712433714648E-2</v>
      </c>
    </row>
    <row r="579" spans="1:16" ht="14.4" x14ac:dyDescent="0.3">
      <c r="A579" s="7" t="s">
        <v>539</v>
      </c>
      <c r="B579" s="8">
        <v>43098</v>
      </c>
      <c r="C579" s="9">
        <v>32.75</v>
      </c>
      <c r="D579" s="8">
        <v>43187</v>
      </c>
      <c r="E579" s="9">
        <v>27.6</v>
      </c>
      <c r="F579" s="17">
        <v>-15.73</v>
      </c>
      <c r="G579" s="11"/>
      <c r="H579" s="12">
        <f t="shared" si="18"/>
        <v>-0.15725190839694653</v>
      </c>
      <c r="I579" s="13">
        <f t="shared" si="19"/>
        <v>-31450.381679389306</v>
      </c>
      <c r="J579" s="13">
        <f t="shared" si="20"/>
        <v>0</v>
      </c>
      <c r="K579" s="13">
        <f t="shared" si="21"/>
        <v>-31450.381679389306</v>
      </c>
      <c r="L579" s="13">
        <f t="shared" si="22"/>
        <v>6263708.8635592852</v>
      </c>
      <c r="M579" s="13">
        <f t="shared" si="23"/>
        <v>16263708.863559285</v>
      </c>
      <c r="N579" s="13">
        <f t="shared" si="24"/>
        <v>17385392.190022323</v>
      </c>
      <c r="O579" s="13">
        <f t="shared" si="25"/>
        <v>-1121683.3264630381</v>
      </c>
      <c r="P579" s="12">
        <f t="shared" si="26"/>
        <v>-6.4518724352205584E-2</v>
      </c>
    </row>
    <row r="580" spans="1:16" ht="14.4" x14ac:dyDescent="0.3">
      <c r="A580" s="7" t="s">
        <v>216</v>
      </c>
      <c r="B580" s="8">
        <v>43098</v>
      </c>
      <c r="C580" s="9">
        <v>260</v>
      </c>
      <c r="D580" s="8">
        <v>43187</v>
      </c>
      <c r="E580" s="9">
        <v>201.15</v>
      </c>
      <c r="F580" s="17">
        <v>-22.63</v>
      </c>
      <c r="G580" s="11"/>
      <c r="H580" s="12">
        <f t="shared" si="18"/>
        <v>-0.22634615384615384</v>
      </c>
      <c r="I580" s="13">
        <f t="shared" si="19"/>
        <v>-45269.230769230766</v>
      </c>
      <c r="J580" s="13">
        <f t="shared" si="20"/>
        <v>0</v>
      </c>
      <c r="K580" s="13">
        <f t="shared" si="21"/>
        <v>-45269.230769230766</v>
      </c>
      <c r="L580" s="13">
        <f t="shared" si="22"/>
        <v>6218439.6327900542</v>
      </c>
      <c r="M580" s="13">
        <f t="shared" si="23"/>
        <v>16218439.632790055</v>
      </c>
      <c r="N580" s="13">
        <f t="shared" si="24"/>
        <v>17385392.190022323</v>
      </c>
      <c r="O580" s="13">
        <f t="shared" si="25"/>
        <v>-1166952.5572322682</v>
      </c>
      <c r="P580" s="12">
        <f t="shared" si="26"/>
        <v>-6.7122590303254459E-2</v>
      </c>
    </row>
    <row r="581" spans="1:16" ht="14.4" x14ac:dyDescent="0.3">
      <c r="A581" s="7" t="s">
        <v>540</v>
      </c>
      <c r="B581" s="8">
        <v>43098</v>
      </c>
      <c r="C581" s="9">
        <v>160.32</v>
      </c>
      <c r="D581" s="8">
        <v>43187</v>
      </c>
      <c r="E581" s="9">
        <v>127.2</v>
      </c>
      <c r="F581" s="17">
        <v>-20.66</v>
      </c>
      <c r="G581" s="11"/>
      <c r="H581" s="12">
        <f t="shared" si="18"/>
        <v>-0.20658682634730532</v>
      </c>
      <c r="I581" s="13">
        <f t="shared" si="19"/>
        <v>-41317.365269461065</v>
      </c>
      <c r="J581" s="13">
        <f t="shared" si="20"/>
        <v>0</v>
      </c>
      <c r="K581" s="13">
        <f t="shared" si="21"/>
        <v>-41317.365269461065</v>
      </c>
      <c r="L581" s="13">
        <f t="shared" si="22"/>
        <v>6177122.2675205935</v>
      </c>
      <c r="M581" s="13">
        <f t="shared" si="23"/>
        <v>16177122.267520593</v>
      </c>
      <c r="N581" s="13">
        <f t="shared" si="24"/>
        <v>17385392.190022323</v>
      </c>
      <c r="O581" s="13">
        <f t="shared" si="25"/>
        <v>-1208269.9225017298</v>
      </c>
      <c r="P581" s="12">
        <f t="shared" si="26"/>
        <v>-6.9499146714399107E-2</v>
      </c>
    </row>
    <row r="582" spans="1:16" ht="14.4" x14ac:dyDescent="0.3">
      <c r="A582" s="7" t="s">
        <v>46</v>
      </c>
      <c r="B582" s="8">
        <v>43098</v>
      </c>
      <c r="C582" s="9">
        <v>53.7</v>
      </c>
      <c r="D582" s="8">
        <v>43187</v>
      </c>
      <c r="E582" s="9">
        <v>31.6</v>
      </c>
      <c r="F582" s="17">
        <v>-41.15</v>
      </c>
      <c r="G582" s="11"/>
      <c r="H582" s="12">
        <f t="shared" si="18"/>
        <v>-0.41154562383612664</v>
      </c>
      <c r="I582" s="13">
        <f t="shared" si="19"/>
        <v>-82309.124767225323</v>
      </c>
      <c r="J582" s="13">
        <f t="shared" si="20"/>
        <v>0</v>
      </c>
      <c r="K582" s="13">
        <f t="shared" si="21"/>
        <v>-82309.124767225323</v>
      </c>
      <c r="L582" s="13">
        <f t="shared" si="22"/>
        <v>6094813.1427533682</v>
      </c>
      <c r="M582" s="13">
        <f t="shared" si="23"/>
        <v>16094813.142753368</v>
      </c>
      <c r="N582" s="13">
        <f t="shared" si="24"/>
        <v>17385392.190022323</v>
      </c>
      <c r="O582" s="13">
        <f t="shared" si="25"/>
        <v>-1290579.047268955</v>
      </c>
      <c r="P582" s="12">
        <f t="shared" si="26"/>
        <v>-7.4233530838011999E-2</v>
      </c>
    </row>
    <row r="583" spans="1:16" ht="14.4" x14ac:dyDescent="0.3">
      <c r="A583" s="7" t="s">
        <v>541</v>
      </c>
      <c r="B583" s="8">
        <v>43098</v>
      </c>
      <c r="C583" s="9">
        <v>180.5</v>
      </c>
      <c r="D583" s="8">
        <v>43187</v>
      </c>
      <c r="E583" s="9">
        <v>121.65</v>
      </c>
      <c r="F583" s="17">
        <v>-32.6</v>
      </c>
      <c r="G583" s="11"/>
      <c r="H583" s="12">
        <f t="shared" si="18"/>
        <v>-0.32603878116343488</v>
      </c>
      <c r="I583" s="13">
        <f t="shared" si="19"/>
        <v>-65207.756232686974</v>
      </c>
      <c r="J583" s="13">
        <f t="shared" si="20"/>
        <v>0</v>
      </c>
      <c r="K583" s="13">
        <f t="shared" si="21"/>
        <v>-65207.756232686974</v>
      </c>
      <c r="L583" s="13">
        <f t="shared" si="22"/>
        <v>6029605.386520681</v>
      </c>
      <c r="M583" s="13">
        <f t="shared" si="23"/>
        <v>16029605.38652068</v>
      </c>
      <c r="N583" s="13">
        <f t="shared" si="24"/>
        <v>17385392.190022323</v>
      </c>
      <c r="O583" s="13">
        <f t="shared" si="25"/>
        <v>-1355786.8035016432</v>
      </c>
      <c r="P583" s="12">
        <f t="shared" si="26"/>
        <v>-7.7984251875534039E-2</v>
      </c>
    </row>
    <row r="584" spans="1:16" ht="14.4" x14ac:dyDescent="0.3">
      <c r="A584" s="7" t="s">
        <v>542</v>
      </c>
      <c r="B584" s="8">
        <v>43098</v>
      </c>
      <c r="C584" s="9">
        <v>1498.6</v>
      </c>
      <c r="D584" s="8">
        <v>43187</v>
      </c>
      <c r="E584" s="9">
        <v>1625</v>
      </c>
      <c r="F584" s="17">
        <v>8.43</v>
      </c>
      <c r="G584" s="11"/>
      <c r="H584" s="12">
        <f t="shared" si="18"/>
        <v>8.4345389029761172E-2</v>
      </c>
      <c r="I584" s="13">
        <f t="shared" si="19"/>
        <v>16869.077805952234</v>
      </c>
      <c r="J584" s="13">
        <f t="shared" si="20"/>
        <v>16869.077805952234</v>
      </c>
      <c r="K584" s="13">
        <f t="shared" si="21"/>
        <v>0</v>
      </c>
      <c r="L584" s="13">
        <f t="shared" si="22"/>
        <v>6046474.4643266331</v>
      </c>
      <c r="M584" s="13">
        <f t="shared" si="23"/>
        <v>16046474.464326633</v>
      </c>
      <c r="N584" s="13">
        <f t="shared" si="24"/>
        <v>17385392.190022323</v>
      </c>
      <c r="O584" s="13">
        <f t="shared" si="25"/>
        <v>-1338917.7256956901</v>
      </c>
      <c r="P584" s="12">
        <f t="shared" si="26"/>
        <v>-7.7013950048484409E-2</v>
      </c>
    </row>
    <row r="585" spans="1:16" ht="14.4" x14ac:dyDescent="0.3">
      <c r="A585" s="7" t="s">
        <v>220</v>
      </c>
      <c r="B585" s="8">
        <v>43098</v>
      </c>
      <c r="C585" s="9">
        <v>19000</v>
      </c>
      <c r="D585" s="8">
        <v>43187</v>
      </c>
      <c r="E585" s="9">
        <v>19298</v>
      </c>
      <c r="F585" s="17">
        <v>1.57</v>
      </c>
      <c r="G585" s="11"/>
      <c r="H585" s="12">
        <f t="shared" si="18"/>
        <v>1.568421052631579E-2</v>
      </c>
      <c r="I585" s="13">
        <f t="shared" si="19"/>
        <v>3136.8421052631579</v>
      </c>
      <c r="J585" s="13">
        <f t="shared" si="20"/>
        <v>3136.8421052631579</v>
      </c>
      <c r="K585" s="13">
        <f t="shared" si="21"/>
        <v>0</v>
      </c>
      <c r="L585" s="13">
        <f t="shared" si="22"/>
        <v>6049611.3064318961</v>
      </c>
      <c r="M585" s="13">
        <f t="shared" si="23"/>
        <v>16049611.306431897</v>
      </c>
      <c r="N585" s="13">
        <f t="shared" si="24"/>
        <v>17385392.190022323</v>
      </c>
      <c r="O585" s="13">
        <f t="shared" si="25"/>
        <v>-1335780.8835904263</v>
      </c>
      <c r="P585" s="12">
        <f t="shared" si="26"/>
        <v>-7.6833520290502638E-2</v>
      </c>
    </row>
    <row r="586" spans="1:16" ht="14.4" x14ac:dyDescent="0.3">
      <c r="A586" s="7" t="s">
        <v>543</v>
      </c>
      <c r="B586" s="8">
        <v>43098</v>
      </c>
      <c r="C586" s="9">
        <v>718.5</v>
      </c>
      <c r="D586" s="8">
        <v>43187</v>
      </c>
      <c r="E586" s="9">
        <v>635</v>
      </c>
      <c r="F586" s="17">
        <v>-11.62</v>
      </c>
      <c r="G586" s="11"/>
      <c r="H586" s="12">
        <f t="shared" si="18"/>
        <v>-0.116214335421016</v>
      </c>
      <c r="I586" s="13">
        <f t="shared" si="19"/>
        <v>-23242.867084203201</v>
      </c>
      <c r="J586" s="13">
        <f t="shared" si="20"/>
        <v>0</v>
      </c>
      <c r="K586" s="13">
        <f t="shared" si="21"/>
        <v>-23242.867084203201</v>
      </c>
      <c r="L586" s="13">
        <f t="shared" si="22"/>
        <v>6026368.4393476928</v>
      </c>
      <c r="M586" s="13">
        <f t="shared" si="23"/>
        <v>16026368.439347692</v>
      </c>
      <c r="N586" s="13">
        <f t="shared" si="24"/>
        <v>17385392.190022323</v>
      </c>
      <c r="O586" s="13">
        <f t="shared" si="25"/>
        <v>-1359023.7506746314</v>
      </c>
      <c r="P586" s="12">
        <f t="shared" si="26"/>
        <v>-7.817043963233633E-2</v>
      </c>
    </row>
    <row r="587" spans="1:16" ht="14.4" x14ac:dyDescent="0.3">
      <c r="A587" s="7" t="s">
        <v>544</v>
      </c>
      <c r="B587" s="8">
        <v>43098</v>
      </c>
      <c r="C587" s="9">
        <v>252.5</v>
      </c>
      <c r="D587" s="8">
        <v>43187</v>
      </c>
      <c r="E587" s="9">
        <v>246.1</v>
      </c>
      <c r="F587" s="17">
        <v>-2.5299999999999998</v>
      </c>
      <c r="G587" s="11"/>
      <c r="H587" s="12">
        <f t="shared" si="18"/>
        <v>-2.5346534653465369E-2</v>
      </c>
      <c r="I587" s="13">
        <f t="shared" si="19"/>
        <v>-5069.3069306930738</v>
      </c>
      <c r="J587" s="13">
        <f t="shared" si="20"/>
        <v>0</v>
      </c>
      <c r="K587" s="13">
        <f t="shared" si="21"/>
        <v>-5069.3069306930738</v>
      </c>
      <c r="L587" s="13">
        <f t="shared" si="22"/>
        <v>6021299.1324169999</v>
      </c>
      <c r="M587" s="13">
        <f t="shared" si="23"/>
        <v>16021299.132417001</v>
      </c>
      <c r="N587" s="13">
        <f t="shared" si="24"/>
        <v>17385392.190022323</v>
      </c>
      <c r="O587" s="13">
        <f t="shared" si="25"/>
        <v>-1364093.0576053225</v>
      </c>
      <c r="P587" s="12">
        <f t="shared" si="26"/>
        <v>-7.8462023904654343E-2</v>
      </c>
    </row>
    <row r="588" spans="1:16" ht="14.4" x14ac:dyDescent="0.3">
      <c r="A588" s="7" t="s">
        <v>545</v>
      </c>
      <c r="B588" s="8">
        <v>43098</v>
      </c>
      <c r="C588" s="9">
        <v>39.85</v>
      </c>
      <c r="D588" s="8">
        <v>43187</v>
      </c>
      <c r="E588" s="9">
        <v>25.9</v>
      </c>
      <c r="F588" s="17">
        <v>-35.01</v>
      </c>
      <c r="G588" s="11"/>
      <c r="H588" s="12">
        <f t="shared" si="18"/>
        <v>-0.3500627352572146</v>
      </c>
      <c r="I588" s="13">
        <f t="shared" si="19"/>
        <v>-70012.547051442918</v>
      </c>
      <c r="J588" s="13">
        <f t="shared" si="20"/>
        <v>0</v>
      </c>
      <c r="K588" s="13">
        <f t="shared" si="21"/>
        <v>-70012.547051442918</v>
      </c>
      <c r="L588" s="13">
        <f t="shared" si="22"/>
        <v>5951286.5853655571</v>
      </c>
      <c r="M588" s="13">
        <f t="shared" si="23"/>
        <v>15951286.585365556</v>
      </c>
      <c r="N588" s="13">
        <f t="shared" si="24"/>
        <v>17385392.190022323</v>
      </c>
      <c r="O588" s="13">
        <f t="shared" si="25"/>
        <v>-1434105.6046567671</v>
      </c>
      <c r="P588" s="12">
        <f t="shared" si="26"/>
        <v>-8.2489114365784447E-2</v>
      </c>
    </row>
    <row r="589" spans="1:16" ht="14.4" x14ac:dyDescent="0.3">
      <c r="A589" s="7" t="s">
        <v>60</v>
      </c>
      <c r="B589" s="8">
        <v>43098</v>
      </c>
      <c r="C589" s="9">
        <v>162.18</v>
      </c>
      <c r="D589" s="8">
        <v>43187</v>
      </c>
      <c r="E589" s="9">
        <v>141.88</v>
      </c>
      <c r="F589" s="17">
        <v>-12.52</v>
      </c>
      <c r="G589" s="11"/>
      <c r="H589" s="12">
        <f t="shared" si="18"/>
        <v>-0.12516956468121845</v>
      </c>
      <c r="I589" s="13">
        <f t="shared" si="19"/>
        <v>-25033.912936243691</v>
      </c>
      <c r="J589" s="13">
        <f t="shared" si="20"/>
        <v>0</v>
      </c>
      <c r="K589" s="13">
        <f t="shared" si="21"/>
        <v>-25033.912936243691</v>
      </c>
      <c r="L589" s="13">
        <f t="shared" si="22"/>
        <v>5926252.6724293139</v>
      </c>
      <c r="M589" s="13">
        <f t="shared" si="23"/>
        <v>15926252.672429314</v>
      </c>
      <c r="N589" s="13">
        <f t="shared" si="24"/>
        <v>17385392.190022323</v>
      </c>
      <c r="O589" s="13">
        <f t="shared" si="25"/>
        <v>-1459139.5175930094</v>
      </c>
      <c r="P589" s="12">
        <f t="shared" si="26"/>
        <v>-8.3929053865717584E-2</v>
      </c>
    </row>
    <row r="590" spans="1:16" ht="14.4" x14ac:dyDescent="0.3">
      <c r="A590" s="7" t="s">
        <v>546</v>
      </c>
      <c r="B590" s="8">
        <v>43098</v>
      </c>
      <c r="C590" s="9">
        <v>313.48</v>
      </c>
      <c r="D590" s="8">
        <v>43187</v>
      </c>
      <c r="E590" s="9">
        <v>303</v>
      </c>
      <c r="F590" s="17">
        <v>-3.34</v>
      </c>
      <c r="G590" s="11"/>
      <c r="H590" s="12">
        <f t="shared" si="18"/>
        <v>-3.3431159882608197E-2</v>
      </c>
      <c r="I590" s="13">
        <f t="shared" si="19"/>
        <v>-6686.2319765216398</v>
      </c>
      <c r="J590" s="13">
        <f t="shared" si="20"/>
        <v>0</v>
      </c>
      <c r="K590" s="13">
        <f t="shared" si="21"/>
        <v>-6686.2319765216398</v>
      </c>
      <c r="L590" s="13">
        <f t="shared" si="22"/>
        <v>5919566.4404527927</v>
      </c>
      <c r="M590" s="13">
        <f t="shared" si="23"/>
        <v>15919566.440452792</v>
      </c>
      <c r="N590" s="13">
        <f t="shared" si="24"/>
        <v>17385392.190022323</v>
      </c>
      <c r="O590" s="13">
        <f t="shared" si="25"/>
        <v>-1465825.7495695315</v>
      </c>
      <c r="P590" s="12">
        <f t="shared" si="26"/>
        <v>-8.4313642945068892E-2</v>
      </c>
    </row>
    <row r="591" spans="1:16" ht="14.4" x14ac:dyDescent="0.3">
      <c r="A591" s="7" t="s">
        <v>422</v>
      </c>
      <c r="B591" s="8">
        <v>43098</v>
      </c>
      <c r="C591" s="9">
        <v>114.4</v>
      </c>
      <c r="D591" s="8">
        <v>43187</v>
      </c>
      <c r="E591" s="9">
        <v>69.900000000000006</v>
      </c>
      <c r="F591" s="17">
        <v>-38.9</v>
      </c>
      <c r="G591" s="11"/>
      <c r="H591" s="12">
        <f t="shared" si="18"/>
        <v>-0.38898601398601396</v>
      </c>
      <c r="I591" s="13">
        <f t="shared" si="19"/>
        <v>-77797.202797202786</v>
      </c>
      <c r="J591" s="13">
        <f t="shared" si="20"/>
        <v>0</v>
      </c>
      <c r="K591" s="13">
        <f t="shared" si="21"/>
        <v>-77797.202797202786</v>
      </c>
      <c r="L591" s="13">
        <f t="shared" si="22"/>
        <v>5841769.2376555903</v>
      </c>
      <c r="M591" s="13">
        <f t="shared" si="23"/>
        <v>15841769.237655591</v>
      </c>
      <c r="N591" s="13">
        <f t="shared" si="24"/>
        <v>17385392.190022323</v>
      </c>
      <c r="O591" s="13">
        <f t="shared" si="25"/>
        <v>-1543622.9523667321</v>
      </c>
      <c r="P591" s="12">
        <f t="shared" si="26"/>
        <v>-8.878850333055098E-2</v>
      </c>
    </row>
    <row r="592" spans="1:16" ht="14.4" x14ac:dyDescent="0.3">
      <c r="A592" s="7" t="s">
        <v>296</v>
      </c>
      <c r="B592" s="8">
        <v>43098</v>
      </c>
      <c r="C592" s="9">
        <v>161.6</v>
      </c>
      <c r="D592" s="8">
        <v>43187</v>
      </c>
      <c r="E592" s="9">
        <v>129.5</v>
      </c>
      <c r="F592" s="17">
        <v>-19.86</v>
      </c>
      <c r="G592" s="11"/>
      <c r="H592" s="12">
        <f t="shared" si="18"/>
        <v>-0.19863861386138612</v>
      </c>
      <c r="I592" s="13">
        <f t="shared" si="19"/>
        <v>-39727.722772277222</v>
      </c>
      <c r="J592" s="13">
        <f t="shared" si="20"/>
        <v>0</v>
      </c>
      <c r="K592" s="13">
        <f t="shared" si="21"/>
        <v>-39727.722772277222</v>
      </c>
      <c r="L592" s="13">
        <f t="shared" si="22"/>
        <v>5802041.5148833133</v>
      </c>
      <c r="M592" s="13">
        <f t="shared" si="23"/>
        <v>15802041.514883313</v>
      </c>
      <c r="N592" s="13">
        <f t="shared" si="24"/>
        <v>17385392.190022323</v>
      </c>
      <c r="O592" s="13">
        <f t="shared" si="25"/>
        <v>-1583350.67513901</v>
      </c>
      <c r="P592" s="12">
        <f t="shared" si="26"/>
        <v>-9.1073624214684845E-2</v>
      </c>
    </row>
    <row r="593" spans="1:16" ht="14.4" x14ac:dyDescent="0.3">
      <c r="A593" s="7" t="s">
        <v>469</v>
      </c>
      <c r="B593" s="8">
        <v>43098</v>
      </c>
      <c r="C593" s="9">
        <v>193</v>
      </c>
      <c r="D593" s="8">
        <v>43187</v>
      </c>
      <c r="E593" s="9">
        <v>122.5</v>
      </c>
      <c r="F593" s="17">
        <v>-36.53</v>
      </c>
      <c r="G593" s="11"/>
      <c r="H593" s="12">
        <f t="shared" si="18"/>
        <v>-0.36528497409326427</v>
      </c>
      <c r="I593" s="13">
        <f t="shared" si="19"/>
        <v>-73056.994818652849</v>
      </c>
      <c r="J593" s="13">
        <f t="shared" si="20"/>
        <v>0</v>
      </c>
      <c r="K593" s="13">
        <f t="shared" si="21"/>
        <v>-73056.994818652849</v>
      </c>
      <c r="L593" s="13">
        <f t="shared" si="22"/>
        <v>5728984.5200646603</v>
      </c>
      <c r="M593" s="13">
        <f t="shared" si="23"/>
        <v>15728984.520064659</v>
      </c>
      <c r="N593" s="13">
        <f t="shared" si="24"/>
        <v>17385392.190022323</v>
      </c>
      <c r="O593" s="13">
        <f t="shared" si="25"/>
        <v>-1656407.6699576639</v>
      </c>
      <c r="P593" s="12">
        <f t="shared" si="26"/>
        <v>-9.5275829952705657E-2</v>
      </c>
    </row>
    <row r="594" spans="1:16" ht="14.4" x14ac:dyDescent="0.3">
      <c r="A594" s="7" t="s">
        <v>423</v>
      </c>
      <c r="B594" s="8">
        <v>43098</v>
      </c>
      <c r="C594" s="9">
        <v>172.7</v>
      </c>
      <c r="D594" s="8">
        <v>43187</v>
      </c>
      <c r="E594" s="9">
        <v>154</v>
      </c>
      <c r="F594" s="17">
        <v>-10.83</v>
      </c>
      <c r="G594" s="11"/>
      <c r="H594" s="12">
        <f t="shared" si="18"/>
        <v>-0.10828025477707001</v>
      </c>
      <c r="I594" s="13">
        <f t="shared" si="19"/>
        <v>-21656.050955414001</v>
      </c>
      <c r="J594" s="13">
        <f t="shared" si="20"/>
        <v>0</v>
      </c>
      <c r="K594" s="13">
        <f t="shared" si="21"/>
        <v>-21656.050955414001</v>
      </c>
      <c r="L594" s="13">
        <f t="shared" si="22"/>
        <v>5707328.4691092465</v>
      </c>
      <c r="M594" s="13">
        <f t="shared" si="23"/>
        <v>15707328.469109247</v>
      </c>
      <c r="N594" s="13">
        <f t="shared" si="24"/>
        <v>17385392.190022323</v>
      </c>
      <c r="O594" s="13">
        <f t="shared" si="25"/>
        <v>-1678063.7209130768</v>
      </c>
      <c r="P594" s="12">
        <f t="shared" si="26"/>
        <v>-9.6521476338977091E-2</v>
      </c>
    </row>
    <row r="595" spans="1:16" ht="14.4" x14ac:dyDescent="0.3">
      <c r="A595" s="7" t="s">
        <v>62</v>
      </c>
      <c r="B595" s="8">
        <v>43098</v>
      </c>
      <c r="C595" s="9">
        <v>30.1</v>
      </c>
      <c r="D595" s="8">
        <v>43187</v>
      </c>
      <c r="E595" s="9">
        <v>22.75</v>
      </c>
      <c r="F595" s="17">
        <v>-24.42</v>
      </c>
      <c r="G595" s="11"/>
      <c r="H595" s="12">
        <f t="shared" si="18"/>
        <v>-0.24418604651162795</v>
      </c>
      <c r="I595" s="13">
        <f t="shared" si="19"/>
        <v>-48837.209302325587</v>
      </c>
      <c r="J595" s="13">
        <f t="shared" si="20"/>
        <v>0</v>
      </c>
      <c r="K595" s="13">
        <f t="shared" si="21"/>
        <v>-48837.209302325587</v>
      </c>
      <c r="L595" s="13">
        <f t="shared" si="22"/>
        <v>5658491.2598069208</v>
      </c>
      <c r="M595" s="13">
        <f t="shared" si="23"/>
        <v>15658491.25980692</v>
      </c>
      <c r="N595" s="13">
        <f t="shared" si="24"/>
        <v>17385392.190022323</v>
      </c>
      <c r="O595" s="13">
        <f t="shared" si="25"/>
        <v>-1726900.9302154034</v>
      </c>
      <c r="P595" s="12">
        <f t="shared" si="26"/>
        <v>-9.9330570822928677E-2</v>
      </c>
    </row>
    <row r="596" spans="1:16" ht="14.4" x14ac:dyDescent="0.3">
      <c r="A596" s="7" t="s">
        <v>64</v>
      </c>
      <c r="B596" s="8">
        <v>43098</v>
      </c>
      <c r="C596" s="9">
        <v>1469.95</v>
      </c>
      <c r="D596" s="8">
        <v>43187</v>
      </c>
      <c r="E596" s="9">
        <v>990</v>
      </c>
      <c r="F596" s="17">
        <v>-32.65</v>
      </c>
      <c r="G596" s="11"/>
      <c r="H596" s="12">
        <f t="shared" si="18"/>
        <v>-0.3265077043436852</v>
      </c>
      <c r="I596" s="13">
        <f t="shared" si="19"/>
        <v>-65301.540868737044</v>
      </c>
      <c r="J596" s="13">
        <f t="shared" si="20"/>
        <v>0</v>
      </c>
      <c r="K596" s="13">
        <f t="shared" si="21"/>
        <v>-65301.540868737044</v>
      </c>
      <c r="L596" s="13">
        <f t="shared" si="22"/>
        <v>5593189.718938184</v>
      </c>
      <c r="M596" s="13">
        <f t="shared" si="23"/>
        <v>15593189.718938183</v>
      </c>
      <c r="N596" s="13">
        <f t="shared" si="24"/>
        <v>17385392.190022323</v>
      </c>
      <c r="O596" s="13">
        <f t="shared" si="25"/>
        <v>-1792202.4710841402</v>
      </c>
      <c r="P596" s="12">
        <f t="shared" si="26"/>
        <v>-0.10308668631086193</v>
      </c>
    </row>
    <row r="597" spans="1:16" ht="14.4" x14ac:dyDescent="0.3">
      <c r="A597" s="7" t="s">
        <v>297</v>
      </c>
      <c r="B597" s="8">
        <v>43098</v>
      </c>
      <c r="C597" s="9">
        <v>70.650000000000006</v>
      </c>
      <c r="D597" s="8">
        <v>43187</v>
      </c>
      <c r="E597" s="9">
        <v>51.85</v>
      </c>
      <c r="F597" s="17">
        <v>-26.61</v>
      </c>
      <c r="G597" s="11"/>
      <c r="H597" s="12">
        <f t="shared" si="18"/>
        <v>-0.26610049539985847</v>
      </c>
      <c r="I597" s="13">
        <f t="shared" si="19"/>
        <v>-53220.099079971696</v>
      </c>
      <c r="J597" s="13">
        <f t="shared" si="20"/>
        <v>0</v>
      </c>
      <c r="K597" s="13">
        <f t="shared" si="21"/>
        <v>-53220.099079971696</v>
      </c>
      <c r="L597" s="13">
        <f t="shared" si="22"/>
        <v>5539969.6198582118</v>
      </c>
      <c r="M597" s="13">
        <f t="shared" si="23"/>
        <v>15539969.619858213</v>
      </c>
      <c r="N597" s="13">
        <f t="shared" si="24"/>
        <v>17385392.190022323</v>
      </c>
      <c r="O597" s="13">
        <f t="shared" si="25"/>
        <v>-1845422.5701641105</v>
      </c>
      <c r="P597" s="12">
        <f t="shared" si="26"/>
        <v>-0.10614788265882318</v>
      </c>
    </row>
    <row r="598" spans="1:16" ht="14.4" x14ac:dyDescent="0.3">
      <c r="A598" s="7" t="s">
        <v>547</v>
      </c>
      <c r="B598" s="8">
        <v>43098</v>
      </c>
      <c r="C598" s="9">
        <v>56</v>
      </c>
      <c r="D598" s="8">
        <v>43187</v>
      </c>
      <c r="E598" s="9">
        <v>47.85</v>
      </c>
      <c r="F598" s="17">
        <v>-14.55</v>
      </c>
      <c r="G598" s="11"/>
      <c r="H598" s="12">
        <f t="shared" si="18"/>
        <v>-0.14553571428571427</v>
      </c>
      <c r="I598" s="13">
        <f t="shared" si="19"/>
        <v>-29107.142857142855</v>
      </c>
      <c r="J598" s="13">
        <f t="shared" si="20"/>
        <v>0</v>
      </c>
      <c r="K598" s="13">
        <f t="shared" si="21"/>
        <v>-29107.142857142855</v>
      </c>
      <c r="L598" s="13">
        <f t="shared" si="22"/>
        <v>5510862.4770010691</v>
      </c>
      <c r="M598" s="13">
        <f t="shared" si="23"/>
        <v>15510862.477001069</v>
      </c>
      <c r="N598" s="13">
        <f t="shared" si="24"/>
        <v>17385392.190022323</v>
      </c>
      <c r="O598" s="13">
        <f t="shared" si="25"/>
        <v>-1874529.7130212542</v>
      </c>
      <c r="P598" s="12">
        <f t="shared" si="26"/>
        <v>-0.10782211252600148</v>
      </c>
    </row>
    <row r="599" spans="1:16" ht="14.4" x14ac:dyDescent="0.3">
      <c r="A599" s="7" t="s">
        <v>534</v>
      </c>
      <c r="B599" s="8">
        <v>43098</v>
      </c>
      <c r="C599" s="9">
        <v>84</v>
      </c>
      <c r="D599" s="8">
        <v>43187</v>
      </c>
      <c r="E599" s="9">
        <v>89.5</v>
      </c>
      <c r="F599" s="17">
        <v>6.55</v>
      </c>
      <c r="G599" s="11"/>
      <c r="H599" s="12">
        <f t="shared" si="18"/>
        <v>6.5476190476190479E-2</v>
      </c>
      <c r="I599" s="13">
        <f t="shared" si="19"/>
        <v>13095.238095238095</v>
      </c>
      <c r="J599" s="13">
        <f t="shared" si="20"/>
        <v>13095.238095238095</v>
      </c>
      <c r="K599" s="13">
        <f t="shared" si="21"/>
        <v>0</v>
      </c>
      <c r="L599" s="13">
        <f t="shared" si="22"/>
        <v>5523957.715096307</v>
      </c>
      <c r="M599" s="13">
        <f t="shared" si="23"/>
        <v>15523957.715096306</v>
      </c>
      <c r="N599" s="13">
        <f t="shared" si="24"/>
        <v>17385392.190022323</v>
      </c>
      <c r="O599" s="13">
        <f t="shared" si="25"/>
        <v>-1861434.4749260172</v>
      </c>
      <c r="P599" s="12">
        <f t="shared" si="26"/>
        <v>-0.1070688802749193</v>
      </c>
    </row>
    <row r="600" spans="1:16" ht="14.4" x14ac:dyDescent="0.3">
      <c r="A600" s="7" t="s">
        <v>548</v>
      </c>
      <c r="B600" s="8">
        <v>43098</v>
      </c>
      <c r="C600" s="9">
        <v>110.9</v>
      </c>
      <c r="D600" s="8">
        <v>43187</v>
      </c>
      <c r="E600" s="9">
        <v>99.8</v>
      </c>
      <c r="F600" s="17">
        <v>-10.01</v>
      </c>
      <c r="G600" s="11"/>
      <c r="H600" s="12">
        <f t="shared" si="18"/>
        <v>-0.10009017132551856</v>
      </c>
      <c r="I600" s="13">
        <f t="shared" si="19"/>
        <v>-20018.034265103714</v>
      </c>
      <c r="J600" s="13">
        <f t="shared" si="20"/>
        <v>0</v>
      </c>
      <c r="K600" s="13">
        <f t="shared" si="21"/>
        <v>-20018.034265103714</v>
      </c>
      <c r="L600" s="13">
        <f t="shared" si="22"/>
        <v>5503939.6808312032</v>
      </c>
      <c r="M600" s="13">
        <f t="shared" si="23"/>
        <v>15503939.680831203</v>
      </c>
      <c r="N600" s="13">
        <f t="shared" si="24"/>
        <v>17385392.190022323</v>
      </c>
      <c r="O600" s="13">
        <f t="shared" si="25"/>
        <v>-1881452.50919112</v>
      </c>
      <c r="P600" s="12">
        <f t="shared" si="26"/>
        <v>-0.10822030867217981</v>
      </c>
    </row>
    <row r="601" spans="1:16" ht="14.4" x14ac:dyDescent="0.3">
      <c r="A601" s="7" t="s">
        <v>271</v>
      </c>
      <c r="B601" s="8">
        <v>43098</v>
      </c>
      <c r="C601" s="9">
        <v>318.35000000000002</v>
      </c>
      <c r="D601" s="8">
        <v>43187</v>
      </c>
      <c r="E601" s="9">
        <v>240</v>
      </c>
      <c r="F601" s="17">
        <v>-24.61</v>
      </c>
      <c r="G601" s="11"/>
      <c r="H601" s="12">
        <f t="shared" si="18"/>
        <v>-0.24611276896497572</v>
      </c>
      <c r="I601" s="13">
        <f t="shared" si="19"/>
        <v>-49222.553792995146</v>
      </c>
      <c r="J601" s="13">
        <f t="shared" si="20"/>
        <v>0</v>
      </c>
      <c r="K601" s="13">
        <f t="shared" si="21"/>
        <v>-49222.553792995146</v>
      </c>
      <c r="L601" s="13">
        <f t="shared" si="22"/>
        <v>5454717.1270382078</v>
      </c>
      <c r="M601" s="13">
        <f t="shared" si="23"/>
        <v>15454717.127038207</v>
      </c>
      <c r="N601" s="13">
        <f t="shared" si="24"/>
        <v>17385392.190022323</v>
      </c>
      <c r="O601" s="13">
        <f t="shared" si="25"/>
        <v>-1930675.0629841164</v>
      </c>
      <c r="P601" s="12">
        <f t="shared" si="26"/>
        <v>-0.1110515679992628</v>
      </c>
    </row>
    <row r="602" spans="1:16" ht="14.4" x14ac:dyDescent="0.3">
      <c r="A602" s="7" t="s">
        <v>387</v>
      </c>
      <c r="B602" s="8">
        <v>43098</v>
      </c>
      <c r="C602" s="9">
        <v>614.04999999999995</v>
      </c>
      <c r="D602" s="8">
        <v>43187</v>
      </c>
      <c r="E602" s="9">
        <v>470</v>
      </c>
      <c r="F602" s="17">
        <v>-23.46</v>
      </c>
      <c r="G602" s="11"/>
      <c r="H602" s="12">
        <f t="shared" si="18"/>
        <v>-0.23459001709958466</v>
      </c>
      <c r="I602" s="13">
        <f t="shared" si="19"/>
        <v>-46918.003419916931</v>
      </c>
      <c r="J602" s="13">
        <f t="shared" si="20"/>
        <v>0</v>
      </c>
      <c r="K602" s="13">
        <f t="shared" si="21"/>
        <v>-46918.003419916931</v>
      </c>
      <c r="L602" s="13">
        <f t="shared" si="22"/>
        <v>5407799.1236182908</v>
      </c>
      <c r="M602" s="13">
        <f t="shared" si="23"/>
        <v>15407799.12361829</v>
      </c>
      <c r="N602" s="13">
        <f t="shared" si="24"/>
        <v>17385392.190022323</v>
      </c>
      <c r="O602" s="13">
        <f t="shared" si="25"/>
        <v>-1977593.0664040335</v>
      </c>
      <c r="P602" s="12">
        <f t="shared" si="26"/>
        <v>-0.11375027061736329</v>
      </c>
    </row>
    <row r="603" spans="1:16" ht="14.4" x14ac:dyDescent="0.3">
      <c r="A603" s="7" t="s">
        <v>549</v>
      </c>
      <c r="B603" s="8">
        <v>43098</v>
      </c>
      <c r="C603" s="9">
        <v>131.44999999999999</v>
      </c>
      <c r="D603" s="8">
        <v>43187</v>
      </c>
      <c r="E603" s="9">
        <v>122</v>
      </c>
      <c r="F603" s="17">
        <v>-7.19</v>
      </c>
      <c r="G603" s="11"/>
      <c r="H603" s="12">
        <f t="shared" si="18"/>
        <v>-7.1890452643590633E-2</v>
      </c>
      <c r="I603" s="13">
        <f t="shared" si="19"/>
        <v>-14378.090528718127</v>
      </c>
      <c r="J603" s="13">
        <f t="shared" si="20"/>
        <v>0</v>
      </c>
      <c r="K603" s="13">
        <f t="shared" si="21"/>
        <v>-14378.090528718127</v>
      </c>
      <c r="L603" s="13">
        <f t="shared" si="22"/>
        <v>5393421.0330895726</v>
      </c>
      <c r="M603" s="13">
        <f t="shared" si="23"/>
        <v>15393421.033089573</v>
      </c>
      <c r="N603" s="13">
        <f t="shared" si="24"/>
        <v>17385392.190022323</v>
      </c>
      <c r="O603" s="13">
        <f t="shared" si="25"/>
        <v>-1991971.1569327507</v>
      </c>
      <c r="P603" s="12">
        <f t="shared" si="26"/>
        <v>-0.11457729196790659</v>
      </c>
    </row>
    <row r="604" spans="1:16" ht="14.4" x14ac:dyDescent="0.3">
      <c r="A604" s="7" t="s">
        <v>221</v>
      </c>
      <c r="B604" s="8">
        <v>43098</v>
      </c>
      <c r="C604" s="9">
        <v>26.85</v>
      </c>
      <c r="D604" s="8">
        <v>43187</v>
      </c>
      <c r="E604" s="9">
        <v>19.55</v>
      </c>
      <c r="F604" s="17">
        <v>-27.19</v>
      </c>
      <c r="G604" s="11"/>
      <c r="H604" s="12">
        <f t="shared" si="18"/>
        <v>-0.27188081936685288</v>
      </c>
      <c r="I604" s="13">
        <f t="shared" si="19"/>
        <v>-54376.163873370577</v>
      </c>
      <c r="J604" s="13">
        <f t="shared" si="20"/>
        <v>0</v>
      </c>
      <c r="K604" s="13">
        <f t="shared" si="21"/>
        <v>-54376.163873370577</v>
      </c>
      <c r="L604" s="13">
        <f t="shared" si="22"/>
        <v>5339044.8692162018</v>
      </c>
      <c r="M604" s="13">
        <f t="shared" si="23"/>
        <v>15339044.869216202</v>
      </c>
      <c r="N604" s="13">
        <f t="shared" si="24"/>
        <v>17385392.190022323</v>
      </c>
      <c r="O604" s="13">
        <f t="shared" si="25"/>
        <v>-2046347.3208061215</v>
      </c>
      <c r="P604" s="12">
        <f t="shared" si="26"/>
        <v>-0.11770498464685449</v>
      </c>
    </row>
    <row r="605" spans="1:16" ht="14.4" x14ac:dyDescent="0.3">
      <c r="A605" s="7" t="s">
        <v>550</v>
      </c>
      <c r="B605" s="8">
        <v>43098</v>
      </c>
      <c r="C605" s="9">
        <v>1046.75</v>
      </c>
      <c r="D605" s="8">
        <v>43187</v>
      </c>
      <c r="E605" s="9">
        <v>1111.8499999999999</v>
      </c>
      <c r="F605" s="17">
        <v>6.22</v>
      </c>
      <c r="G605" s="11"/>
      <c r="H605" s="12">
        <f t="shared" si="18"/>
        <v>6.2192500597086135E-2</v>
      </c>
      <c r="I605" s="13">
        <f t="shared" si="19"/>
        <v>12438.500119417227</v>
      </c>
      <c r="J605" s="13">
        <f t="shared" si="20"/>
        <v>12438.500119417227</v>
      </c>
      <c r="K605" s="13">
        <f t="shared" si="21"/>
        <v>0</v>
      </c>
      <c r="L605" s="13">
        <f t="shared" si="22"/>
        <v>5351483.3693356188</v>
      </c>
      <c r="M605" s="13">
        <f t="shared" si="23"/>
        <v>15351483.369335618</v>
      </c>
      <c r="N605" s="13">
        <f t="shared" si="24"/>
        <v>17385392.190022323</v>
      </c>
      <c r="O605" s="13">
        <f t="shared" si="25"/>
        <v>-2033908.8206867054</v>
      </c>
      <c r="P605" s="12">
        <f t="shared" si="26"/>
        <v>-0.11698952767105185</v>
      </c>
    </row>
    <row r="606" spans="1:16" ht="14.4" x14ac:dyDescent="0.3">
      <c r="A606" s="7" t="s">
        <v>551</v>
      </c>
      <c r="B606" s="8">
        <v>43098</v>
      </c>
      <c r="C606" s="9">
        <v>220.9</v>
      </c>
      <c r="D606" s="8">
        <v>43187</v>
      </c>
      <c r="E606" s="9">
        <v>166.85</v>
      </c>
      <c r="F606" s="17">
        <v>-24.47</v>
      </c>
      <c r="G606" s="11"/>
      <c r="H606" s="12">
        <f t="shared" si="18"/>
        <v>-0.24468085106382984</v>
      </c>
      <c r="I606" s="13">
        <f t="shared" si="19"/>
        <v>-48936.170212765966</v>
      </c>
      <c r="J606" s="13">
        <f t="shared" si="20"/>
        <v>0</v>
      </c>
      <c r="K606" s="13">
        <f t="shared" si="21"/>
        <v>-48936.170212765966</v>
      </c>
      <c r="L606" s="13">
        <f t="shared" si="22"/>
        <v>5302547.1991228526</v>
      </c>
      <c r="M606" s="13">
        <f t="shared" si="23"/>
        <v>15302547.199122854</v>
      </c>
      <c r="N606" s="13">
        <f t="shared" si="24"/>
        <v>17385392.190022323</v>
      </c>
      <c r="O606" s="13">
        <f t="shared" si="25"/>
        <v>-2082844.9908994697</v>
      </c>
      <c r="P606" s="12">
        <f t="shared" si="26"/>
        <v>-0.11980431434240744</v>
      </c>
    </row>
    <row r="607" spans="1:16" ht="14.4" x14ac:dyDescent="0.3">
      <c r="A607" s="7" t="s">
        <v>516</v>
      </c>
      <c r="B607" s="8">
        <v>43098</v>
      </c>
      <c r="C607" s="9">
        <v>275.95</v>
      </c>
      <c r="D607" s="8">
        <v>43187</v>
      </c>
      <c r="E607" s="9">
        <v>228.33</v>
      </c>
      <c r="F607" s="17">
        <v>-17.260000000000002</v>
      </c>
      <c r="G607" s="11"/>
      <c r="H607" s="12">
        <f t="shared" si="18"/>
        <v>-0.17256749411125197</v>
      </c>
      <c r="I607" s="13">
        <f t="shared" si="19"/>
        <v>-34513.498822250396</v>
      </c>
      <c r="J607" s="13">
        <f t="shared" si="20"/>
        <v>0</v>
      </c>
      <c r="K607" s="13">
        <f t="shared" si="21"/>
        <v>-34513.498822250396</v>
      </c>
      <c r="L607" s="13">
        <f t="shared" si="22"/>
        <v>5268033.7003006022</v>
      </c>
      <c r="M607" s="13">
        <f t="shared" si="23"/>
        <v>15268033.700300602</v>
      </c>
      <c r="N607" s="13">
        <f t="shared" si="24"/>
        <v>17385392.190022323</v>
      </c>
      <c r="O607" s="13">
        <f t="shared" si="25"/>
        <v>-2117358.489721721</v>
      </c>
      <c r="P607" s="12">
        <f t="shared" si="26"/>
        <v>-0.12178951539194482</v>
      </c>
    </row>
    <row r="608" spans="1:16" ht="14.4" x14ac:dyDescent="0.3">
      <c r="A608" s="7" t="s">
        <v>552</v>
      </c>
      <c r="B608" s="8">
        <v>43098</v>
      </c>
      <c r="C608" s="9">
        <v>47.5</v>
      </c>
      <c r="D608" s="8">
        <v>43187</v>
      </c>
      <c r="E608" s="9">
        <v>51.94</v>
      </c>
      <c r="F608" s="17">
        <v>9.35</v>
      </c>
      <c r="G608" s="11"/>
      <c r="H608" s="12">
        <f t="shared" si="18"/>
        <v>9.3473684210526264E-2</v>
      </c>
      <c r="I608" s="13">
        <f t="shared" si="19"/>
        <v>18694.736842105252</v>
      </c>
      <c r="J608" s="13">
        <f t="shared" si="20"/>
        <v>18694.736842105252</v>
      </c>
      <c r="K608" s="13">
        <f t="shared" si="21"/>
        <v>0</v>
      </c>
      <c r="L608" s="13">
        <f t="shared" si="22"/>
        <v>5286728.4371427074</v>
      </c>
      <c r="M608" s="13">
        <f t="shared" si="23"/>
        <v>15286728.437142707</v>
      </c>
      <c r="N608" s="13">
        <f t="shared" si="24"/>
        <v>17385392.190022323</v>
      </c>
      <c r="O608" s="13">
        <f t="shared" si="25"/>
        <v>-2098663.7528796159</v>
      </c>
      <c r="P608" s="12">
        <f t="shared" si="26"/>
        <v>-0.12071420247189264</v>
      </c>
    </row>
    <row r="609" spans="1:16" ht="14.4" x14ac:dyDescent="0.3">
      <c r="A609" s="7" t="s">
        <v>553</v>
      </c>
      <c r="B609" s="8">
        <v>43098</v>
      </c>
      <c r="C609" s="9">
        <v>109</v>
      </c>
      <c r="D609" s="8">
        <v>43187</v>
      </c>
      <c r="E609" s="9">
        <v>89.05</v>
      </c>
      <c r="F609" s="17">
        <v>-18.3</v>
      </c>
      <c r="G609" s="11"/>
      <c r="H609" s="12">
        <f t="shared" si="18"/>
        <v>-0.18302752293577984</v>
      </c>
      <c r="I609" s="13">
        <f t="shared" si="19"/>
        <v>-36605.504587155971</v>
      </c>
      <c r="J609" s="13">
        <f t="shared" si="20"/>
        <v>0</v>
      </c>
      <c r="K609" s="13">
        <f t="shared" si="21"/>
        <v>-36605.504587155971</v>
      </c>
      <c r="L609" s="13">
        <f t="shared" si="22"/>
        <v>5250122.9325555516</v>
      </c>
      <c r="M609" s="13">
        <f t="shared" si="23"/>
        <v>15250122.932555553</v>
      </c>
      <c r="N609" s="13">
        <f t="shared" si="24"/>
        <v>17385392.190022323</v>
      </c>
      <c r="O609" s="13">
        <f t="shared" si="25"/>
        <v>-2135269.2574667707</v>
      </c>
      <c r="P609" s="12">
        <f t="shared" si="26"/>
        <v>-0.12281973475940487</v>
      </c>
    </row>
    <row r="610" spans="1:16" ht="14.4" x14ac:dyDescent="0.3">
      <c r="A610" s="7" t="s">
        <v>66</v>
      </c>
      <c r="B610" s="8">
        <v>43098</v>
      </c>
      <c r="C610" s="9">
        <v>70.900000000000006</v>
      </c>
      <c r="D610" s="8">
        <v>43187</v>
      </c>
      <c r="E610" s="9">
        <v>69.3</v>
      </c>
      <c r="F610" s="17">
        <v>-2.2599999999999998</v>
      </c>
      <c r="G610" s="11"/>
      <c r="H610" s="12">
        <f t="shared" si="18"/>
        <v>-2.2566995768688411E-2</v>
      </c>
      <c r="I610" s="13">
        <f t="shared" si="19"/>
        <v>-4513.3991537376824</v>
      </c>
      <c r="J610" s="13">
        <f t="shared" si="20"/>
        <v>0</v>
      </c>
      <c r="K610" s="13">
        <f t="shared" si="21"/>
        <v>-4513.3991537376824</v>
      </c>
      <c r="L610" s="13">
        <f t="shared" si="22"/>
        <v>5245609.5334018143</v>
      </c>
      <c r="M610" s="13">
        <f t="shared" si="23"/>
        <v>15245609.533401813</v>
      </c>
      <c r="N610" s="13">
        <f t="shared" si="24"/>
        <v>17385392.190022323</v>
      </c>
      <c r="O610" s="13">
        <f t="shared" si="25"/>
        <v>-2139782.6566205099</v>
      </c>
      <c r="P610" s="12">
        <f t="shared" si="26"/>
        <v>-0.1230793434644837</v>
      </c>
    </row>
    <row r="611" spans="1:16" ht="14.4" x14ac:dyDescent="0.3">
      <c r="A611" s="7" t="s">
        <v>554</v>
      </c>
      <c r="B611" s="8">
        <v>43098</v>
      </c>
      <c r="C611" s="9">
        <v>201.25</v>
      </c>
      <c r="D611" s="8">
        <v>43187</v>
      </c>
      <c r="E611" s="9">
        <v>140.05000000000001</v>
      </c>
      <c r="F611" s="17">
        <v>-30.41</v>
      </c>
      <c r="G611" s="11"/>
      <c r="H611" s="12">
        <f t="shared" si="18"/>
        <v>-0.30409937888198751</v>
      </c>
      <c r="I611" s="13">
        <f t="shared" si="19"/>
        <v>-60819.875776397501</v>
      </c>
      <c r="J611" s="13">
        <f t="shared" si="20"/>
        <v>0</v>
      </c>
      <c r="K611" s="13">
        <f t="shared" si="21"/>
        <v>-60819.875776397501</v>
      </c>
      <c r="L611" s="13">
        <f t="shared" si="22"/>
        <v>5184789.6576254172</v>
      </c>
      <c r="M611" s="13">
        <f t="shared" si="23"/>
        <v>15184789.657625418</v>
      </c>
      <c r="N611" s="13">
        <f t="shared" si="24"/>
        <v>17385392.190022323</v>
      </c>
      <c r="O611" s="13">
        <f t="shared" si="25"/>
        <v>-2200602.5323969051</v>
      </c>
      <c r="P611" s="12">
        <f t="shared" si="26"/>
        <v>-0.12657767557638741</v>
      </c>
    </row>
    <row r="612" spans="1:16" ht="14.4" x14ac:dyDescent="0.3">
      <c r="A612" s="7" t="s">
        <v>410</v>
      </c>
      <c r="B612" s="8">
        <v>43007</v>
      </c>
      <c r="C612" s="9">
        <v>561</v>
      </c>
      <c r="D612" s="8">
        <v>43098</v>
      </c>
      <c r="E612" s="9">
        <v>765</v>
      </c>
      <c r="F612" s="17">
        <v>36.36</v>
      </c>
      <c r="G612" s="11"/>
      <c r="H612" s="12">
        <f t="shared" si="18"/>
        <v>0.36363636363636365</v>
      </c>
      <c r="I612" s="13">
        <f t="shared" si="19"/>
        <v>72727.272727272735</v>
      </c>
      <c r="J612" s="13">
        <f t="shared" si="20"/>
        <v>72727.272727272735</v>
      </c>
      <c r="K612" s="13">
        <f t="shared" si="21"/>
        <v>0</v>
      </c>
      <c r="L612" s="13">
        <f t="shared" si="22"/>
        <v>5257516.9303526897</v>
      </c>
      <c r="M612" s="13">
        <f t="shared" si="23"/>
        <v>15257516.93035269</v>
      </c>
      <c r="N612" s="13">
        <f t="shared" si="24"/>
        <v>17385392.190022323</v>
      </c>
      <c r="O612" s="13">
        <f t="shared" si="25"/>
        <v>-2127875.2596696336</v>
      </c>
      <c r="P612" s="12">
        <f t="shared" si="26"/>
        <v>-0.12239443530591422</v>
      </c>
    </row>
    <row r="613" spans="1:16" ht="14.4" x14ac:dyDescent="0.3">
      <c r="A613" s="7" t="s">
        <v>555</v>
      </c>
      <c r="B613" s="8">
        <v>43007</v>
      </c>
      <c r="C613" s="9">
        <v>74.45</v>
      </c>
      <c r="D613" s="8">
        <v>43098</v>
      </c>
      <c r="E613" s="9">
        <v>65.7</v>
      </c>
      <c r="F613" s="17">
        <v>-11.75</v>
      </c>
      <c r="G613" s="11"/>
      <c r="H613" s="12">
        <f t="shared" si="18"/>
        <v>-0.11752854264607118</v>
      </c>
      <c r="I613" s="13">
        <f t="shared" si="19"/>
        <v>-23505.708529214236</v>
      </c>
      <c r="J613" s="13">
        <f t="shared" si="20"/>
        <v>0</v>
      </c>
      <c r="K613" s="13">
        <f t="shared" si="21"/>
        <v>-23505.708529214236</v>
      </c>
      <c r="L613" s="13">
        <f t="shared" si="22"/>
        <v>5234011.2218234753</v>
      </c>
      <c r="M613" s="13">
        <f t="shared" si="23"/>
        <v>15234011.221823476</v>
      </c>
      <c r="N613" s="13">
        <f t="shared" si="24"/>
        <v>17385392.190022323</v>
      </c>
      <c r="O613" s="13">
        <f t="shared" si="25"/>
        <v>-2151380.968198847</v>
      </c>
      <c r="P613" s="12">
        <f t="shared" si="26"/>
        <v>-0.12374647317036364</v>
      </c>
    </row>
    <row r="614" spans="1:16" ht="14.4" x14ac:dyDescent="0.3">
      <c r="A614" s="7" t="s">
        <v>556</v>
      </c>
      <c r="B614" s="8">
        <v>42916</v>
      </c>
      <c r="C614" s="9">
        <v>50.1</v>
      </c>
      <c r="D614" s="8">
        <v>43098</v>
      </c>
      <c r="E614" s="9">
        <v>106.1</v>
      </c>
      <c r="F614" s="17">
        <v>111.78</v>
      </c>
      <c r="G614" s="11"/>
      <c r="H614" s="12">
        <f t="shared" si="18"/>
        <v>1.117764471057884</v>
      </c>
      <c r="I614" s="13">
        <f t="shared" si="19"/>
        <v>223552.89421157681</v>
      </c>
      <c r="J614" s="13">
        <f t="shared" si="20"/>
        <v>223552.89421157681</v>
      </c>
      <c r="K614" s="13">
        <f t="shared" si="21"/>
        <v>0</v>
      </c>
      <c r="L614" s="13">
        <f t="shared" si="22"/>
        <v>5457564.1160350526</v>
      </c>
      <c r="M614" s="13">
        <f t="shared" si="23"/>
        <v>15457564.116035052</v>
      </c>
      <c r="N614" s="13">
        <f t="shared" si="24"/>
        <v>17385392.190022323</v>
      </c>
      <c r="O614" s="13">
        <f t="shared" si="25"/>
        <v>-1927828.0739872716</v>
      </c>
      <c r="P614" s="12">
        <f t="shared" si="26"/>
        <v>-0.11088781046272136</v>
      </c>
    </row>
    <row r="615" spans="1:16" ht="14.4" x14ac:dyDescent="0.3">
      <c r="A615" s="7" t="s">
        <v>219</v>
      </c>
      <c r="B615" s="8">
        <v>43007</v>
      </c>
      <c r="C615" s="9">
        <v>157.18</v>
      </c>
      <c r="D615" s="8">
        <v>43098</v>
      </c>
      <c r="E615" s="9">
        <v>165.11</v>
      </c>
      <c r="F615" s="17">
        <v>5.05</v>
      </c>
      <c r="G615" s="11"/>
      <c r="H615" s="12">
        <f t="shared" si="18"/>
        <v>5.0451711413665903E-2</v>
      </c>
      <c r="I615" s="13">
        <f t="shared" si="19"/>
        <v>10090.342282733181</v>
      </c>
      <c r="J615" s="13">
        <f t="shared" si="20"/>
        <v>10090.342282733181</v>
      </c>
      <c r="K615" s="13">
        <f t="shared" si="21"/>
        <v>0</v>
      </c>
      <c r="L615" s="13">
        <f t="shared" si="22"/>
        <v>5467654.4583177855</v>
      </c>
      <c r="M615" s="13">
        <f t="shared" si="23"/>
        <v>15467654.458317786</v>
      </c>
      <c r="N615" s="13">
        <f t="shared" si="24"/>
        <v>17385392.190022323</v>
      </c>
      <c r="O615" s="13">
        <f t="shared" si="25"/>
        <v>-1917737.7317045368</v>
      </c>
      <c r="P615" s="12">
        <f t="shared" si="26"/>
        <v>-0.11030741847774643</v>
      </c>
    </row>
    <row r="616" spans="1:16" ht="14.4" x14ac:dyDescent="0.3">
      <c r="A616" s="7" t="s">
        <v>557</v>
      </c>
      <c r="B616" s="8">
        <v>43007</v>
      </c>
      <c r="C616" s="9">
        <v>351</v>
      </c>
      <c r="D616" s="8">
        <v>43098</v>
      </c>
      <c r="E616" s="9">
        <v>430</v>
      </c>
      <c r="F616" s="17">
        <v>22.51</v>
      </c>
      <c r="G616" s="11"/>
      <c r="H616" s="12">
        <f t="shared" si="18"/>
        <v>0.22507122507122507</v>
      </c>
      <c r="I616" s="13">
        <f t="shared" si="19"/>
        <v>45014.245014245011</v>
      </c>
      <c r="J616" s="13">
        <f t="shared" si="20"/>
        <v>45014.245014245011</v>
      </c>
      <c r="K616" s="13">
        <f t="shared" si="21"/>
        <v>0</v>
      </c>
      <c r="L616" s="13">
        <f t="shared" si="22"/>
        <v>5512668.7033320302</v>
      </c>
      <c r="M616" s="13">
        <f t="shared" si="23"/>
        <v>15512668.703332029</v>
      </c>
      <c r="N616" s="13">
        <f t="shared" si="24"/>
        <v>17385392.190022323</v>
      </c>
      <c r="O616" s="13">
        <f t="shared" si="25"/>
        <v>-1872723.486690294</v>
      </c>
      <c r="P616" s="12">
        <f t="shared" si="26"/>
        <v>-0.10771821919352913</v>
      </c>
    </row>
    <row r="617" spans="1:16" ht="14.4" x14ac:dyDescent="0.3">
      <c r="A617" s="7" t="s">
        <v>558</v>
      </c>
      <c r="B617" s="8">
        <v>43007</v>
      </c>
      <c r="C617" s="9">
        <v>249.95</v>
      </c>
      <c r="D617" s="8">
        <v>43098</v>
      </c>
      <c r="E617" s="9">
        <v>351.35</v>
      </c>
      <c r="F617" s="17">
        <v>40.57</v>
      </c>
      <c r="G617" s="11"/>
      <c r="H617" s="12">
        <f t="shared" si="18"/>
        <v>0.40568113622724561</v>
      </c>
      <c r="I617" s="13">
        <f t="shared" si="19"/>
        <v>81136.227245449118</v>
      </c>
      <c r="J617" s="13">
        <f t="shared" si="20"/>
        <v>81136.227245449118</v>
      </c>
      <c r="K617" s="13">
        <f t="shared" si="21"/>
        <v>0</v>
      </c>
      <c r="L617" s="13">
        <f t="shared" si="22"/>
        <v>5593804.9305774793</v>
      </c>
      <c r="M617" s="13">
        <f t="shared" si="23"/>
        <v>15593804.930577479</v>
      </c>
      <c r="N617" s="13">
        <f t="shared" si="24"/>
        <v>17385392.190022323</v>
      </c>
      <c r="O617" s="13">
        <f t="shared" si="25"/>
        <v>-1791587.259444844</v>
      </c>
      <c r="P617" s="12">
        <f t="shared" si="26"/>
        <v>-0.10305129961192687</v>
      </c>
    </row>
    <row r="618" spans="1:16" ht="14.4" x14ac:dyDescent="0.3">
      <c r="A618" s="7" t="s">
        <v>559</v>
      </c>
      <c r="B618" s="8">
        <v>43007</v>
      </c>
      <c r="C618" s="9">
        <v>521.52</v>
      </c>
      <c r="D618" s="8">
        <v>43098</v>
      </c>
      <c r="E618" s="9">
        <v>577.78</v>
      </c>
      <c r="F618" s="17">
        <v>10.79</v>
      </c>
      <c r="G618" s="11"/>
      <c r="H618" s="12">
        <f t="shared" si="18"/>
        <v>0.10787697499616504</v>
      </c>
      <c r="I618" s="13">
        <f t="shared" si="19"/>
        <v>21575.394999233009</v>
      </c>
      <c r="J618" s="13">
        <f t="shared" si="20"/>
        <v>21575.394999233009</v>
      </c>
      <c r="K618" s="13">
        <f t="shared" si="21"/>
        <v>0</v>
      </c>
      <c r="L618" s="13">
        <f t="shared" si="22"/>
        <v>5615380.3255767124</v>
      </c>
      <c r="M618" s="13">
        <f t="shared" si="23"/>
        <v>15615380.325576711</v>
      </c>
      <c r="N618" s="13">
        <f t="shared" si="24"/>
        <v>17385392.190022323</v>
      </c>
      <c r="O618" s="13">
        <f t="shared" si="25"/>
        <v>-1770011.8644456118</v>
      </c>
      <c r="P618" s="12">
        <f t="shared" si="26"/>
        <v>-0.10181029252025973</v>
      </c>
    </row>
    <row r="619" spans="1:16" ht="14.4" x14ac:dyDescent="0.3">
      <c r="A619" s="7" t="s">
        <v>354</v>
      </c>
      <c r="B619" s="8">
        <v>43007</v>
      </c>
      <c r="C619" s="9">
        <v>72.8</v>
      </c>
      <c r="D619" s="8">
        <v>43098</v>
      </c>
      <c r="E619" s="9">
        <v>79</v>
      </c>
      <c r="F619" s="17">
        <v>8.52</v>
      </c>
      <c r="G619" s="11"/>
      <c r="H619" s="12">
        <f t="shared" si="18"/>
        <v>8.5164835164835209E-2</v>
      </c>
      <c r="I619" s="13">
        <f t="shared" si="19"/>
        <v>17032.967032967041</v>
      </c>
      <c r="J619" s="13">
        <f t="shared" si="20"/>
        <v>17032.967032967041</v>
      </c>
      <c r="K619" s="13">
        <f t="shared" si="21"/>
        <v>0</v>
      </c>
      <c r="L619" s="13">
        <f t="shared" si="22"/>
        <v>5632413.2926096795</v>
      </c>
      <c r="M619" s="13">
        <f t="shared" si="23"/>
        <v>15632413.29260968</v>
      </c>
      <c r="N619" s="13">
        <f t="shared" si="24"/>
        <v>17385392.190022323</v>
      </c>
      <c r="O619" s="13">
        <f t="shared" si="25"/>
        <v>-1752978.8974126428</v>
      </c>
      <c r="P619" s="12">
        <f t="shared" si="26"/>
        <v>-0.1008305638580128</v>
      </c>
    </row>
    <row r="620" spans="1:16" ht="14.4" x14ac:dyDescent="0.3">
      <c r="A620" s="7" t="s">
        <v>560</v>
      </c>
      <c r="B620" s="8">
        <v>43007</v>
      </c>
      <c r="C620" s="9">
        <v>860</v>
      </c>
      <c r="D620" s="8">
        <v>43098</v>
      </c>
      <c r="E620" s="9">
        <v>1221</v>
      </c>
      <c r="F620" s="17">
        <v>41.98</v>
      </c>
      <c r="G620" s="11"/>
      <c r="H620" s="12">
        <f t="shared" si="18"/>
        <v>0.41976744186046511</v>
      </c>
      <c r="I620" s="13">
        <f t="shared" si="19"/>
        <v>83953.488372093023</v>
      </c>
      <c r="J620" s="13">
        <f t="shared" si="20"/>
        <v>83953.488372093023</v>
      </c>
      <c r="K620" s="13">
        <f t="shared" si="21"/>
        <v>0</v>
      </c>
      <c r="L620" s="13">
        <f t="shared" si="22"/>
        <v>5716366.7809817726</v>
      </c>
      <c r="M620" s="13">
        <f t="shared" si="23"/>
        <v>15716366.780981772</v>
      </c>
      <c r="N620" s="13">
        <f t="shared" si="24"/>
        <v>17385392.190022323</v>
      </c>
      <c r="O620" s="13">
        <f t="shared" si="25"/>
        <v>-1669025.4090405516</v>
      </c>
      <c r="P620" s="12">
        <f t="shared" si="26"/>
        <v>-9.6001596673696232E-2</v>
      </c>
    </row>
    <row r="621" spans="1:16" ht="14.4" x14ac:dyDescent="0.3">
      <c r="A621" s="7" t="s">
        <v>561</v>
      </c>
      <c r="B621" s="8">
        <v>43007</v>
      </c>
      <c r="C621" s="9">
        <v>22.15</v>
      </c>
      <c r="D621" s="8">
        <v>43098</v>
      </c>
      <c r="E621" s="9">
        <v>41.5</v>
      </c>
      <c r="F621" s="17">
        <v>87.36</v>
      </c>
      <c r="G621" s="11"/>
      <c r="H621" s="12">
        <f t="shared" si="18"/>
        <v>0.87358916478555315</v>
      </c>
      <c r="I621" s="13">
        <f t="shared" si="19"/>
        <v>174717.83295711063</v>
      </c>
      <c r="J621" s="13">
        <f t="shared" si="20"/>
        <v>174717.83295711063</v>
      </c>
      <c r="K621" s="13">
        <f t="shared" si="21"/>
        <v>0</v>
      </c>
      <c r="L621" s="13">
        <f t="shared" si="22"/>
        <v>5891084.6139388829</v>
      </c>
      <c r="M621" s="13">
        <f t="shared" si="23"/>
        <v>15891084.613938883</v>
      </c>
      <c r="N621" s="13">
        <f t="shared" si="24"/>
        <v>17385392.190022323</v>
      </c>
      <c r="O621" s="13">
        <f t="shared" si="25"/>
        <v>-1494307.5760834403</v>
      </c>
      <c r="P621" s="12">
        <f t="shared" si="26"/>
        <v>-8.5951904895251119E-2</v>
      </c>
    </row>
    <row r="622" spans="1:16" ht="14.4" x14ac:dyDescent="0.3">
      <c r="A622" s="7" t="s">
        <v>562</v>
      </c>
      <c r="B622" s="8">
        <v>42916</v>
      </c>
      <c r="C622" s="9">
        <v>78.599999999999994</v>
      </c>
      <c r="D622" s="8">
        <v>43007</v>
      </c>
      <c r="E622" s="9">
        <v>139.75</v>
      </c>
      <c r="F622" s="17">
        <v>77.8</v>
      </c>
      <c r="G622" s="11"/>
      <c r="H622" s="12">
        <f t="shared" si="18"/>
        <v>0.77798982188295174</v>
      </c>
      <c r="I622" s="13">
        <f t="shared" si="19"/>
        <v>155597.96437659036</v>
      </c>
      <c r="J622" s="13">
        <f t="shared" si="20"/>
        <v>155597.96437659036</v>
      </c>
      <c r="K622" s="13">
        <f t="shared" si="21"/>
        <v>0</v>
      </c>
      <c r="L622" s="13">
        <f t="shared" si="22"/>
        <v>6046682.5783154732</v>
      </c>
      <c r="M622" s="13">
        <f t="shared" si="23"/>
        <v>16046682.578315474</v>
      </c>
      <c r="N622" s="13">
        <f t="shared" si="24"/>
        <v>17385392.190022323</v>
      </c>
      <c r="O622" s="13">
        <f t="shared" si="25"/>
        <v>-1338709.6117068492</v>
      </c>
      <c r="P622" s="12">
        <f t="shared" si="26"/>
        <v>-7.7001979424723588E-2</v>
      </c>
    </row>
    <row r="623" spans="1:16" ht="14.4" x14ac:dyDescent="0.3">
      <c r="A623" s="7" t="s">
        <v>563</v>
      </c>
      <c r="B623" s="8">
        <v>42916</v>
      </c>
      <c r="C623" s="9">
        <v>51.42</v>
      </c>
      <c r="D623" s="8">
        <v>43007</v>
      </c>
      <c r="E623" s="9">
        <v>51</v>
      </c>
      <c r="F623" s="17">
        <v>-0.82</v>
      </c>
      <c r="G623" s="11"/>
      <c r="H623" s="12">
        <f t="shared" si="18"/>
        <v>-8.1680280046674773E-3</v>
      </c>
      <c r="I623" s="13">
        <f t="shared" si="19"/>
        <v>-1633.6056009334955</v>
      </c>
      <c r="J623" s="13">
        <f t="shared" si="20"/>
        <v>0</v>
      </c>
      <c r="K623" s="13">
        <f t="shared" si="21"/>
        <v>-1633.6056009334955</v>
      </c>
      <c r="L623" s="13">
        <f t="shared" si="22"/>
        <v>6045048.9727145396</v>
      </c>
      <c r="M623" s="13">
        <f t="shared" si="23"/>
        <v>16045048.97271454</v>
      </c>
      <c r="N623" s="13">
        <f t="shared" si="24"/>
        <v>17385392.190022323</v>
      </c>
      <c r="O623" s="13">
        <f t="shared" si="25"/>
        <v>-1340343.2173077837</v>
      </c>
      <c r="P623" s="12">
        <f t="shared" si="26"/>
        <v>-7.7095943689842211E-2</v>
      </c>
    </row>
    <row r="624" spans="1:16" ht="14.4" x14ac:dyDescent="0.3">
      <c r="A624" s="7" t="s">
        <v>564</v>
      </c>
      <c r="B624" s="8">
        <v>42916</v>
      </c>
      <c r="C624" s="9">
        <v>164.15</v>
      </c>
      <c r="D624" s="8">
        <v>43007</v>
      </c>
      <c r="E624" s="9">
        <v>371.7</v>
      </c>
      <c r="F624" s="17">
        <v>126.44</v>
      </c>
      <c r="G624" s="11"/>
      <c r="H624" s="12">
        <f t="shared" si="18"/>
        <v>1.2643923240938164</v>
      </c>
      <c r="I624" s="13">
        <f t="shared" si="19"/>
        <v>252878.46481876328</v>
      </c>
      <c r="J624" s="13">
        <f t="shared" si="20"/>
        <v>252878.46481876328</v>
      </c>
      <c r="K624" s="13">
        <f t="shared" si="21"/>
        <v>0</v>
      </c>
      <c r="L624" s="13">
        <f t="shared" si="22"/>
        <v>6297927.4375333032</v>
      </c>
      <c r="M624" s="13">
        <f t="shared" si="23"/>
        <v>16297927.437533304</v>
      </c>
      <c r="N624" s="13">
        <f t="shared" si="24"/>
        <v>17385392.190022323</v>
      </c>
      <c r="O624" s="13">
        <f t="shared" si="25"/>
        <v>-1087464.7524890192</v>
      </c>
      <c r="P624" s="12">
        <f t="shared" si="26"/>
        <v>-6.2550487248319173E-2</v>
      </c>
    </row>
    <row r="625" spans="1:16" ht="14.4" x14ac:dyDescent="0.3">
      <c r="A625" s="7" t="s">
        <v>493</v>
      </c>
      <c r="B625" s="8">
        <v>42916</v>
      </c>
      <c r="C625" s="9">
        <v>2345.9</v>
      </c>
      <c r="D625" s="8">
        <v>43007</v>
      </c>
      <c r="E625" s="9">
        <v>2032.7</v>
      </c>
      <c r="F625" s="17">
        <v>-13.35</v>
      </c>
      <c r="G625" s="11"/>
      <c r="H625" s="12">
        <f t="shared" si="18"/>
        <v>-0.13350952726032655</v>
      </c>
      <c r="I625" s="13">
        <f t="shared" si="19"/>
        <v>-26701.905452065312</v>
      </c>
      <c r="J625" s="13">
        <f t="shared" si="20"/>
        <v>0</v>
      </c>
      <c r="K625" s="13">
        <f t="shared" si="21"/>
        <v>-26701.905452065312</v>
      </c>
      <c r="L625" s="13">
        <f t="shared" si="22"/>
        <v>6271225.532081238</v>
      </c>
      <c r="M625" s="13">
        <f t="shared" si="23"/>
        <v>16271225.532081239</v>
      </c>
      <c r="N625" s="13">
        <f t="shared" si="24"/>
        <v>17385392.190022323</v>
      </c>
      <c r="O625" s="13">
        <f t="shared" si="25"/>
        <v>-1114166.6579410844</v>
      </c>
      <c r="P625" s="12">
        <f t="shared" si="26"/>
        <v>-6.4086368933369095E-2</v>
      </c>
    </row>
    <row r="626" spans="1:16" ht="14.4" x14ac:dyDescent="0.3">
      <c r="A626" s="7" t="s">
        <v>542</v>
      </c>
      <c r="B626" s="8">
        <v>42916</v>
      </c>
      <c r="C626" s="9">
        <v>980.05</v>
      </c>
      <c r="D626" s="8">
        <v>43007</v>
      </c>
      <c r="E626" s="9">
        <v>1249.7</v>
      </c>
      <c r="F626" s="17">
        <v>27.51</v>
      </c>
      <c r="G626" s="11"/>
      <c r="H626" s="12">
        <f t="shared" si="18"/>
        <v>0.27513902351920833</v>
      </c>
      <c r="I626" s="13">
        <f t="shared" si="19"/>
        <v>55027.804703841663</v>
      </c>
      <c r="J626" s="13">
        <f t="shared" si="20"/>
        <v>55027.804703841663</v>
      </c>
      <c r="K626" s="13">
        <f t="shared" si="21"/>
        <v>0</v>
      </c>
      <c r="L626" s="13">
        <f t="shared" si="22"/>
        <v>6326253.3367850799</v>
      </c>
      <c r="M626" s="13">
        <f t="shared" si="23"/>
        <v>16326253.33678508</v>
      </c>
      <c r="N626" s="13">
        <f t="shared" si="24"/>
        <v>17385392.190022323</v>
      </c>
      <c r="O626" s="13">
        <f t="shared" si="25"/>
        <v>-1059138.8532372434</v>
      </c>
      <c r="P626" s="12">
        <f t="shared" si="26"/>
        <v>-6.0921194164667472E-2</v>
      </c>
    </row>
    <row r="627" spans="1:16" ht="14.4" x14ac:dyDescent="0.3">
      <c r="A627" s="7" t="s">
        <v>565</v>
      </c>
      <c r="B627" s="8">
        <v>42916</v>
      </c>
      <c r="C627" s="9">
        <v>162.15</v>
      </c>
      <c r="D627" s="8">
        <v>43007</v>
      </c>
      <c r="E627" s="9">
        <v>137.80000000000001</v>
      </c>
      <c r="F627" s="17">
        <v>-15.02</v>
      </c>
      <c r="G627" s="11"/>
      <c r="H627" s="12">
        <f t="shared" si="18"/>
        <v>-0.15016959605303726</v>
      </c>
      <c r="I627" s="13">
        <f t="shared" si="19"/>
        <v>-30033.919210607452</v>
      </c>
      <c r="J627" s="13">
        <f t="shared" si="20"/>
        <v>0</v>
      </c>
      <c r="K627" s="13">
        <f t="shared" si="21"/>
        <v>-30033.919210607452</v>
      </c>
      <c r="L627" s="13">
        <f t="shared" si="22"/>
        <v>6296219.4175744727</v>
      </c>
      <c r="M627" s="13">
        <f t="shared" si="23"/>
        <v>16296219.417574473</v>
      </c>
      <c r="N627" s="13">
        <f t="shared" si="24"/>
        <v>17385392.190022323</v>
      </c>
      <c r="O627" s="13">
        <f t="shared" si="25"/>
        <v>-1089172.7724478506</v>
      </c>
      <c r="P627" s="12">
        <f t="shared" si="26"/>
        <v>-6.2648731794094317E-2</v>
      </c>
    </row>
    <row r="628" spans="1:16" ht="14.4" x14ac:dyDescent="0.3">
      <c r="A628" s="7" t="s">
        <v>566</v>
      </c>
      <c r="B628" s="8">
        <v>42916</v>
      </c>
      <c r="C628" s="9">
        <v>318.89999999999998</v>
      </c>
      <c r="D628" s="8">
        <v>43007</v>
      </c>
      <c r="E628" s="9">
        <v>286</v>
      </c>
      <c r="F628" s="17">
        <v>-10.32</v>
      </c>
      <c r="G628" s="11"/>
      <c r="H628" s="12">
        <f t="shared" si="18"/>
        <v>-0.10316713703355278</v>
      </c>
      <c r="I628" s="13">
        <f t="shared" si="19"/>
        <v>-20633.427406710554</v>
      </c>
      <c r="J628" s="13">
        <f t="shared" si="20"/>
        <v>0</v>
      </c>
      <c r="K628" s="13">
        <f t="shared" si="21"/>
        <v>-20633.427406710554</v>
      </c>
      <c r="L628" s="13">
        <f t="shared" si="22"/>
        <v>6275585.9901677622</v>
      </c>
      <c r="M628" s="13">
        <f t="shared" si="23"/>
        <v>16275585.990167763</v>
      </c>
      <c r="N628" s="13">
        <f t="shared" si="24"/>
        <v>17385392.190022323</v>
      </c>
      <c r="O628" s="13">
        <f t="shared" si="25"/>
        <v>-1109806.1998545602</v>
      </c>
      <c r="P628" s="12">
        <f t="shared" si="26"/>
        <v>-6.3835557330221795E-2</v>
      </c>
    </row>
    <row r="629" spans="1:16" ht="14.4" x14ac:dyDescent="0.3">
      <c r="A629" s="7" t="s">
        <v>58</v>
      </c>
      <c r="B629" s="8">
        <v>42916</v>
      </c>
      <c r="C629" s="9">
        <v>111</v>
      </c>
      <c r="D629" s="8">
        <v>43007</v>
      </c>
      <c r="E629" s="9">
        <v>143.5</v>
      </c>
      <c r="F629" s="17">
        <v>29.28</v>
      </c>
      <c r="G629" s="11"/>
      <c r="H629" s="12">
        <f t="shared" si="18"/>
        <v>0.2927927927927928</v>
      </c>
      <c r="I629" s="13">
        <f t="shared" si="19"/>
        <v>58558.558558558558</v>
      </c>
      <c r="J629" s="13">
        <f t="shared" si="20"/>
        <v>58558.558558558558</v>
      </c>
      <c r="K629" s="13">
        <f t="shared" si="21"/>
        <v>0</v>
      </c>
      <c r="L629" s="13">
        <f t="shared" si="22"/>
        <v>6334144.5487263203</v>
      </c>
      <c r="M629" s="13">
        <f t="shared" si="23"/>
        <v>16334144.54872632</v>
      </c>
      <c r="N629" s="13">
        <f t="shared" si="24"/>
        <v>17385392.190022323</v>
      </c>
      <c r="O629" s="13">
        <f t="shared" si="25"/>
        <v>-1051247.641296003</v>
      </c>
      <c r="P629" s="12">
        <f t="shared" si="26"/>
        <v>-6.0467295175505226E-2</v>
      </c>
    </row>
    <row r="630" spans="1:16" ht="14.4" x14ac:dyDescent="0.3">
      <c r="A630" s="7" t="s">
        <v>468</v>
      </c>
      <c r="B630" s="8">
        <v>42916</v>
      </c>
      <c r="C630" s="9">
        <v>33.799999999999997</v>
      </c>
      <c r="D630" s="8">
        <v>43007</v>
      </c>
      <c r="E630" s="9">
        <v>32.299999999999997</v>
      </c>
      <c r="F630" s="17">
        <v>-4.4400000000000004</v>
      </c>
      <c r="G630" s="11"/>
      <c r="H630" s="12">
        <f t="shared" si="18"/>
        <v>-4.4378698224852076E-2</v>
      </c>
      <c r="I630" s="13">
        <f t="shared" si="19"/>
        <v>-8875.7396449704156</v>
      </c>
      <c r="J630" s="13">
        <f t="shared" si="20"/>
        <v>0</v>
      </c>
      <c r="K630" s="13">
        <f t="shared" si="21"/>
        <v>-8875.7396449704156</v>
      </c>
      <c r="L630" s="13">
        <f t="shared" si="22"/>
        <v>6325268.8090813495</v>
      </c>
      <c r="M630" s="13">
        <f t="shared" si="23"/>
        <v>16325268.80908135</v>
      </c>
      <c r="N630" s="13">
        <f t="shared" si="24"/>
        <v>17385392.190022323</v>
      </c>
      <c r="O630" s="13">
        <f t="shared" si="25"/>
        <v>-1060123.3809409738</v>
      </c>
      <c r="P630" s="12">
        <f t="shared" si="26"/>
        <v>-6.0977823758810043E-2</v>
      </c>
    </row>
    <row r="631" spans="1:16" ht="14.4" x14ac:dyDescent="0.3">
      <c r="A631" s="7" t="s">
        <v>270</v>
      </c>
      <c r="B631" s="8">
        <v>42916</v>
      </c>
      <c r="C631" s="9">
        <v>524</v>
      </c>
      <c r="D631" s="8">
        <v>43007</v>
      </c>
      <c r="E631" s="9">
        <v>559.79999999999995</v>
      </c>
      <c r="F631" s="17">
        <v>6.83</v>
      </c>
      <c r="G631" s="11"/>
      <c r="H631" s="12">
        <f t="shared" si="18"/>
        <v>6.8320610687022817E-2</v>
      </c>
      <c r="I631" s="13">
        <f t="shared" si="19"/>
        <v>13664.122137404564</v>
      </c>
      <c r="J631" s="13">
        <f t="shared" si="20"/>
        <v>13664.122137404564</v>
      </c>
      <c r="K631" s="13">
        <f t="shared" si="21"/>
        <v>0</v>
      </c>
      <c r="L631" s="13">
        <f t="shared" si="22"/>
        <v>6338932.9312187545</v>
      </c>
      <c r="M631" s="13">
        <f t="shared" si="23"/>
        <v>16338932.931218755</v>
      </c>
      <c r="N631" s="13">
        <f t="shared" si="24"/>
        <v>17385392.190022323</v>
      </c>
      <c r="O631" s="13">
        <f t="shared" si="25"/>
        <v>-1046459.2588035688</v>
      </c>
      <c r="P631" s="12">
        <f t="shared" si="26"/>
        <v>-6.0191869551504497E-2</v>
      </c>
    </row>
    <row r="632" spans="1:16" ht="14.4" x14ac:dyDescent="0.3">
      <c r="A632" s="7" t="s">
        <v>567</v>
      </c>
      <c r="B632" s="8">
        <v>42825</v>
      </c>
      <c r="C632" s="9">
        <v>180.96</v>
      </c>
      <c r="D632" s="8">
        <v>42916</v>
      </c>
      <c r="E632" s="9">
        <v>151.28</v>
      </c>
      <c r="F632" s="17">
        <v>-16.399999999999999</v>
      </c>
      <c r="G632" s="11"/>
      <c r="H632" s="12">
        <f t="shared" si="18"/>
        <v>-0.16401414677276749</v>
      </c>
      <c r="I632" s="13">
        <f t="shared" si="19"/>
        <v>-32802.829354553498</v>
      </c>
      <c r="J632" s="13">
        <f t="shared" si="20"/>
        <v>0</v>
      </c>
      <c r="K632" s="13">
        <f t="shared" si="21"/>
        <v>-32802.829354553498</v>
      </c>
      <c r="L632" s="13">
        <f t="shared" si="22"/>
        <v>6306130.101864201</v>
      </c>
      <c r="M632" s="13">
        <f t="shared" si="23"/>
        <v>16306130.1018642</v>
      </c>
      <c r="N632" s="13">
        <f t="shared" si="24"/>
        <v>17385392.190022323</v>
      </c>
      <c r="O632" s="13">
        <f t="shared" si="25"/>
        <v>-1079262.0881581232</v>
      </c>
      <c r="P632" s="12">
        <f t="shared" si="26"/>
        <v>-6.2078673656699224E-2</v>
      </c>
    </row>
    <row r="633" spans="1:16" ht="14.4" x14ac:dyDescent="0.3">
      <c r="A633" s="7" t="s">
        <v>42</v>
      </c>
      <c r="B633" s="8">
        <v>42825</v>
      </c>
      <c r="C633" s="9">
        <v>3016.25</v>
      </c>
      <c r="D633" s="8">
        <v>42916</v>
      </c>
      <c r="E633" s="9">
        <v>2894.2</v>
      </c>
      <c r="F633" s="17">
        <v>-4.05</v>
      </c>
      <c r="G633" s="11"/>
      <c r="H633" s="12">
        <f t="shared" si="18"/>
        <v>-4.0464152507252445E-2</v>
      </c>
      <c r="I633" s="13">
        <f t="shared" si="19"/>
        <v>-8092.8305014504886</v>
      </c>
      <c r="J633" s="13">
        <f t="shared" si="20"/>
        <v>0</v>
      </c>
      <c r="K633" s="13">
        <f t="shared" si="21"/>
        <v>-8092.8305014504886</v>
      </c>
      <c r="L633" s="13">
        <f t="shared" si="22"/>
        <v>6298037.2713627508</v>
      </c>
      <c r="M633" s="13">
        <f t="shared" si="23"/>
        <v>16298037.271362752</v>
      </c>
      <c r="N633" s="13">
        <f t="shared" si="24"/>
        <v>17385392.190022323</v>
      </c>
      <c r="O633" s="13">
        <f t="shared" si="25"/>
        <v>-1087354.9186595716</v>
      </c>
      <c r="P633" s="12">
        <f t="shared" si="26"/>
        <v>-6.2544169655466109E-2</v>
      </c>
    </row>
    <row r="634" spans="1:16" ht="14.4" x14ac:dyDescent="0.3">
      <c r="A634" s="7" t="s">
        <v>46</v>
      </c>
      <c r="B634" s="8">
        <v>42825</v>
      </c>
      <c r="C634" s="9">
        <v>43.5</v>
      </c>
      <c r="D634" s="8">
        <v>42916</v>
      </c>
      <c r="E634" s="9">
        <v>41</v>
      </c>
      <c r="F634" s="17">
        <v>-5.75</v>
      </c>
      <c r="G634" s="11"/>
      <c r="H634" s="12">
        <f t="shared" si="18"/>
        <v>-5.7471264367816091E-2</v>
      </c>
      <c r="I634" s="13">
        <f t="shared" si="19"/>
        <v>-11494.252873563219</v>
      </c>
      <c r="J634" s="13">
        <f t="shared" si="20"/>
        <v>0</v>
      </c>
      <c r="K634" s="13">
        <f t="shared" si="21"/>
        <v>-11494.252873563219</v>
      </c>
      <c r="L634" s="13">
        <f t="shared" si="22"/>
        <v>6286543.0184891876</v>
      </c>
      <c r="M634" s="13">
        <f t="shared" si="23"/>
        <v>16286543.018489188</v>
      </c>
      <c r="N634" s="13">
        <f t="shared" si="24"/>
        <v>17385392.190022323</v>
      </c>
      <c r="O634" s="13">
        <f t="shared" si="25"/>
        <v>-1098849.1715331357</v>
      </c>
      <c r="P634" s="12">
        <f t="shared" si="26"/>
        <v>-6.3205313951086931E-2</v>
      </c>
    </row>
    <row r="635" spans="1:16" ht="14.4" x14ac:dyDescent="0.3">
      <c r="A635" s="7" t="s">
        <v>467</v>
      </c>
      <c r="B635" s="8">
        <v>42825</v>
      </c>
      <c r="C635" s="9">
        <v>246.44</v>
      </c>
      <c r="D635" s="8">
        <v>42916</v>
      </c>
      <c r="E635" s="9">
        <v>309.13</v>
      </c>
      <c r="F635" s="17">
        <v>25.44</v>
      </c>
      <c r="G635" s="11"/>
      <c r="H635" s="12">
        <f t="shared" si="18"/>
        <v>0.25438240545366009</v>
      </c>
      <c r="I635" s="13">
        <f t="shared" si="19"/>
        <v>50876.481090732021</v>
      </c>
      <c r="J635" s="13">
        <f t="shared" si="20"/>
        <v>50876.481090732021</v>
      </c>
      <c r="K635" s="13">
        <f t="shared" si="21"/>
        <v>0</v>
      </c>
      <c r="L635" s="13">
        <f t="shared" si="22"/>
        <v>6337419.4995799195</v>
      </c>
      <c r="M635" s="13">
        <f t="shared" si="23"/>
        <v>16337419.49957992</v>
      </c>
      <c r="N635" s="13">
        <f t="shared" si="24"/>
        <v>17385392.190022323</v>
      </c>
      <c r="O635" s="13">
        <f t="shared" si="25"/>
        <v>-1047972.6904424038</v>
      </c>
      <c r="P635" s="12">
        <f t="shared" si="26"/>
        <v>-6.0278921463954513E-2</v>
      </c>
    </row>
    <row r="636" spans="1:16" ht="14.4" x14ac:dyDescent="0.3">
      <c r="A636" s="7" t="s">
        <v>218</v>
      </c>
      <c r="B636" s="8">
        <v>42825</v>
      </c>
      <c r="C636" s="9">
        <v>114.88</v>
      </c>
      <c r="D636" s="8">
        <v>42916</v>
      </c>
      <c r="E636" s="9">
        <v>129</v>
      </c>
      <c r="F636" s="17">
        <v>12.29</v>
      </c>
      <c r="G636" s="11"/>
      <c r="H636" s="12">
        <f t="shared" si="18"/>
        <v>0.12291086350974935</v>
      </c>
      <c r="I636" s="13">
        <f t="shared" si="19"/>
        <v>24582.172701949868</v>
      </c>
      <c r="J636" s="13">
        <f t="shared" si="20"/>
        <v>24582.172701949868</v>
      </c>
      <c r="K636" s="13">
        <f t="shared" si="21"/>
        <v>0</v>
      </c>
      <c r="L636" s="13">
        <f t="shared" si="22"/>
        <v>6362001.6722818697</v>
      </c>
      <c r="M636" s="13">
        <f t="shared" si="23"/>
        <v>16362001.672281869</v>
      </c>
      <c r="N636" s="13">
        <f t="shared" si="24"/>
        <v>17385392.190022323</v>
      </c>
      <c r="O636" s="13">
        <f t="shared" si="25"/>
        <v>-1023390.5177404545</v>
      </c>
      <c r="P636" s="12">
        <f t="shared" si="26"/>
        <v>-5.8864965860694826E-2</v>
      </c>
    </row>
    <row r="637" spans="1:16" ht="14.4" x14ac:dyDescent="0.3">
      <c r="A637" s="7" t="s">
        <v>568</v>
      </c>
      <c r="B637" s="8">
        <v>42825</v>
      </c>
      <c r="C637" s="9">
        <v>81.95</v>
      </c>
      <c r="D637" s="8">
        <v>42916</v>
      </c>
      <c r="E637" s="9">
        <v>85.15</v>
      </c>
      <c r="F637" s="17">
        <v>3.9</v>
      </c>
      <c r="G637" s="11"/>
      <c r="H637" s="12">
        <f t="shared" si="18"/>
        <v>3.9048200122025659E-2</v>
      </c>
      <c r="I637" s="13">
        <f t="shared" si="19"/>
        <v>7809.640024405132</v>
      </c>
      <c r="J637" s="13">
        <f t="shared" si="20"/>
        <v>7809.640024405132</v>
      </c>
      <c r="K637" s="13">
        <f t="shared" si="21"/>
        <v>0</v>
      </c>
      <c r="L637" s="13">
        <f t="shared" si="22"/>
        <v>6369811.3123062747</v>
      </c>
      <c r="M637" s="13">
        <f t="shared" si="23"/>
        <v>16369811.312306274</v>
      </c>
      <c r="N637" s="13">
        <f t="shared" si="24"/>
        <v>17385392.190022323</v>
      </c>
      <c r="O637" s="13">
        <f t="shared" si="25"/>
        <v>-1015580.8777160496</v>
      </c>
      <c r="P637" s="12">
        <f t="shared" si="26"/>
        <v>-5.8415758851784953E-2</v>
      </c>
    </row>
    <row r="638" spans="1:16" ht="14.4" x14ac:dyDescent="0.3">
      <c r="A638" s="7" t="s">
        <v>569</v>
      </c>
      <c r="B638" s="8">
        <v>42825</v>
      </c>
      <c r="C638" s="9">
        <v>162.44999999999999</v>
      </c>
      <c r="D638" s="8">
        <v>42916</v>
      </c>
      <c r="E638" s="9">
        <v>179.25</v>
      </c>
      <c r="F638" s="17">
        <v>10.34</v>
      </c>
      <c r="G638" s="11"/>
      <c r="H638" s="12">
        <f t="shared" si="18"/>
        <v>0.10341643582640821</v>
      </c>
      <c r="I638" s="13">
        <f t="shared" si="19"/>
        <v>20683.287165281643</v>
      </c>
      <c r="J638" s="13">
        <f t="shared" si="20"/>
        <v>20683.287165281643</v>
      </c>
      <c r="K638" s="13">
        <f t="shared" si="21"/>
        <v>0</v>
      </c>
      <c r="L638" s="13">
        <f t="shared" si="22"/>
        <v>6390494.599471556</v>
      </c>
      <c r="M638" s="13">
        <f t="shared" si="23"/>
        <v>16390494.599471556</v>
      </c>
      <c r="N638" s="13">
        <f t="shared" si="24"/>
        <v>17385392.190022323</v>
      </c>
      <c r="O638" s="13">
        <f t="shared" si="25"/>
        <v>-994897.59055076726</v>
      </c>
      <c r="P638" s="12">
        <f t="shared" si="26"/>
        <v>-5.7226065404595843E-2</v>
      </c>
    </row>
    <row r="639" spans="1:16" ht="14.4" x14ac:dyDescent="0.3">
      <c r="A639" s="7" t="s">
        <v>570</v>
      </c>
      <c r="B639" s="8">
        <v>42825</v>
      </c>
      <c r="C639" s="9">
        <v>388.2</v>
      </c>
      <c r="D639" s="8">
        <v>42916</v>
      </c>
      <c r="E639" s="9">
        <v>339.35</v>
      </c>
      <c r="F639" s="17">
        <v>-12.58</v>
      </c>
      <c r="G639" s="11"/>
      <c r="H639" s="12">
        <f t="shared" si="18"/>
        <v>-0.12583719732096849</v>
      </c>
      <c r="I639" s="13">
        <f t="shared" si="19"/>
        <v>-25167.439464193696</v>
      </c>
      <c r="J639" s="13">
        <f t="shared" si="20"/>
        <v>0</v>
      </c>
      <c r="K639" s="13">
        <f t="shared" si="21"/>
        <v>-25167.439464193696</v>
      </c>
      <c r="L639" s="13">
        <f t="shared" si="22"/>
        <v>6365327.1600073623</v>
      </c>
      <c r="M639" s="13">
        <f t="shared" si="23"/>
        <v>16365327.160007361</v>
      </c>
      <c r="N639" s="13">
        <f t="shared" si="24"/>
        <v>17385392.190022323</v>
      </c>
      <c r="O639" s="13">
        <f t="shared" si="25"/>
        <v>-1020065.030014962</v>
      </c>
      <c r="P639" s="12">
        <f t="shared" si="26"/>
        <v>-5.8673685290826456E-2</v>
      </c>
    </row>
    <row r="640" spans="1:16" ht="14.4" x14ac:dyDescent="0.3">
      <c r="A640" s="7" t="s">
        <v>52</v>
      </c>
      <c r="B640" s="8">
        <v>42825</v>
      </c>
      <c r="C640" s="9">
        <v>790.65</v>
      </c>
      <c r="D640" s="8">
        <v>42916</v>
      </c>
      <c r="E640" s="9">
        <v>816.4</v>
      </c>
      <c r="F640" s="17">
        <v>3.26</v>
      </c>
      <c r="G640" s="11"/>
      <c r="H640" s="12">
        <f t="shared" si="18"/>
        <v>3.2568140137861253E-2</v>
      </c>
      <c r="I640" s="13">
        <f t="shared" si="19"/>
        <v>6513.6280275722502</v>
      </c>
      <c r="J640" s="13">
        <f t="shared" si="20"/>
        <v>6513.6280275722502</v>
      </c>
      <c r="K640" s="13">
        <f t="shared" si="21"/>
        <v>0</v>
      </c>
      <c r="L640" s="13">
        <f t="shared" si="22"/>
        <v>6371840.7880349346</v>
      </c>
      <c r="M640" s="13">
        <f t="shared" si="23"/>
        <v>16371840.788034935</v>
      </c>
      <c r="N640" s="13">
        <f t="shared" si="24"/>
        <v>17385392.190022323</v>
      </c>
      <c r="O640" s="13">
        <f t="shared" si="25"/>
        <v>-1013551.4019873887</v>
      </c>
      <c r="P640" s="12">
        <f t="shared" si="26"/>
        <v>-5.8299024313588826E-2</v>
      </c>
    </row>
    <row r="641" spans="1:16" ht="14.4" x14ac:dyDescent="0.3">
      <c r="A641" s="7" t="s">
        <v>571</v>
      </c>
      <c r="B641" s="8">
        <v>42825</v>
      </c>
      <c r="C641" s="9">
        <v>232.9</v>
      </c>
      <c r="D641" s="8">
        <v>42916</v>
      </c>
      <c r="E641" s="9">
        <v>247.8</v>
      </c>
      <c r="F641" s="17">
        <v>6.4</v>
      </c>
      <c r="G641" s="11"/>
      <c r="H641" s="12">
        <f t="shared" si="18"/>
        <v>6.3975955345641933E-2</v>
      </c>
      <c r="I641" s="13">
        <f t="shared" si="19"/>
        <v>12795.191069128387</v>
      </c>
      <c r="J641" s="13">
        <f t="shared" si="20"/>
        <v>12795.191069128387</v>
      </c>
      <c r="K641" s="13">
        <f t="shared" si="21"/>
        <v>0</v>
      </c>
      <c r="L641" s="13">
        <f t="shared" si="22"/>
        <v>6384635.9791040625</v>
      </c>
      <c r="M641" s="13">
        <f t="shared" si="23"/>
        <v>16384635.979104063</v>
      </c>
      <c r="N641" s="13">
        <f t="shared" si="24"/>
        <v>17385392.190022323</v>
      </c>
      <c r="O641" s="13">
        <f t="shared" si="25"/>
        <v>-1000756.2109182607</v>
      </c>
      <c r="P641" s="12">
        <f t="shared" si="26"/>
        <v>-5.7563050633543153E-2</v>
      </c>
    </row>
    <row r="642" spans="1:16" ht="14.4" x14ac:dyDescent="0.3">
      <c r="A642" s="7" t="s">
        <v>492</v>
      </c>
      <c r="B642" s="8">
        <v>42825</v>
      </c>
      <c r="C642" s="9">
        <v>8.6300000000000008</v>
      </c>
      <c r="D642" s="8">
        <v>42916</v>
      </c>
      <c r="E642" s="9">
        <v>7.36</v>
      </c>
      <c r="F642" s="17">
        <v>-14.72</v>
      </c>
      <c r="G642" s="11"/>
      <c r="H642" s="12">
        <f t="shared" si="18"/>
        <v>-0.14716106604866747</v>
      </c>
      <c r="I642" s="13">
        <f t="shared" si="19"/>
        <v>-29432.213209733494</v>
      </c>
      <c r="J642" s="13">
        <f t="shared" si="20"/>
        <v>0</v>
      </c>
      <c r="K642" s="13">
        <f t="shared" si="21"/>
        <v>-29432.213209733494</v>
      </c>
      <c r="L642" s="13">
        <f t="shared" si="22"/>
        <v>6355203.7658943292</v>
      </c>
      <c r="M642" s="13">
        <f t="shared" si="23"/>
        <v>16355203.765894329</v>
      </c>
      <c r="N642" s="13">
        <f t="shared" si="24"/>
        <v>17385392.190022323</v>
      </c>
      <c r="O642" s="13">
        <f t="shared" si="25"/>
        <v>-1030188.4241279941</v>
      </c>
      <c r="P642" s="12">
        <f t="shared" si="26"/>
        <v>-5.9255978402329691E-2</v>
      </c>
    </row>
    <row r="643" spans="1:16" ht="14.4" x14ac:dyDescent="0.3">
      <c r="A643" s="7" t="s">
        <v>530</v>
      </c>
      <c r="B643" s="8">
        <v>42825</v>
      </c>
      <c r="C643" s="9">
        <v>160.5</v>
      </c>
      <c r="D643" s="8">
        <v>42916</v>
      </c>
      <c r="E643" s="9">
        <v>158.19999999999999</v>
      </c>
      <c r="F643" s="17">
        <v>-1.43</v>
      </c>
      <c r="G643" s="11"/>
      <c r="H643" s="12">
        <f t="shared" si="18"/>
        <v>-1.4330218068535896E-2</v>
      </c>
      <c r="I643" s="13">
        <f t="shared" si="19"/>
        <v>-2866.0436137071792</v>
      </c>
      <c r="J643" s="13">
        <f t="shared" si="20"/>
        <v>0</v>
      </c>
      <c r="K643" s="13">
        <f t="shared" si="21"/>
        <v>-2866.0436137071792</v>
      </c>
      <c r="L643" s="13">
        <f t="shared" si="22"/>
        <v>6352337.7222806225</v>
      </c>
      <c r="M643" s="13">
        <f t="shared" si="23"/>
        <v>16352337.722280622</v>
      </c>
      <c r="N643" s="13">
        <f t="shared" si="24"/>
        <v>17385392.190022323</v>
      </c>
      <c r="O643" s="13">
        <f t="shared" si="25"/>
        <v>-1033054.4677417018</v>
      </c>
      <c r="P643" s="12">
        <f t="shared" si="26"/>
        <v>-5.9420831951929369E-2</v>
      </c>
    </row>
    <row r="644" spans="1:16" ht="14.4" x14ac:dyDescent="0.3">
      <c r="A644" s="7" t="s">
        <v>572</v>
      </c>
      <c r="B644" s="8">
        <v>42825</v>
      </c>
      <c r="C644" s="9">
        <v>326.85000000000002</v>
      </c>
      <c r="D644" s="8">
        <v>42916</v>
      </c>
      <c r="E644" s="9">
        <v>461</v>
      </c>
      <c r="F644" s="17">
        <v>41.04</v>
      </c>
      <c r="G644" s="11"/>
      <c r="H644" s="12">
        <f t="shared" si="18"/>
        <v>0.41043292029983164</v>
      </c>
      <c r="I644" s="13">
        <f t="shared" si="19"/>
        <v>82086.584059966321</v>
      </c>
      <c r="J644" s="13">
        <f t="shared" si="20"/>
        <v>82086.584059966321</v>
      </c>
      <c r="K644" s="13">
        <f t="shared" si="21"/>
        <v>0</v>
      </c>
      <c r="L644" s="13">
        <f t="shared" si="22"/>
        <v>6434424.3063405892</v>
      </c>
      <c r="M644" s="13">
        <f t="shared" si="23"/>
        <v>16434424.30634059</v>
      </c>
      <c r="N644" s="13">
        <f t="shared" si="24"/>
        <v>17385392.190022323</v>
      </c>
      <c r="O644" s="13">
        <f t="shared" si="25"/>
        <v>-950967.88368173316</v>
      </c>
      <c r="P644" s="12">
        <f t="shared" si="26"/>
        <v>-5.4699248270482191E-2</v>
      </c>
    </row>
    <row r="645" spans="1:16" ht="14.4" x14ac:dyDescent="0.3">
      <c r="A645" s="7" t="s">
        <v>206</v>
      </c>
      <c r="B645" s="8">
        <v>42825</v>
      </c>
      <c r="C645" s="9">
        <v>144.9</v>
      </c>
      <c r="D645" s="8">
        <v>42916</v>
      </c>
      <c r="E645" s="9">
        <v>140</v>
      </c>
      <c r="F645" s="17">
        <v>-3.38</v>
      </c>
      <c r="G645" s="11"/>
      <c r="H645" s="12">
        <f t="shared" si="18"/>
        <v>-3.3816425120772986E-2</v>
      </c>
      <c r="I645" s="13">
        <f t="shared" si="19"/>
        <v>-6763.2850241545975</v>
      </c>
      <c r="J645" s="13">
        <f t="shared" si="20"/>
        <v>0</v>
      </c>
      <c r="K645" s="13">
        <f t="shared" si="21"/>
        <v>-6763.2850241545975</v>
      </c>
      <c r="L645" s="13">
        <f t="shared" si="22"/>
        <v>6427661.0213164343</v>
      </c>
      <c r="M645" s="13">
        <f t="shared" si="23"/>
        <v>16427661.021316435</v>
      </c>
      <c r="N645" s="13">
        <f t="shared" si="24"/>
        <v>17385392.190022323</v>
      </c>
      <c r="O645" s="13">
        <f t="shared" si="25"/>
        <v>-957731.16870588809</v>
      </c>
      <c r="P645" s="12">
        <f t="shared" si="26"/>
        <v>-5.5088269406746028E-2</v>
      </c>
    </row>
    <row r="646" spans="1:16" ht="14.4" x14ac:dyDescent="0.3">
      <c r="A646" s="7" t="s">
        <v>54</v>
      </c>
      <c r="B646" s="8">
        <v>42825</v>
      </c>
      <c r="C646" s="9">
        <v>118.8</v>
      </c>
      <c r="D646" s="8">
        <v>42916</v>
      </c>
      <c r="E646" s="9">
        <v>109.21</v>
      </c>
      <c r="F646" s="17">
        <v>-8.07</v>
      </c>
      <c r="G646" s="11"/>
      <c r="H646" s="12">
        <f t="shared" si="18"/>
        <v>-8.0723905723905753E-2</v>
      </c>
      <c r="I646" s="13">
        <f t="shared" si="19"/>
        <v>-16144.781144781151</v>
      </c>
      <c r="J646" s="13">
        <f t="shared" si="20"/>
        <v>0</v>
      </c>
      <c r="K646" s="13">
        <f t="shared" si="21"/>
        <v>-16144.781144781151</v>
      </c>
      <c r="L646" s="13">
        <f t="shared" si="22"/>
        <v>6411516.2401716532</v>
      </c>
      <c r="M646" s="13">
        <f t="shared" si="23"/>
        <v>16411516.240171652</v>
      </c>
      <c r="N646" s="13">
        <f t="shared" si="24"/>
        <v>17385392.190022323</v>
      </c>
      <c r="O646" s="13">
        <f t="shared" si="25"/>
        <v>-973875.94985067099</v>
      </c>
      <c r="P646" s="12">
        <f t="shared" si="26"/>
        <v>-5.6016910013084988E-2</v>
      </c>
    </row>
    <row r="647" spans="1:16" ht="14.4" x14ac:dyDescent="0.3">
      <c r="A647" s="7" t="s">
        <v>56</v>
      </c>
      <c r="B647" s="8">
        <v>42825</v>
      </c>
      <c r="C647" s="9">
        <v>11068.5</v>
      </c>
      <c r="D647" s="8">
        <v>42916</v>
      </c>
      <c r="E647" s="9">
        <v>19975.25</v>
      </c>
      <c r="F647" s="17">
        <v>80.47</v>
      </c>
      <c r="G647" s="11"/>
      <c r="H647" s="12">
        <f t="shared" si="18"/>
        <v>0.80469349957085423</v>
      </c>
      <c r="I647" s="13">
        <f t="shared" si="19"/>
        <v>160938.69991417084</v>
      </c>
      <c r="J647" s="13">
        <f t="shared" si="20"/>
        <v>160938.69991417084</v>
      </c>
      <c r="K647" s="13">
        <f t="shared" si="21"/>
        <v>0</v>
      </c>
      <c r="L647" s="13">
        <f t="shared" si="22"/>
        <v>6572454.9400858236</v>
      </c>
      <c r="M647" s="13">
        <f t="shared" si="23"/>
        <v>16572454.940085825</v>
      </c>
      <c r="N647" s="13">
        <f t="shared" si="24"/>
        <v>17385392.190022323</v>
      </c>
      <c r="O647" s="13">
        <f t="shared" si="25"/>
        <v>-812937.2499364987</v>
      </c>
      <c r="P647" s="12">
        <f t="shared" si="26"/>
        <v>-4.6759787817904547E-2</v>
      </c>
    </row>
    <row r="648" spans="1:16" ht="14.4" x14ac:dyDescent="0.3">
      <c r="A648" s="7" t="s">
        <v>541</v>
      </c>
      <c r="B648" s="8">
        <v>42734</v>
      </c>
      <c r="C648" s="9">
        <v>82.5</v>
      </c>
      <c r="D648" s="8">
        <v>42825</v>
      </c>
      <c r="E648" s="9">
        <v>132.44999999999999</v>
      </c>
      <c r="F648" s="17">
        <v>60.55</v>
      </c>
      <c r="G648" s="11"/>
      <c r="H648" s="12">
        <f t="shared" si="18"/>
        <v>0.60545454545454536</v>
      </c>
      <c r="I648" s="13">
        <f t="shared" si="19"/>
        <v>121090.90909090907</v>
      </c>
      <c r="J648" s="13">
        <f t="shared" si="20"/>
        <v>121090.90909090907</v>
      </c>
      <c r="K648" s="13">
        <f t="shared" si="21"/>
        <v>0</v>
      </c>
      <c r="L648" s="13">
        <f t="shared" si="22"/>
        <v>6693545.8491767328</v>
      </c>
      <c r="M648" s="13">
        <f t="shared" si="23"/>
        <v>16693545.849176733</v>
      </c>
      <c r="N648" s="13">
        <f t="shared" si="24"/>
        <v>17385392.190022323</v>
      </c>
      <c r="O648" s="13">
        <f t="shared" si="25"/>
        <v>-691846.34084559046</v>
      </c>
      <c r="P648" s="12">
        <f t="shared" si="26"/>
        <v>-3.9794692767566614E-2</v>
      </c>
    </row>
    <row r="649" spans="1:16" ht="14.4" x14ac:dyDescent="0.3">
      <c r="A649" s="7" t="s">
        <v>573</v>
      </c>
      <c r="B649" s="8">
        <v>42643</v>
      </c>
      <c r="C649" s="9">
        <v>148.44999999999999</v>
      </c>
      <c r="D649" s="8">
        <v>42734</v>
      </c>
      <c r="E649" s="9">
        <v>113.45</v>
      </c>
      <c r="F649" s="17">
        <v>-23.58</v>
      </c>
      <c r="G649" s="11"/>
      <c r="H649" s="12">
        <f t="shared" si="18"/>
        <v>-0.23576961940047148</v>
      </c>
      <c r="I649" s="13">
        <f t="shared" si="19"/>
        <v>-47153.923880094299</v>
      </c>
      <c r="J649" s="13">
        <f t="shared" si="20"/>
        <v>0</v>
      </c>
      <c r="K649" s="13">
        <f t="shared" si="21"/>
        <v>-47153.923880094299</v>
      </c>
      <c r="L649" s="13">
        <f t="shared" si="22"/>
        <v>6646391.9252966382</v>
      </c>
      <c r="M649" s="13">
        <f t="shared" si="23"/>
        <v>16646391.925296638</v>
      </c>
      <c r="N649" s="13">
        <f t="shared" si="24"/>
        <v>17385392.190022323</v>
      </c>
      <c r="O649" s="13">
        <f t="shared" si="25"/>
        <v>-739000.26472568512</v>
      </c>
      <c r="P649" s="12">
        <f t="shared" si="26"/>
        <v>-4.2506965425249704E-2</v>
      </c>
    </row>
    <row r="650" spans="1:16" ht="14.4" x14ac:dyDescent="0.3">
      <c r="A650" s="7" t="s">
        <v>22</v>
      </c>
      <c r="B650" s="8">
        <v>42643</v>
      </c>
      <c r="C650" s="9">
        <v>571.29</v>
      </c>
      <c r="D650" s="8">
        <v>42734</v>
      </c>
      <c r="E650" s="9">
        <v>515.69000000000005</v>
      </c>
      <c r="F650" s="17">
        <v>-9.73</v>
      </c>
      <c r="G650" s="11"/>
      <c r="H650" s="12">
        <f t="shared" si="18"/>
        <v>-9.7323600973235863E-2</v>
      </c>
      <c r="I650" s="13">
        <f t="shared" si="19"/>
        <v>-19464.720194647172</v>
      </c>
      <c r="J650" s="13">
        <f t="shared" si="20"/>
        <v>0</v>
      </c>
      <c r="K650" s="13">
        <f t="shared" si="21"/>
        <v>-19464.720194647172</v>
      </c>
      <c r="L650" s="13">
        <f t="shared" si="22"/>
        <v>6626927.2051019911</v>
      </c>
      <c r="M650" s="13">
        <f t="shared" si="23"/>
        <v>16626927.205101991</v>
      </c>
      <c r="N650" s="13">
        <f t="shared" si="24"/>
        <v>17385392.190022323</v>
      </c>
      <c r="O650" s="13">
        <f t="shared" si="25"/>
        <v>-758464.98492033221</v>
      </c>
      <c r="P650" s="12">
        <f t="shared" si="26"/>
        <v>-4.3626567444111156E-2</v>
      </c>
    </row>
    <row r="651" spans="1:16" ht="14.4" x14ac:dyDescent="0.3">
      <c r="A651" s="7" t="s">
        <v>574</v>
      </c>
      <c r="B651" s="8">
        <v>42643</v>
      </c>
      <c r="C651" s="9">
        <v>226</v>
      </c>
      <c r="D651" s="8">
        <v>42734</v>
      </c>
      <c r="E651" s="9">
        <v>280</v>
      </c>
      <c r="F651" s="17">
        <v>23.89</v>
      </c>
      <c r="G651" s="11"/>
      <c r="H651" s="12">
        <f t="shared" si="18"/>
        <v>0.23893805309734514</v>
      </c>
      <c r="I651" s="13">
        <f t="shared" si="19"/>
        <v>47787.610619469029</v>
      </c>
      <c r="J651" s="13">
        <f t="shared" si="20"/>
        <v>47787.610619469029</v>
      </c>
      <c r="K651" s="13">
        <f t="shared" si="21"/>
        <v>0</v>
      </c>
      <c r="L651" s="13">
        <f t="shared" si="22"/>
        <v>6674714.8157214597</v>
      </c>
      <c r="M651" s="13">
        <f t="shared" si="23"/>
        <v>16674714.81572146</v>
      </c>
      <c r="N651" s="13">
        <f t="shared" si="24"/>
        <v>17385392.190022323</v>
      </c>
      <c r="O651" s="13">
        <f t="shared" si="25"/>
        <v>-710677.37430086359</v>
      </c>
      <c r="P651" s="12">
        <f t="shared" si="26"/>
        <v>-4.0877845407981624E-2</v>
      </c>
    </row>
    <row r="652" spans="1:16" ht="14.4" x14ac:dyDescent="0.3">
      <c r="A652" s="7" t="s">
        <v>575</v>
      </c>
      <c r="B652" s="8">
        <v>42643</v>
      </c>
      <c r="C652" s="9">
        <v>678.84</v>
      </c>
      <c r="D652" s="8">
        <v>42734</v>
      </c>
      <c r="E652" s="9">
        <v>589.94000000000005</v>
      </c>
      <c r="F652" s="17">
        <v>-13.1</v>
      </c>
      <c r="G652" s="11"/>
      <c r="H652" s="12">
        <f t="shared" si="18"/>
        <v>-0.13095869424312057</v>
      </c>
      <c r="I652" s="13">
        <f t="shared" si="19"/>
        <v>-26191.738848624114</v>
      </c>
      <c r="J652" s="13">
        <f t="shared" si="20"/>
        <v>0</v>
      </c>
      <c r="K652" s="13">
        <f t="shared" si="21"/>
        <v>-26191.738848624114</v>
      </c>
      <c r="L652" s="13">
        <f t="shared" si="22"/>
        <v>6648523.0768728359</v>
      </c>
      <c r="M652" s="13">
        <f t="shared" si="23"/>
        <v>16648523.076872837</v>
      </c>
      <c r="N652" s="13">
        <f t="shared" si="24"/>
        <v>17385392.190022323</v>
      </c>
      <c r="O652" s="13">
        <f t="shared" si="25"/>
        <v>-736869.11314948648</v>
      </c>
      <c r="P652" s="12">
        <f t="shared" si="26"/>
        <v>-4.2384382537679198E-2</v>
      </c>
    </row>
    <row r="653" spans="1:16" ht="14.4" x14ac:dyDescent="0.3">
      <c r="A653" s="7" t="s">
        <v>576</v>
      </c>
      <c r="B653" s="8">
        <v>42643</v>
      </c>
      <c r="C653" s="9">
        <v>610</v>
      </c>
      <c r="D653" s="8">
        <v>42734</v>
      </c>
      <c r="E653" s="9">
        <v>547</v>
      </c>
      <c r="F653" s="17">
        <v>-10.33</v>
      </c>
      <c r="G653" s="11"/>
      <c r="H653" s="12">
        <f t="shared" si="18"/>
        <v>-0.10327868852459017</v>
      </c>
      <c r="I653" s="13">
        <f t="shared" si="19"/>
        <v>-20655.737704918036</v>
      </c>
      <c r="J653" s="13">
        <f t="shared" si="20"/>
        <v>0</v>
      </c>
      <c r="K653" s="13">
        <f t="shared" si="21"/>
        <v>-20655.737704918036</v>
      </c>
      <c r="L653" s="13">
        <f t="shared" si="22"/>
        <v>6627867.3391679181</v>
      </c>
      <c r="M653" s="13">
        <f t="shared" si="23"/>
        <v>16627867.339167919</v>
      </c>
      <c r="N653" s="13">
        <f t="shared" si="24"/>
        <v>17385392.190022323</v>
      </c>
      <c r="O653" s="13">
        <f t="shared" si="25"/>
        <v>-757524.85085440427</v>
      </c>
      <c r="P653" s="12">
        <f t="shared" si="26"/>
        <v>-4.3572491352202945E-2</v>
      </c>
    </row>
    <row r="654" spans="1:16" ht="14.4" x14ac:dyDescent="0.3">
      <c r="A654" s="7" t="s">
        <v>577</v>
      </c>
      <c r="B654" s="8">
        <v>42551</v>
      </c>
      <c r="C654" s="9">
        <v>90.2</v>
      </c>
      <c r="D654" s="8">
        <v>42734</v>
      </c>
      <c r="E654" s="9">
        <v>102.05</v>
      </c>
      <c r="F654" s="17">
        <v>13.14</v>
      </c>
      <c r="G654" s="11"/>
      <c r="H654" s="12">
        <f t="shared" si="18"/>
        <v>0.13137472283813739</v>
      </c>
      <c r="I654" s="13">
        <f t="shared" si="19"/>
        <v>26274.944567627477</v>
      </c>
      <c r="J654" s="13">
        <f t="shared" si="20"/>
        <v>26274.944567627477</v>
      </c>
      <c r="K654" s="13">
        <f t="shared" si="21"/>
        <v>0</v>
      </c>
      <c r="L654" s="13">
        <f t="shared" si="22"/>
        <v>6654142.2837355454</v>
      </c>
      <c r="M654" s="13">
        <f t="shared" si="23"/>
        <v>16654142.283735545</v>
      </c>
      <c r="N654" s="13">
        <f t="shared" si="24"/>
        <v>17385392.190022323</v>
      </c>
      <c r="O654" s="13">
        <f t="shared" si="25"/>
        <v>-731249.90628677793</v>
      </c>
      <c r="P654" s="12">
        <f t="shared" si="26"/>
        <v>-4.2061168266681416E-2</v>
      </c>
    </row>
    <row r="655" spans="1:16" ht="14.4" x14ac:dyDescent="0.3">
      <c r="A655" s="7" t="s">
        <v>491</v>
      </c>
      <c r="B655" s="8">
        <v>42643</v>
      </c>
      <c r="C655" s="9">
        <v>506.95</v>
      </c>
      <c r="D655" s="8">
        <v>42734</v>
      </c>
      <c r="E655" s="9">
        <v>551.25</v>
      </c>
      <c r="F655" s="17">
        <v>8.74</v>
      </c>
      <c r="G655" s="11"/>
      <c r="H655" s="12">
        <f t="shared" si="18"/>
        <v>8.7385343722260603E-2</v>
      </c>
      <c r="I655" s="13">
        <f t="shared" si="19"/>
        <v>17477.068744452121</v>
      </c>
      <c r="J655" s="13">
        <f t="shared" si="20"/>
        <v>17477.068744452121</v>
      </c>
      <c r="K655" s="13">
        <f t="shared" si="21"/>
        <v>0</v>
      </c>
      <c r="L655" s="13">
        <f t="shared" si="22"/>
        <v>6671619.3524799971</v>
      </c>
      <c r="M655" s="13">
        <f t="shared" si="23"/>
        <v>16671619.352479998</v>
      </c>
      <c r="N655" s="13">
        <f t="shared" si="24"/>
        <v>17385392.190022323</v>
      </c>
      <c r="O655" s="13">
        <f t="shared" si="25"/>
        <v>-713772.83754232526</v>
      </c>
      <c r="P655" s="12">
        <f t="shared" si="26"/>
        <v>-4.1055895072184087E-2</v>
      </c>
    </row>
    <row r="656" spans="1:16" ht="14.4" x14ac:dyDescent="0.3">
      <c r="A656" s="7" t="s">
        <v>578</v>
      </c>
      <c r="B656" s="8">
        <v>42643</v>
      </c>
      <c r="C656" s="9">
        <v>880</v>
      </c>
      <c r="D656" s="8">
        <v>42734</v>
      </c>
      <c r="E656" s="9">
        <v>830</v>
      </c>
      <c r="F656" s="17">
        <v>-5.68</v>
      </c>
      <c r="G656" s="11"/>
      <c r="H656" s="12">
        <f t="shared" si="18"/>
        <v>-5.6818181818181816E-2</v>
      </c>
      <c r="I656" s="13">
        <f t="shared" si="19"/>
        <v>-11363.636363636364</v>
      </c>
      <c r="J656" s="13">
        <f t="shared" si="20"/>
        <v>0</v>
      </c>
      <c r="K656" s="13">
        <f t="shared" si="21"/>
        <v>-11363.636363636364</v>
      </c>
      <c r="L656" s="13">
        <f t="shared" si="22"/>
        <v>6660255.7161163604</v>
      </c>
      <c r="M656" s="13">
        <f t="shared" si="23"/>
        <v>16660255.716116361</v>
      </c>
      <c r="N656" s="13">
        <f t="shared" si="24"/>
        <v>17385392.190022323</v>
      </c>
      <c r="O656" s="13">
        <f t="shared" si="25"/>
        <v>-725136.47390596196</v>
      </c>
      <c r="P656" s="12">
        <f t="shared" si="26"/>
        <v>-4.1709526364445554E-2</v>
      </c>
    </row>
    <row r="657" spans="1:16" ht="14.4" x14ac:dyDescent="0.3">
      <c r="A657" s="7" t="s">
        <v>217</v>
      </c>
      <c r="B657" s="8">
        <v>42643</v>
      </c>
      <c r="C657" s="9">
        <v>614.29999999999995</v>
      </c>
      <c r="D657" s="8">
        <v>42734</v>
      </c>
      <c r="E657" s="9">
        <v>632.20000000000005</v>
      </c>
      <c r="F657" s="17">
        <v>2.91</v>
      </c>
      <c r="G657" s="11"/>
      <c r="H657" s="12">
        <f t="shared" si="18"/>
        <v>2.9138857235878387E-2</v>
      </c>
      <c r="I657" s="13">
        <f t="shared" si="19"/>
        <v>5827.7714471756772</v>
      </c>
      <c r="J657" s="13">
        <f t="shared" si="20"/>
        <v>5827.7714471756772</v>
      </c>
      <c r="K657" s="13">
        <f t="shared" si="21"/>
        <v>0</v>
      </c>
      <c r="L657" s="13">
        <f t="shared" si="22"/>
        <v>6666083.4875635365</v>
      </c>
      <c r="M657" s="13">
        <f t="shared" si="23"/>
        <v>16666083.487563536</v>
      </c>
      <c r="N657" s="13">
        <f t="shared" si="24"/>
        <v>17385392.190022323</v>
      </c>
      <c r="O657" s="13">
        <f t="shared" si="25"/>
        <v>-719308.70245878771</v>
      </c>
      <c r="P657" s="12">
        <f t="shared" si="26"/>
        <v>-4.1374315551627718E-2</v>
      </c>
    </row>
    <row r="658" spans="1:16" ht="14.4" x14ac:dyDescent="0.3">
      <c r="A658" s="7" t="s">
        <v>579</v>
      </c>
      <c r="B658" s="8">
        <v>42643</v>
      </c>
      <c r="C658" s="9">
        <v>51100.05</v>
      </c>
      <c r="D658" s="8">
        <v>42734</v>
      </c>
      <c r="E658" s="9">
        <v>48725</v>
      </c>
      <c r="F658" s="17">
        <v>-4.6500000000000004</v>
      </c>
      <c r="G658" s="11"/>
      <c r="H658" s="12">
        <f t="shared" si="18"/>
        <v>-4.6478428103299364E-2</v>
      </c>
      <c r="I658" s="13">
        <f t="shared" si="19"/>
        <v>-9295.6856206598732</v>
      </c>
      <c r="J658" s="13">
        <f t="shared" si="20"/>
        <v>0</v>
      </c>
      <c r="K658" s="13">
        <f t="shared" si="21"/>
        <v>-9295.6856206598732</v>
      </c>
      <c r="L658" s="13">
        <f t="shared" si="22"/>
        <v>6656787.8019428765</v>
      </c>
      <c r="M658" s="13">
        <f t="shared" si="23"/>
        <v>16656787.801942877</v>
      </c>
      <c r="N658" s="13">
        <f t="shared" si="24"/>
        <v>17385392.190022323</v>
      </c>
      <c r="O658" s="13">
        <f t="shared" si="25"/>
        <v>-728604.38807944581</v>
      </c>
      <c r="P658" s="12">
        <f t="shared" si="26"/>
        <v>-4.1908999240040171E-2</v>
      </c>
    </row>
    <row r="659" spans="1:16" ht="14.4" x14ac:dyDescent="0.3">
      <c r="A659" s="7" t="s">
        <v>540</v>
      </c>
      <c r="B659" s="8">
        <v>42643</v>
      </c>
      <c r="C659" s="9">
        <v>155.24</v>
      </c>
      <c r="D659" s="8">
        <v>42734</v>
      </c>
      <c r="E659" s="9">
        <v>151.41</v>
      </c>
      <c r="F659" s="17">
        <v>-2.4700000000000002</v>
      </c>
      <c r="G659" s="11"/>
      <c r="H659" s="12">
        <f t="shared" si="18"/>
        <v>-2.4671476423602245E-2</v>
      </c>
      <c r="I659" s="13">
        <f t="shared" si="19"/>
        <v>-4934.2952847204488</v>
      </c>
      <c r="J659" s="13">
        <f t="shared" si="20"/>
        <v>0</v>
      </c>
      <c r="K659" s="13">
        <f t="shared" si="21"/>
        <v>-4934.2952847204488</v>
      </c>
      <c r="L659" s="13">
        <f t="shared" si="22"/>
        <v>6651853.5066581564</v>
      </c>
      <c r="M659" s="13">
        <f t="shared" si="23"/>
        <v>16651853.506658155</v>
      </c>
      <c r="N659" s="13">
        <f t="shared" si="24"/>
        <v>17385392.190022323</v>
      </c>
      <c r="O659" s="13">
        <f t="shared" si="25"/>
        <v>-733538.68336416781</v>
      </c>
      <c r="P659" s="12">
        <f t="shared" si="26"/>
        <v>-4.2192817702735176E-2</v>
      </c>
    </row>
    <row r="660" spans="1:16" ht="14.4" x14ac:dyDescent="0.3">
      <c r="A660" s="7" t="s">
        <v>580</v>
      </c>
      <c r="B660" s="8">
        <v>42643</v>
      </c>
      <c r="C660" s="9">
        <v>37.75</v>
      </c>
      <c r="D660" s="8">
        <v>42734</v>
      </c>
      <c r="E660" s="9">
        <v>30.35</v>
      </c>
      <c r="F660" s="17">
        <v>-19.600000000000001</v>
      </c>
      <c r="G660" s="11"/>
      <c r="H660" s="12">
        <f t="shared" si="18"/>
        <v>-0.19602649006622513</v>
      </c>
      <c r="I660" s="13">
        <f t="shared" si="19"/>
        <v>-39205.298013245025</v>
      </c>
      <c r="J660" s="13">
        <f t="shared" si="20"/>
        <v>0</v>
      </c>
      <c r="K660" s="13">
        <f t="shared" si="21"/>
        <v>-39205.298013245025</v>
      </c>
      <c r="L660" s="13">
        <f t="shared" si="22"/>
        <v>6612648.2086449116</v>
      </c>
      <c r="M660" s="13">
        <f t="shared" si="23"/>
        <v>16612648.208644912</v>
      </c>
      <c r="N660" s="13">
        <f t="shared" si="24"/>
        <v>17385392.190022323</v>
      </c>
      <c r="O660" s="13">
        <f t="shared" si="25"/>
        <v>-772743.98137741163</v>
      </c>
      <c r="P660" s="12">
        <f t="shared" si="26"/>
        <v>-4.4447888947877649E-2</v>
      </c>
    </row>
    <row r="661" spans="1:16" ht="14.4" x14ac:dyDescent="0.3">
      <c r="A661" s="7" t="s">
        <v>581</v>
      </c>
      <c r="B661" s="8">
        <v>42643</v>
      </c>
      <c r="C661" s="9">
        <v>145.72999999999999</v>
      </c>
      <c r="D661" s="8">
        <v>42734</v>
      </c>
      <c r="E661" s="9">
        <v>142.97</v>
      </c>
      <c r="F661" s="17">
        <v>-1.89</v>
      </c>
      <c r="G661" s="11"/>
      <c r="H661" s="12">
        <f t="shared" si="18"/>
        <v>-1.893913401495911E-2</v>
      </c>
      <c r="I661" s="13">
        <f t="shared" si="19"/>
        <v>-3787.8268029918222</v>
      </c>
      <c r="J661" s="13">
        <f t="shared" si="20"/>
        <v>0</v>
      </c>
      <c r="K661" s="13">
        <f t="shared" si="21"/>
        <v>-3787.8268029918222</v>
      </c>
      <c r="L661" s="13">
        <f t="shared" si="22"/>
        <v>6608860.3818419194</v>
      </c>
      <c r="M661" s="13">
        <f t="shared" si="23"/>
        <v>16608860.38184192</v>
      </c>
      <c r="N661" s="13">
        <f t="shared" si="24"/>
        <v>17385392.190022323</v>
      </c>
      <c r="O661" s="13">
        <f t="shared" si="25"/>
        <v>-776531.80818040296</v>
      </c>
      <c r="P661" s="12">
        <f t="shared" si="26"/>
        <v>-4.4665763055150604E-2</v>
      </c>
    </row>
    <row r="662" spans="1:16" ht="14.4" x14ac:dyDescent="0.3">
      <c r="A662" s="7" t="s">
        <v>46</v>
      </c>
      <c r="B662" s="8">
        <v>42643</v>
      </c>
      <c r="C662" s="9">
        <v>36.200000000000003</v>
      </c>
      <c r="D662" s="8">
        <v>42734</v>
      </c>
      <c r="E662" s="9">
        <v>28.45</v>
      </c>
      <c r="F662" s="17">
        <v>-21.41</v>
      </c>
      <c r="G662" s="11"/>
      <c r="H662" s="12">
        <f t="shared" si="18"/>
        <v>-0.21408839779005534</v>
      </c>
      <c r="I662" s="13">
        <f t="shared" si="19"/>
        <v>-42817.67955801107</v>
      </c>
      <c r="J662" s="13">
        <f t="shared" si="20"/>
        <v>0</v>
      </c>
      <c r="K662" s="13">
        <f t="shared" si="21"/>
        <v>-42817.67955801107</v>
      </c>
      <c r="L662" s="13">
        <f t="shared" si="22"/>
        <v>6566042.7022839086</v>
      </c>
      <c r="M662" s="13">
        <f t="shared" si="23"/>
        <v>16566042.702283908</v>
      </c>
      <c r="N662" s="13">
        <f t="shared" si="24"/>
        <v>17385392.190022323</v>
      </c>
      <c r="O662" s="13">
        <f t="shared" si="25"/>
        <v>-819349.4877384156</v>
      </c>
      <c r="P662" s="12">
        <f t="shared" si="26"/>
        <v>-4.7128616874610958E-2</v>
      </c>
    </row>
    <row r="663" spans="1:16" ht="14.4" x14ac:dyDescent="0.3">
      <c r="A663" s="7" t="s">
        <v>582</v>
      </c>
      <c r="B663" s="8">
        <v>42643</v>
      </c>
      <c r="C663" s="9">
        <v>49.1</v>
      </c>
      <c r="D663" s="8">
        <v>42734</v>
      </c>
      <c r="E663" s="9">
        <v>45.8</v>
      </c>
      <c r="F663" s="17">
        <v>-6.72</v>
      </c>
      <c r="G663" s="11"/>
      <c r="H663" s="12">
        <f t="shared" si="18"/>
        <v>-6.7209775967413524E-2</v>
      </c>
      <c r="I663" s="13">
        <f t="shared" si="19"/>
        <v>-13441.955193482705</v>
      </c>
      <c r="J663" s="13">
        <f t="shared" si="20"/>
        <v>0</v>
      </c>
      <c r="K663" s="13">
        <f t="shared" si="21"/>
        <v>-13441.955193482705</v>
      </c>
      <c r="L663" s="13">
        <f t="shared" si="22"/>
        <v>6552600.7470904263</v>
      </c>
      <c r="M663" s="13">
        <f t="shared" si="23"/>
        <v>16552600.747090425</v>
      </c>
      <c r="N663" s="13">
        <f t="shared" si="24"/>
        <v>17385392.190022323</v>
      </c>
      <c r="O663" s="13">
        <f t="shared" si="25"/>
        <v>-832791.44293189794</v>
      </c>
      <c r="P663" s="12">
        <f t="shared" si="26"/>
        <v>-4.7901792138450951E-2</v>
      </c>
    </row>
    <row r="664" spans="1:16" ht="14.4" x14ac:dyDescent="0.3">
      <c r="A664" s="7" t="s">
        <v>583</v>
      </c>
      <c r="B664" s="8">
        <v>42643</v>
      </c>
      <c r="C664" s="9">
        <v>4030</v>
      </c>
      <c r="D664" s="8">
        <v>42734</v>
      </c>
      <c r="E664" s="9">
        <v>3191.5</v>
      </c>
      <c r="F664" s="17">
        <v>-20.81</v>
      </c>
      <c r="G664" s="11"/>
      <c r="H664" s="12">
        <f t="shared" si="18"/>
        <v>-0.20806451612903226</v>
      </c>
      <c r="I664" s="13">
        <f t="shared" si="19"/>
        <v>-41612.903225806454</v>
      </c>
      <c r="J664" s="13">
        <f t="shared" si="20"/>
        <v>0</v>
      </c>
      <c r="K664" s="13">
        <f t="shared" si="21"/>
        <v>-41612.903225806454</v>
      </c>
      <c r="L664" s="13">
        <f t="shared" si="22"/>
        <v>6510987.8438646197</v>
      </c>
      <c r="M664" s="13">
        <f t="shared" si="23"/>
        <v>16510987.84386462</v>
      </c>
      <c r="N664" s="13">
        <f t="shared" si="24"/>
        <v>17385392.190022323</v>
      </c>
      <c r="O664" s="13">
        <f t="shared" si="25"/>
        <v>-874404.34615770355</v>
      </c>
      <c r="P664" s="12">
        <f t="shared" si="26"/>
        <v>-5.0295347760951535E-2</v>
      </c>
    </row>
    <row r="665" spans="1:16" ht="14.4" x14ac:dyDescent="0.3">
      <c r="A665" s="7" t="s">
        <v>48</v>
      </c>
      <c r="B665" s="8">
        <v>42643</v>
      </c>
      <c r="C665" s="9">
        <v>190</v>
      </c>
      <c r="D665" s="8">
        <v>42734</v>
      </c>
      <c r="E665" s="9">
        <v>175</v>
      </c>
      <c r="F665" s="17">
        <v>-7.89</v>
      </c>
      <c r="G665" s="11"/>
      <c r="H665" s="12">
        <f t="shared" si="18"/>
        <v>-7.8947368421052627E-2</v>
      </c>
      <c r="I665" s="13">
        <f t="shared" si="19"/>
        <v>-15789.473684210525</v>
      </c>
      <c r="J665" s="13">
        <f t="shared" si="20"/>
        <v>0</v>
      </c>
      <c r="K665" s="13">
        <f t="shared" si="21"/>
        <v>-15789.473684210525</v>
      </c>
      <c r="L665" s="13">
        <f t="shared" si="22"/>
        <v>6495198.3701804094</v>
      </c>
      <c r="M665" s="13">
        <f t="shared" si="23"/>
        <v>16495198.370180409</v>
      </c>
      <c r="N665" s="13">
        <f t="shared" si="24"/>
        <v>17385392.190022323</v>
      </c>
      <c r="O665" s="13">
        <f t="shared" si="25"/>
        <v>-890193.81984191388</v>
      </c>
      <c r="P665" s="12">
        <f t="shared" si="26"/>
        <v>-5.1203551240725322E-2</v>
      </c>
    </row>
    <row r="666" spans="1:16" ht="14.4" x14ac:dyDescent="0.3">
      <c r="A666" s="7" t="s">
        <v>50</v>
      </c>
      <c r="B666" s="8">
        <v>42643</v>
      </c>
      <c r="C666" s="9">
        <v>70.33</v>
      </c>
      <c r="D666" s="8">
        <v>42734</v>
      </c>
      <c r="E666" s="9">
        <v>61.25</v>
      </c>
      <c r="F666" s="17">
        <v>-12.91</v>
      </c>
      <c r="G666" s="11"/>
      <c r="H666" s="12">
        <f t="shared" si="18"/>
        <v>-0.12910564481728989</v>
      </c>
      <c r="I666" s="13">
        <f t="shared" si="19"/>
        <v>-25821.128963457977</v>
      </c>
      <c r="J666" s="13">
        <f t="shared" si="20"/>
        <v>0</v>
      </c>
      <c r="K666" s="13">
        <f t="shared" si="21"/>
        <v>-25821.128963457977</v>
      </c>
      <c r="L666" s="13">
        <f t="shared" si="22"/>
        <v>6469377.241216951</v>
      </c>
      <c r="M666" s="13">
        <f t="shared" si="23"/>
        <v>16469377.24121695</v>
      </c>
      <c r="N666" s="13">
        <f t="shared" si="24"/>
        <v>17385392.190022323</v>
      </c>
      <c r="O666" s="13">
        <f t="shared" si="25"/>
        <v>-916014.94880537316</v>
      </c>
      <c r="P666" s="12">
        <f t="shared" si="26"/>
        <v>-5.2688771055224438E-2</v>
      </c>
    </row>
    <row r="667" spans="1:16" ht="14.4" x14ac:dyDescent="0.3">
      <c r="A667" s="7" t="s">
        <v>584</v>
      </c>
      <c r="B667" s="8">
        <v>42643</v>
      </c>
      <c r="C667" s="9">
        <v>227</v>
      </c>
      <c r="D667" s="8">
        <v>42734</v>
      </c>
      <c r="E667" s="9">
        <v>182</v>
      </c>
      <c r="F667" s="17">
        <v>-19.82</v>
      </c>
      <c r="G667" s="11"/>
      <c r="H667" s="12">
        <f t="shared" si="18"/>
        <v>-0.19823788546255505</v>
      </c>
      <c r="I667" s="13">
        <f t="shared" si="19"/>
        <v>-39647.577092511012</v>
      </c>
      <c r="J667" s="13">
        <f t="shared" si="20"/>
        <v>0</v>
      </c>
      <c r="K667" s="13">
        <f t="shared" si="21"/>
        <v>-39647.577092511012</v>
      </c>
      <c r="L667" s="13">
        <f t="shared" si="22"/>
        <v>6429729.6641244404</v>
      </c>
      <c r="M667" s="13">
        <f t="shared" si="23"/>
        <v>16429729.66412444</v>
      </c>
      <c r="N667" s="13">
        <f t="shared" si="24"/>
        <v>17385392.190022323</v>
      </c>
      <c r="O667" s="13">
        <f t="shared" si="25"/>
        <v>-955662.52589788288</v>
      </c>
      <c r="P667" s="12">
        <f t="shared" si="26"/>
        <v>-5.4969281995625535E-2</v>
      </c>
    </row>
    <row r="668" spans="1:16" ht="14.4" x14ac:dyDescent="0.3">
      <c r="A668" s="7" t="s">
        <v>585</v>
      </c>
      <c r="B668" s="8">
        <v>42643</v>
      </c>
      <c r="C668" s="9">
        <v>49.85</v>
      </c>
      <c r="D668" s="8">
        <v>42734</v>
      </c>
      <c r="E668" s="9">
        <v>57.05</v>
      </c>
      <c r="F668" s="17">
        <v>14.44</v>
      </c>
      <c r="G668" s="11"/>
      <c r="H668" s="12">
        <f t="shared" si="18"/>
        <v>0.144433299899699</v>
      </c>
      <c r="I668" s="13">
        <f t="shared" si="19"/>
        <v>28886.659979939799</v>
      </c>
      <c r="J668" s="13">
        <f t="shared" si="20"/>
        <v>28886.659979939799</v>
      </c>
      <c r="K668" s="13">
        <f t="shared" si="21"/>
        <v>0</v>
      </c>
      <c r="L668" s="13">
        <f t="shared" si="22"/>
        <v>6458616.3241043799</v>
      </c>
      <c r="M668" s="13">
        <f t="shared" si="23"/>
        <v>16458616.32410438</v>
      </c>
      <c r="N668" s="13">
        <f t="shared" si="24"/>
        <v>17385392.190022323</v>
      </c>
      <c r="O668" s="13">
        <f t="shared" si="25"/>
        <v>-926775.86591794342</v>
      </c>
      <c r="P668" s="12">
        <f t="shared" si="26"/>
        <v>-5.3307734205146708E-2</v>
      </c>
    </row>
    <row r="669" spans="1:16" ht="14.4" x14ac:dyDescent="0.3">
      <c r="A669" s="7" t="s">
        <v>586</v>
      </c>
      <c r="B669" s="8">
        <v>42643</v>
      </c>
      <c r="C669" s="9">
        <v>143.80000000000001</v>
      </c>
      <c r="D669" s="8">
        <v>42734</v>
      </c>
      <c r="E669" s="9">
        <v>148.55000000000001</v>
      </c>
      <c r="F669" s="17">
        <v>3.3</v>
      </c>
      <c r="G669" s="11"/>
      <c r="H669" s="12">
        <f t="shared" si="18"/>
        <v>3.3031988873435322E-2</v>
      </c>
      <c r="I669" s="13">
        <f t="shared" si="19"/>
        <v>6606.3977746870642</v>
      </c>
      <c r="J669" s="13">
        <f t="shared" si="20"/>
        <v>6606.3977746870642</v>
      </c>
      <c r="K669" s="13">
        <f t="shared" si="21"/>
        <v>0</v>
      </c>
      <c r="L669" s="13">
        <f t="shared" si="22"/>
        <v>6465222.7218790669</v>
      </c>
      <c r="M669" s="13">
        <f t="shared" si="23"/>
        <v>16465222.721879067</v>
      </c>
      <c r="N669" s="13">
        <f t="shared" si="24"/>
        <v>17385392.190022323</v>
      </c>
      <c r="O669" s="13">
        <f t="shared" si="25"/>
        <v>-920169.46814325638</v>
      </c>
      <c r="P669" s="12">
        <f t="shared" si="26"/>
        <v>-5.2927737153456465E-2</v>
      </c>
    </row>
    <row r="670" spans="1:16" ht="14.4" x14ac:dyDescent="0.3">
      <c r="A670" s="7" t="s">
        <v>419</v>
      </c>
      <c r="B670" s="8">
        <v>42551</v>
      </c>
      <c r="C670" s="9">
        <v>480</v>
      </c>
      <c r="D670" s="8">
        <v>42643</v>
      </c>
      <c r="E670" s="9">
        <v>555</v>
      </c>
      <c r="F670" s="17">
        <v>15.63</v>
      </c>
      <c r="G670" s="11"/>
      <c r="H670" s="12">
        <f t="shared" si="18"/>
        <v>0.15625</v>
      </c>
      <c r="I670" s="13">
        <f t="shared" si="19"/>
        <v>31250</v>
      </c>
      <c r="J670" s="13">
        <f t="shared" si="20"/>
        <v>31250</v>
      </c>
      <c r="K670" s="13">
        <f t="shared" si="21"/>
        <v>0</v>
      </c>
      <c r="L670" s="13">
        <f t="shared" si="22"/>
        <v>6496472.7218790669</v>
      </c>
      <c r="M670" s="13">
        <f t="shared" si="23"/>
        <v>16496472.721879067</v>
      </c>
      <c r="N670" s="13">
        <f t="shared" si="24"/>
        <v>17385392.190022323</v>
      </c>
      <c r="O670" s="13">
        <f t="shared" si="25"/>
        <v>-888919.46814325638</v>
      </c>
      <c r="P670" s="12">
        <f t="shared" si="26"/>
        <v>-5.1130251099737484E-2</v>
      </c>
    </row>
    <row r="671" spans="1:16" ht="14.4" x14ac:dyDescent="0.3">
      <c r="A671" s="7" t="s">
        <v>483</v>
      </c>
      <c r="B671" s="8">
        <v>42551</v>
      </c>
      <c r="C671" s="9">
        <v>114.45</v>
      </c>
      <c r="D671" s="8">
        <v>42643</v>
      </c>
      <c r="E671" s="9">
        <v>118.65</v>
      </c>
      <c r="F671" s="17">
        <v>3.67</v>
      </c>
      <c r="G671" s="11"/>
      <c r="H671" s="12">
        <f t="shared" si="18"/>
        <v>3.6697247706422041E-2</v>
      </c>
      <c r="I671" s="13">
        <f t="shared" si="19"/>
        <v>7339.449541284408</v>
      </c>
      <c r="J671" s="13">
        <f t="shared" si="20"/>
        <v>7339.449541284408</v>
      </c>
      <c r="K671" s="13">
        <f t="shared" si="21"/>
        <v>0</v>
      </c>
      <c r="L671" s="13">
        <f t="shared" si="22"/>
        <v>6503812.1714203516</v>
      </c>
      <c r="M671" s="13">
        <f t="shared" si="23"/>
        <v>16503812.171420351</v>
      </c>
      <c r="N671" s="13">
        <f t="shared" si="24"/>
        <v>17385392.190022323</v>
      </c>
      <c r="O671" s="13">
        <f t="shared" si="25"/>
        <v>-881580.01860197261</v>
      </c>
      <c r="P671" s="12">
        <f t="shared" si="26"/>
        <v>-5.0708089237579669E-2</v>
      </c>
    </row>
    <row r="672" spans="1:16" ht="14.4" x14ac:dyDescent="0.3">
      <c r="A672" s="7" t="s">
        <v>34</v>
      </c>
      <c r="B672" s="8">
        <v>42551</v>
      </c>
      <c r="C672" s="9">
        <v>735.7</v>
      </c>
      <c r="D672" s="8">
        <v>42643</v>
      </c>
      <c r="E672" s="9">
        <v>761.75</v>
      </c>
      <c r="F672" s="17">
        <v>3.54</v>
      </c>
      <c r="G672" s="11"/>
      <c r="H672" s="12">
        <f t="shared" si="18"/>
        <v>3.5408454533097669E-2</v>
      </c>
      <c r="I672" s="13">
        <f t="shared" si="19"/>
        <v>7081.690906619534</v>
      </c>
      <c r="J672" s="13">
        <f t="shared" si="20"/>
        <v>7081.690906619534</v>
      </c>
      <c r="K672" s="13">
        <f t="shared" si="21"/>
        <v>0</v>
      </c>
      <c r="L672" s="13">
        <f t="shared" si="22"/>
        <v>6510893.8623269713</v>
      </c>
      <c r="M672" s="13">
        <f t="shared" si="23"/>
        <v>16510893.862326972</v>
      </c>
      <c r="N672" s="13">
        <f t="shared" si="24"/>
        <v>17385392.190022323</v>
      </c>
      <c r="O672" s="13">
        <f t="shared" si="25"/>
        <v>-874498.32769535109</v>
      </c>
      <c r="P672" s="12">
        <f t="shared" si="26"/>
        <v>-5.0300753537054849E-2</v>
      </c>
    </row>
    <row r="673" spans="1:16" ht="14.4" x14ac:dyDescent="0.3">
      <c r="A673" s="7" t="s">
        <v>38</v>
      </c>
      <c r="B673" s="8">
        <v>42551</v>
      </c>
      <c r="C673" s="9">
        <v>726.05</v>
      </c>
      <c r="D673" s="8">
        <v>42643</v>
      </c>
      <c r="E673" s="9">
        <v>641</v>
      </c>
      <c r="F673" s="17">
        <v>-11.71</v>
      </c>
      <c r="G673" s="11"/>
      <c r="H673" s="12">
        <f t="shared" si="18"/>
        <v>-0.11714069278975271</v>
      </c>
      <c r="I673" s="13">
        <f t="shared" si="19"/>
        <v>-23428.138557950544</v>
      </c>
      <c r="J673" s="13">
        <f t="shared" si="20"/>
        <v>0</v>
      </c>
      <c r="K673" s="13">
        <f t="shared" si="21"/>
        <v>-23428.138557950544</v>
      </c>
      <c r="L673" s="13">
        <f t="shared" si="22"/>
        <v>6487465.7237690203</v>
      </c>
      <c r="M673" s="13">
        <f t="shared" si="23"/>
        <v>16487465.72376902</v>
      </c>
      <c r="N673" s="13">
        <f t="shared" si="24"/>
        <v>17385392.190022323</v>
      </c>
      <c r="O673" s="13">
        <f t="shared" si="25"/>
        <v>-897926.46625330299</v>
      </c>
      <c r="P673" s="12">
        <f t="shared" si="26"/>
        <v>-5.1648329611375311E-2</v>
      </c>
    </row>
    <row r="674" spans="1:16" ht="14.4" x14ac:dyDescent="0.3">
      <c r="A674" s="7" t="s">
        <v>216</v>
      </c>
      <c r="B674" s="8">
        <v>42551</v>
      </c>
      <c r="C674" s="9">
        <v>151.5</v>
      </c>
      <c r="D674" s="8">
        <v>42643</v>
      </c>
      <c r="E674" s="9">
        <v>146.25</v>
      </c>
      <c r="F674" s="17">
        <v>-3.47</v>
      </c>
      <c r="G674" s="11"/>
      <c r="H674" s="12">
        <f t="shared" si="18"/>
        <v>-3.4653465346534656E-2</v>
      </c>
      <c r="I674" s="13">
        <f t="shared" si="19"/>
        <v>-6930.6930693069316</v>
      </c>
      <c r="J674" s="13">
        <f t="shared" si="20"/>
        <v>0</v>
      </c>
      <c r="K674" s="13">
        <f t="shared" si="21"/>
        <v>-6930.6930693069316</v>
      </c>
      <c r="L674" s="13">
        <f t="shared" si="22"/>
        <v>6480535.0306997132</v>
      </c>
      <c r="M674" s="13">
        <f t="shared" si="23"/>
        <v>16480535.030699713</v>
      </c>
      <c r="N674" s="13">
        <f t="shared" si="24"/>
        <v>17385392.190022323</v>
      </c>
      <c r="O674" s="13">
        <f t="shared" si="25"/>
        <v>-904857.15932261012</v>
      </c>
      <c r="P674" s="12">
        <f t="shared" si="26"/>
        <v>-5.2046979983685272E-2</v>
      </c>
    </row>
    <row r="675" spans="1:16" ht="14.4" x14ac:dyDescent="0.3">
      <c r="A675" s="7" t="s">
        <v>587</v>
      </c>
      <c r="B675" s="8">
        <v>42551</v>
      </c>
      <c r="C675" s="9">
        <v>124.75</v>
      </c>
      <c r="D675" s="8">
        <v>42643</v>
      </c>
      <c r="E675" s="9">
        <v>152.69999999999999</v>
      </c>
      <c r="F675" s="17">
        <v>22.4</v>
      </c>
      <c r="G675" s="11"/>
      <c r="H675" s="12">
        <f t="shared" si="18"/>
        <v>0.22404809619238467</v>
      </c>
      <c r="I675" s="13">
        <f t="shared" si="19"/>
        <v>44809.619238476931</v>
      </c>
      <c r="J675" s="13">
        <f t="shared" si="20"/>
        <v>44809.619238476931</v>
      </c>
      <c r="K675" s="13">
        <f t="shared" si="21"/>
        <v>0</v>
      </c>
      <c r="L675" s="13">
        <f t="shared" si="22"/>
        <v>6525344.6499381904</v>
      </c>
      <c r="M675" s="13">
        <f t="shared" si="23"/>
        <v>16525344.64993819</v>
      </c>
      <c r="N675" s="13">
        <f t="shared" si="24"/>
        <v>17385392.190022323</v>
      </c>
      <c r="O675" s="13">
        <f t="shared" si="25"/>
        <v>-860047.54008413292</v>
      </c>
      <c r="P675" s="12">
        <f t="shared" si="26"/>
        <v>-4.9469550682769418E-2</v>
      </c>
    </row>
    <row r="676" spans="1:16" ht="14.4" x14ac:dyDescent="0.3">
      <c r="A676" s="7" t="s">
        <v>353</v>
      </c>
      <c r="B676" s="8">
        <v>42551</v>
      </c>
      <c r="C676" s="9">
        <v>58.85</v>
      </c>
      <c r="D676" s="8">
        <v>42643</v>
      </c>
      <c r="E676" s="9">
        <v>66.150000000000006</v>
      </c>
      <c r="F676" s="17">
        <v>12.4</v>
      </c>
      <c r="G676" s="11"/>
      <c r="H676" s="12">
        <f t="shared" si="18"/>
        <v>0.12404418011894654</v>
      </c>
      <c r="I676" s="13">
        <f t="shared" si="19"/>
        <v>24808.836023789307</v>
      </c>
      <c r="J676" s="13">
        <f t="shared" si="20"/>
        <v>24808.836023789307</v>
      </c>
      <c r="K676" s="13">
        <f t="shared" si="21"/>
        <v>0</v>
      </c>
      <c r="L676" s="13">
        <f t="shared" si="22"/>
        <v>6550153.4859619793</v>
      </c>
      <c r="M676" s="13">
        <f t="shared" si="23"/>
        <v>16550153.485961979</v>
      </c>
      <c r="N676" s="13">
        <f t="shared" si="24"/>
        <v>17385392.190022323</v>
      </c>
      <c r="O676" s="13">
        <f t="shared" si="25"/>
        <v>-835238.70406034403</v>
      </c>
      <c r="P676" s="12">
        <f t="shared" si="26"/>
        <v>-4.8042557506393045E-2</v>
      </c>
    </row>
    <row r="677" spans="1:16" ht="14.4" x14ac:dyDescent="0.3">
      <c r="A677" s="7" t="s">
        <v>588</v>
      </c>
      <c r="B677" s="8">
        <v>42551</v>
      </c>
      <c r="C677" s="9">
        <v>1028</v>
      </c>
      <c r="D677" s="8">
        <v>42643</v>
      </c>
      <c r="E677" s="9">
        <v>1192</v>
      </c>
      <c r="F677" s="17">
        <v>15.95</v>
      </c>
      <c r="G677" s="11"/>
      <c r="H677" s="12">
        <f t="shared" si="18"/>
        <v>0.15953307392996108</v>
      </c>
      <c r="I677" s="13">
        <f t="shared" si="19"/>
        <v>31906.614785992217</v>
      </c>
      <c r="J677" s="13">
        <f t="shared" si="20"/>
        <v>31906.614785992217</v>
      </c>
      <c r="K677" s="13">
        <f t="shared" si="21"/>
        <v>0</v>
      </c>
      <c r="L677" s="13">
        <f t="shared" si="22"/>
        <v>6582060.1007479718</v>
      </c>
      <c r="M677" s="13">
        <f t="shared" si="23"/>
        <v>16582060.100747973</v>
      </c>
      <c r="N677" s="13">
        <f t="shared" si="24"/>
        <v>17385392.190022323</v>
      </c>
      <c r="O677" s="13">
        <f t="shared" si="25"/>
        <v>-803332.08927435055</v>
      </c>
      <c r="P677" s="12">
        <f t="shared" si="26"/>
        <v>-4.6207303263218424E-2</v>
      </c>
    </row>
    <row r="678" spans="1:16" ht="14.4" x14ac:dyDescent="0.3">
      <c r="A678" s="7" t="s">
        <v>567</v>
      </c>
      <c r="B678" s="8">
        <v>42551</v>
      </c>
      <c r="C678" s="9">
        <v>149.84</v>
      </c>
      <c r="D678" s="8">
        <v>42643</v>
      </c>
      <c r="E678" s="9">
        <v>124.6</v>
      </c>
      <c r="F678" s="17">
        <v>-16.84</v>
      </c>
      <c r="G678" s="11"/>
      <c r="H678" s="12">
        <f t="shared" si="18"/>
        <v>-0.16844634276561671</v>
      </c>
      <c r="I678" s="13">
        <f t="shared" si="19"/>
        <v>-33689.268553123344</v>
      </c>
      <c r="J678" s="13">
        <f t="shared" si="20"/>
        <v>0</v>
      </c>
      <c r="K678" s="13">
        <f t="shared" si="21"/>
        <v>-33689.268553123344</v>
      </c>
      <c r="L678" s="13">
        <f t="shared" si="22"/>
        <v>6548370.832194848</v>
      </c>
      <c r="M678" s="13">
        <f t="shared" si="23"/>
        <v>16548370.832194848</v>
      </c>
      <c r="N678" s="13">
        <f t="shared" si="24"/>
        <v>17385392.190022323</v>
      </c>
      <c r="O678" s="13">
        <f t="shared" si="25"/>
        <v>-837021.35782747529</v>
      </c>
      <c r="P678" s="12">
        <f t="shared" si="26"/>
        <v>-4.8145094955513945E-2</v>
      </c>
    </row>
    <row r="679" spans="1:16" ht="14.4" x14ac:dyDescent="0.3">
      <c r="A679" s="7" t="s">
        <v>589</v>
      </c>
      <c r="B679" s="8">
        <v>42551</v>
      </c>
      <c r="C679" s="9">
        <v>153.47999999999999</v>
      </c>
      <c r="D679" s="8">
        <v>42643</v>
      </c>
      <c r="E679" s="9">
        <v>150.74</v>
      </c>
      <c r="F679" s="17">
        <v>-1.79</v>
      </c>
      <c r="G679" s="11"/>
      <c r="H679" s="12">
        <f t="shared" si="18"/>
        <v>-1.7852488923638134E-2</v>
      </c>
      <c r="I679" s="13">
        <f t="shared" si="19"/>
        <v>-3570.4977847276268</v>
      </c>
      <c r="J679" s="13">
        <f t="shared" si="20"/>
        <v>0</v>
      </c>
      <c r="K679" s="13">
        <f t="shared" si="21"/>
        <v>-3570.4977847276268</v>
      </c>
      <c r="L679" s="13">
        <f t="shared" si="22"/>
        <v>6544800.3344101207</v>
      </c>
      <c r="M679" s="13">
        <f t="shared" si="23"/>
        <v>16544800.33441012</v>
      </c>
      <c r="N679" s="13">
        <f t="shared" si="24"/>
        <v>17385392.190022323</v>
      </c>
      <c r="O679" s="13">
        <f t="shared" si="25"/>
        <v>-840591.85561220348</v>
      </c>
      <c r="P679" s="12">
        <f t="shared" si="26"/>
        <v>-4.8350468394646212E-2</v>
      </c>
    </row>
    <row r="680" spans="1:16" ht="14.4" x14ac:dyDescent="0.3">
      <c r="A680" s="7" t="s">
        <v>590</v>
      </c>
      <c r="B680" s="8">
        <v>42551</v>
      </c>
      <c r="C680" s="9">
        <v>225.4</v>
      </c>
      <c r="D680" s="8">
        <v>42643</v>
      </c>
      <c r="E680" s="9">
        <v>222</v>
      </c>
      <c r="F680" s="17">
        <v>-1.51</v>
      </c>
      <c r="G680" s="11"/>
      <c r="H680" s="12">
        <f t="shared" si="18"/>
        <v>-1.5084294587400203E-2</v>
      </c>
      <c r="I680" s="13">
        <f t="shared" si="19"/>
        <v>-3016.8589174800404</v>
      </c>
      <c r="J680" s="13">
        <f t="shared" si="20"/>
        <v>0</v>
      </c>
      <c r="K680" s="13">
        <f t="shared" si="21"/>
        <v>-3016.8589174800404</v>
      </c>
      <c r="L680" s="13">
        <f t="shared" si="22"/>
        <v>6541783.4754926404</v>
      </c>
      <c r="M680" s="13">
        <f t="shared" si="23"/>
        <v>16541783.475492641</v>
      </c>
      <c r="N680" s="13">
        <f t="shared" si="24"/>
        <v>17385392.190022323</v>
      </c>
      <c r="O680" s="13">
        <f t="shared" si="25"/>
        <v>-843608.71452968195</v>
      </c>
      <c r="P680" s="12">
        <f t="shared" si="26"/>
        <v>-4.8523996773212785E-2</v>
      </c>
    </row>
    <row r="681" spans="1:16" ht="14.4" x14ac:dyDescent="0.3">
      <c r="A681" s="7" t="s">
        <v>42</v>
      </c>
      <c r="B681" s="8">
        <v>42551</v>
      </c>
      <c r="C681" s="9">
        <v>2409.1999999999998</v>
      </c>
      <c r="D681" s="8">
        <v>42643</v>
      </c>
      <c r="E681" s="9">
        <v>2379.85</v>
      </c>
      <c r="F681" s="17">
        <v>-1.22</v>
      </c>
      <c r="G681" s="11"/>
      <c r="H681" s="12">
        <f t="shared" si="18"/>
        <v>-1.2182467209032008E-2</v>
      </c>
      <c r="I681" s="13">
        <f t="shared" si="19"/>
        <v>-2436.4934418064017</v>
      </c>
      <c r="J681" s="13">
        <f t="shared" si="20"/>
        <v>0</v>
      </c>
      <c r="K681" s="13">
        <f t="shared" si="21"/>
        <v>-2436.4934418064017</v>
      </c>
      <c r="L681" s="13">
        <f t="shared" si="22"/>
        <v>6539346.9820508342</v>
      </c>
      <c r="M681" s="13">
        <f t="shared" si="23"/>
        <v>16539346.982050834</v>
      </c>
      <c r="N681" s="13">
        <f t="shared" si="24"/>
        <v>17385392.190022323</v>
      </c>
      <c r="O681" s="13">
        <f t="shared" si="25"/>
        <v>-846045.20797148906</v>
      </c>
      <c r="P681" s="12">
        <f t="shared" si="26"/>
        <v>-4.8664142788624819E-2</v>
      </c>
    </row>
    <row r="682" spans="1:16" ht="14.4" x14ac:dyDescent="0.3">
      <c r="A682" s="7" t="s">
        <v>591</v>
      </c>
      <c r="B682" s="8">
        <v>42551</v>
      </c>
      <c r="C682" s="9">
        <v>302.75</v>
      </c>
      <c r="D682" s="8">
        <v>42643</v>
      </c>
      <c r="E682" s="9">
        <v>257.14999999999998</v>
      </c>
      <c r="F682" s="17">
        <v>-15.06</v>
      </c>
      <c r="G682" s="11"/>
      <c r="H682" s="12">
        <f t="shared" si="18"/>
        <v>-0.1506193228736582</v>
      </c>
      <c r="I682" s="13">
        <f t="shared" si="19"/>
        <v>-30123.86457473164</v>
      </c>
      <c r="J682" s="13">
        <f t="shared" si="20"/>
        <v>0</v>
      </c>
      <c r="K682" s="13">
        <f t="shared" si="21"/>
        <v>-30123.86457473164</v>
      </c>
      <c r="L682" s="13">
        <f t="shared" si="22"/>
        <v>6509223.1174761029</v>
      </c>
      <c r="M682" s="13">
        <f t="shared" si="23"/>
        <v>16509223.117476102</v>
      </c>
      <c r="N682" s="13">
        <f t="shared" si="24"/>
        <v>17385392.190022323</v>
      </c>
      <c r="O682" s="13">
        <f t="shared" si="25"/>
        <v>-876169.07254622132</v>
      </c>
      <c r="P682" s="12">
        <f t="shared" si="26"/>
        <v>-5.0396854035255234E-2</v>
      </c>
    </row>
    <row r="683" spans="1:16" ht="14.4" x14ac:dyDescent="0.3">
      <c r="A683" s="7" t="s">
        <v>592</v>
      </c>
      <c r="B683" s="8">
        <v>42551</v>
      </c>
      <c r="C683" s="9">
        <v>279.02999999999997</v>
      </c>
      <c r="D683" s="8">
        <v>42643</v>
      </c>
      <c r="E683" s="9">
        <v>270.02999999999997</v>
      </c>
      <c r="F683" s="17">
        <v>-3.23</v>
      </c>
      <c r="G683" s="11"/>
      <c r="H683" s="12">
        <f t="shared" si="18"/>
        <v>-3.2254596279969898E-2</v>
      </c>
      <c r="I683" s="13">
        <f t="shared" si="19"/>
        <v>-6450.9192559939793</v>
      </c>
      <c r="J683" s="13">
        <f t="shared" si="20"/>
        <v>0</v>
      </c>
      <c r="K683" s="13">
        <f t="shared" si="21"/>
        <v>-6450.9192559939793</v>
      </c>
      <c r="L683" s="13">
        <f t="shared" si="22"/>
        <v>6502772.1982201086</v>
      </c>
      <c r="M683" s="13">
        <f t="shared" si="23"/>
        <v>16502772.198220108</v>
      </c>
      <c r="N683" s="13">
        <f t="shared" si="24"/>
        <v>17385392.190022323</v>
      </c>
      <c r="O683" s="13">
        <f t="shared" si="25"/>
        <v>-882619.99180221558</v>
      </c>
      <c r="P683" s="12">
        <f t="shared" si="26"/>
        <v>-5.076790803193737E-2</v>
      </c>
    </row>
    <row r="684" spans="1:16" ht="14.4" x14ac:dyDescent="0.3">
      <c r="A684" s="7" t="s">
        <v>44</v>
      </c>
      <c r="B684" s="8">
        <v>42551</v>
      </c>
      <c r="C684" s="9">
        <v>348</v>
      </c>
      <c r="D684" s="8">
        <v>42643</v>
      </c>
      <c r="E684" s="9">
        <v>426.75</v>
      </c>
      <c r="F684" s="17">
        <v>22.63</v>
      </c>
      <c r="G684" s="11"/>
      <c r="H684" s="12">
        <f t="shared" si="18"/>
        <v>0.22629310344827586</v>
      </c>
      <c r="I684" s="13">
        <f t="shared" si="19"/>
        <v>45258.620689655174</v>
      </c>
      <c r="J684" s="13">
        <f t="shared" si="20"/>
        <v>45258.620689655174</v>
      </c>
      <c r="K684" s="13">
        <f t="shared" si="21"/>
        <v>0</v>
      </c>
      <c r="L684" s="13">
        <f t="shared" si="22"/>
        <v>6548030.8189097634</v>
      </c>
      <c r="M684" s="13">
        <f t="shared" si="23"/>
        <v>16548030.818909764</v>
      </c>
      <c r="N684" s="13">
        <f t="shared" si="24"/>
        <v>17385392.190022323</v>
      </c>
      <c r="O684" s="13">
        <f t="shared" si="25"/>
        <v>-837361.37111255899</v>
      </c>
      <c r="P684" s="12">
        <f t="shared" si="26"/>
        <v>-4.8164652367930494E-2</v>
      </c>
    </row>
    <row r="685" spans="1:16" ht="14.4" x14ac:dyDescent="0.3">
      <c r="A685" s="7" t="s">
        <v>593</v>
      </c>
      <c r="B685" s="8">
        <v>42551</v>
      </c>
      <c r="C685" s="9">
        <v>160.85</v>
      </c>
      <c r="D685" s="8">
        <v>42643</v>
      </c>
      <c r="E685" s="9">
        <v>150</v>
      </c>
      <c r="F685" s="17">
        <v>-6.75</v>
      </c>
      <c r="G685" s="11"/>
      <c r="H685" s="12">
        <f t="shared" si="18"/>
        <v>-6.7454149829033222E-2</v>
      </c>
      <c r="I685" s="13">
        <f t="shared" si="19"/>
        <v>-13490.829965806644</v>
      </c>
      <c r="J685" s="13">
        <f t="shared" si="20"/>
        <v>0</v>
      </c>
      <c r="K685" s="13">
        <f t="shared" si="21"/>
        <v>-13490.829965806644</v>
      </c>
      <c r="L685" s="13">
        <f t="shared" si="22"/>
        <v>6534539.9889439568</v>
      </c>
      <c r="M685" s="13">
        <f t="shared" si="23"/>
        <v>16534539.988943957</v>
      </c>
      <c r="N685" s="13">
        <f t="shared" si="24"/>
        <v>17385392.190022323</v>
      </c>
      <c r="O685" s="13">
        <f t="shared" si="25"/>
        <v>-850852.20107836649</v>
      </c>
      <c r="P685" s="12">
        <f t="shared" si="26"/>
        <v>-4.8940638886862751E-2</v>
      </c>
    </row>
    <row r="686" spans="1:16" ht="14.4" x14ac:dyDescent="0.3">
      <c r="A686" s="7" t="s">
        <v>594</v>
      </c>
      <c r="B686" s="8">
        <v>42551</v>
      </c>
      <c r="C686" s="9">
        <v>682.65</v>
      </c>
      <c r="D686" s="8">
        <v>42643</v>
      </c>
      <c r="E686" s="9">
        <v>1110</v>
      </c>
      <c r="F686" s="17">
        <v>62.6</v>
      </c>
      <c r="G686" s="11"/>
      <c r="H686" s="12">
        <f t="shared" si="18"/>
        <v>0.6260162601626017</v>
      </c>
      <c r="I686" s="13">
        <f t="shared" si="19"/>
        <v>125203.25203252034</v>
      </c>
      <c r="J686" s="13">
        <f t="shared" si="20"/>
        <v>125203.25203252034</v>
      </c>
      <c r="K686" s="13">
        <f t="shared" si="21"/>
        <v>0</v>
      </c>
      <c r="L686" s="13">
        <f t="shared" si="22"/>
        <v>6659743.240976477</v>
      </c>
      <c r="M686" s="13">
        <f t="shared" si="23"/>
        <v>16659743.240976477</v>
      </c>
      <c r="N686" s="13">
        <f t="shared" si="24"/>
        <v>17385392.190022323</v>
      </c>
      <c r="O686" s="13">
        <f t="shared" si="25"/>
        <v>-725648.94904584624</v>
      </c>
      <c r="P686" s="12">
        <f t="shared" si="26"/>
        <v>-4.1739003705783782E-2</v>
      </c>
    </row>
    <row r="687" spans="1:16" ht="14.4" x14ac:dyDescent="0.3">
      <c r="A687" s="7" t="s">
        <v>595</v>
      </c>
      <c r="B687" s="8">
        <v>42369</v>
      </c>
      <c r="C687" s="9">
        <v>248.4</v>
      </c>
      <c r="D687" s="8">
        <v>42551</v>
      </c>
      <c r="E687" s="9">
        <v>399.6</v>
      </c>
      <c r="F687" s="17">
        <v>60.87</v>
      </c>
      <c r="G687" s="11"/>
      <c r="H687" s="12">
        <f t="shared" si="18"/>
        <v>0.60869565217391308</v>
      </c>
      <c r="I687" s="13">
        <f t="shared" si="19"/>
        <v>121739.13043478262</v>
      </c>
      <c r="J687" s="13">
        <f t="shared" si="20"/>
        <v>121739.13043478262</v>
      </c>
      <c r="K687" s="13">
        <f t="shared" si="21"/>
        <v>0</v>
      </c>
      <c r="L687" s="13">
        <f t="shared" si="22"/>
        <v>6781482.3714112593</v>
      </c>
      <c r="M687" s="13">
        <f t="shared" si="23"/>
        <v>16781482.37141126</v>
      </c>
      <c r="N687" s="13">
        <f t="shared" si="24"/>
        <v>17385392.190022323</v>
      </c>
      <c r="O687" s="13">
        <f t="shared" si="25"/>
        <v>-603909.81861106306</v>
      </c>
      <c r="P687" s="12">
        <f t="shared" si="26"/>
        <v>-3.4736623253035032E-2</v>
      </c>
    </row>
    <row r="688" spans="1:16" ht="14.4" x14ac:dyDescent="0.3">
      <c r="A688" s="7" t="s">
        <v>563</v>
      </c>
      <c r="B688" s="8">
        <v>42369</v>
      </c>
      <c r="C688" s="9">
        <v>26.02</v>
      </c>
      <c r="D688" s="8">
        <v>42551</v>
      </c>
      <c r="E688" s="9">
        <v>27.2</v>
      </c>
      <c r="F688" s="17">
        <v>4.53</v>
      </c>
      <c r="G688" s="11"/>
      <c r="H688" s="12">
        <f t="shared" si="18"/>
        <v>4.5349730976172162E-2</v>
      </c>
      <c r="I688" s="13">
        <f t="shared" si="19"/>
        <v>9069.9461952344318</v>
      </c>
      <c r="J688" s="13">
        <f t="shared" si="20"/>
        <v>9069.9461952344318</v>
      </c>
      <c r="K688" s="13">
        <f t="shared" si="21"/>
        <v>0</v>
      </c>
      <c r="L688" s="13">
        <f t="shared" si="22"/>
        <v>6790552.3176064938</v>
      </c>
      <c r="M688" s="13">
        <f t="shared" si="23"/>
        <v>16790552.317606494</v>
      </c>
      <c r="N688" s="13">
        <f t="shared" si="24"/>
        <v>17385392.190022323</v>
      </c>
      <c r="O688" s="13">
        <f t="shared" si="25"/>
        <v>-594839.87241582945</v>
      </c>
      <c r="P688" s="12">
        <f t="shared" si="26"/>
        <v>-3.4214923995629788E-2</v>
      </c>
    </row>
    <row r="689" spans="1:16" ht="14.4" x14ac:dyDescent="0.3">
      <c r="A689" s="7" t="s">
        <v>596</v>
      </c>
      <c r="B689" s="8">
        <v>42460</v>
      </c>
      <c r="C689" s="9">
        <v>55.13</v>
      </c>
      <c r="D689" s="8">
        <v>42551</v>
      </c>
      <c r="E689" s="9">
        <v>49.7</v>
      </c>
      <c r="F689" s="17">
        <v>-9.85</v>
      </c>
      <c r="G689" s="11"/>
      <c r="H689" s="12">
        <f t="shared" si="18"/>
        <v>-9.8494467621984397E-2</v>
      </c>
      <c r="I689" s="13">
        <f t="shared" si="19"/>
        <v>-19698.893524396881</v>
      </c>
      <c r="J689" s="13">
        <f t="shared" si="20"/>
        <v>0</v>
      </c>
      <c r="K689" s="13">
        <f t="shared" si="21"/>
        <v>-19698.893524396881</v>
      </c>
      <c r="L689" s="13">
        <f t="shared" si="22"/>
        <v>6770853.4240820967</v>
      </c>
      <c r="M689" s="13">
        <f t="shared" si="23"/>
        <v>16770853.424082097</v>
      </c>
      <c r="N689" s="13">
        <f t="shared" si="24"/>
        <v>17385392.190022323</v>
      </c>
      <c r="O689" s="13">
        <f t="shared" si="25"/>
        <v>-614538.76594022661</v>
      </c>
      <c r="P689" s="12">
        <f t="shared" si="26"/>
        <v>-3.5347995559911354E-2</v>
      </c>
    </row>
    <row r="690" spans="1:16" ht="14.4" x14ac:dyDescent="0.3">
      <c r="A690" s="7" t="s">
        <v>539</v>
      </c>
      <c r="B690" s="8">
        <v>42460</v>
      </c>
      <c r="C690" s="9">
        <v>24</v>
      </c>
      <c r="D690" s="8">
        <v>42551</v>
      </c>
      <c r="E690" s="9">
        <v>24.9</v>
      </c>
      <c r="F690" s="17">
        <v>3.75</v>
      </c>
      <c r="G690" s="11"/>
      <c r="H690" s="12">
        <f t="shared" si="18"/>
        <v>3.7499999999999943E-2</v>
      </c>
      <c r="I690" s="13">
        <f t="shared" si="19"/>
        <v>7499.9999999999882</v>
      </c>
      <c r="J690" s="13">
        <f t="shared" si="20"/>
        <v>7499.9999999999882</v>
      </c>
      <c r="K690" s="13">
        <f t="shared" si="21"/>
        <v>0</v>
      </c>
      <c r="L690" s="13">
        <f t="shared" si="22"/>
        <v>6778353.4240820967</v>
      </c>
      <c r="M690" s="13">
        <f t="shared" si="23"/>
        <v>16778353.424082097</v>
      </c>
      <c r="N690" s="13">
        <f t="shared" si="24"/>
        <v>17385392.190022323</v>
      </c>
      <c r="O690" s="13">
        <f t="shared" si="25"/>
        <v>-607038.76594022661</v>
      </c>
      <c r="P690" s="12">
        <f t="shared" si="26"/>
        <v>-3.49165989070188E-2</v>
      </c>
    </row>
    <row r="691" spans="1:16" ht="14.4" x14ac:dyDescent="0.3">
      <c r="A691" s="7" t="s">
        <v>597</v>
      </c>
      <c r="B691" s="8">
        <v>42460</v>
      </c>
      <c r="C691" s="9">
        <v>26.9</v>
      </c>
      <c r="D691" s="8">
        <v>42551</v>
      </c>
      <c r="E691" s="9">
        <v>32.85</v>
      </c>
      <c r="F691" s="17">
        <v>22.12</v>
      </c>
      <c r="G691" s="11"/>
      <c r="H691" s="12">
        <f t="shared" si="18"/>
        <v>0.22118959107806704</v>
      </c>
      <c r="I691" s="13">
        <f t="shared" si="19"/>
        <v>44237.918215613412</v>
      </c>
      <c r="J691" s="13">
        <f t="shared" si="20"/>
        <v>44237.918215613412</v>
      </c>
      <c r="K691" s="13">
        <f t="shared" si="21"/>
        <v>0</v>
      </c>
      <c r="L691" s="13">
        <f t="shared" si="22"/>
        <v>6822591.3422977105</v>
      </c>
      <c r="M691" s="13">
        <f t="shared" si="23"/>
        <v>16822591.34229771</v>
      </c>
      <c r="N691" s="13">
        <f t="shared" si="24"/>
        <v>17385392.190022323</v>
      </c>
      <c r="O691" s="13">
        <f t="shared" si="25"/>
        <v>-562800.8477246128</v>
      </c>
      <c r="P691" s="12">
        <f t="shared" si="26"/>
        <v>-3.2372053593798744E-2</v>
      </c>
    </row>
    <row r="692" spans="1:16" ht="14.4" x14ac:dyDescent="0.3">
      <c r="A692" s="7" t="s">
        <v>598</v>
      </c>
      <c r="B692" s="8">
        <v>42460</v>
      </c>
      <c r="C692" s="9">
        <v>250.7</v>
      </c>
      <c r="D692" s="8">
        <v>42551</v>
      </c>
      <c r="E692" s="9">
        <v>248.95</v>
      </c>
      <c r="F692" s="17">
        <v>-0.7</v>
      </c>
      <c r="G692" s="11"/>
      <c r="H692" s="12">
        <f t="shared" si="18"/>
        <v>-6.9804547267650584E-3</v>
      </c>
      <c r="I692" s="13">
        <f t="shared" si="19"/>
        <v>-1396.0909453530116</v>
      </c>
      <c r="J692" s="13">
        <f t="shared" si="20"/>
        <v>0</v>
      </c>
      <c r="K692" s="13">
        <f t="shared" si="21"/>
        <v>-1396.0909453530116</v>
      </c>
      <c r="L692" s="13">
        <f t="shared" si="22"/>
        <v>6821195.2513523577</v>
      </c>
      <c r="M692" s="13">
        <f t="shared" si="23"/>
        <v>16821195.251352359</v>
      </c>
      <c r="N692" s="13">
        <f t="shared" si="24"/>
        <v>17385392.190022323</v>
      </c>
      <c r="O692" s="13">
        <f t="shared" si="25"/>
        <v>-564196.93866996467</v>
      </c>
      <c r="P692" s="12">
        <f t="shared" si="26"/>
        <v>-3.2452356121926533E-2</v>
      </c>
    </row>
    <row r="693" spans="1:16" ht="14.4" x14ac:dyDescent="0.3">
      <c r="A693" s="7" t="s">
        <v>420</v>
      </c>
      <c r="B693" s="8">
        <v>42369</v>
      </c>
      <c r="C693" s="9">
        <v>370.45</v>
      </c>
      <c r="D693" s="8">
        <v>42460</v>
      </c>
      <c r="E693" s="9">
        <v>290.72000000000003</v>
      </c>
      <c r="F693" s="17">
        <v>-21.52</v>
      </c>
      <c r="G693" s="11"/>
      <c r="H693" s="12">
        <f t="shared" si="18"/>
        <v>-0.21522472668376288</v>
      </c>
      <c r="I693" s="13">
        <f t="shared" si="19"/>
        <v>-43044.945336752578</v>
      </c>
      <c r="J693" s="13">
        <f t="shared" si="20"/>
        <v>0</v>
      </c>
      <c r="K693" s="13">
        <f t="shared" si="21"/>
        <v>-43044.945336752578</v>
      </c>
      <c r="L693" s="13">
        <f t="shared" si="22"/>
        <v>6778150.3060156051</v>
      </c>
      <c r="M693" s="13">
        <f t="shared" si="23"/>
        <v>16778150.306015603</v>
      </c>
      <c r="N693" s="13">
        <f t="shared" si="24"/>
        <v>17385392.190022323</v>
      </c>
      <c r="O693" s="13">
        <f t="shared" si="25"/>
        <v>-607241.88400672004</v>
      </c>
      <c r="P693" s="12">
        <f t="shared" si="26"/>
        <v>-3.4928282167555766E-2</v>
      </c>
    </row>
    <row r="694" spans="1:16" ht="14.4" x14ac:dyDescent="0.3">
      <c r="A694" s="7" t="s">
        <v>599</v>
      </c>
      <c r="B694" s="8">
        <v>42369</v>
      </c>
      <c r="C694" s="9">
        <v>360.15</v>
      </c>
      <c r="D694" s="8">
        <v>42460</v>
      </c>
      <c r="E694" s="9">
        <v>305</v>
      </c>
      <c r="F694" s="17">
        <v>-15.31</v>
      </c>
      <c r="G694" s="11"/>
      <c r="H694" s="12">
        <f t="shared" si="18"/>
        <v>-0.15313064001110643</v>
      </c>
      <c r="I694" s="13">
        <f t="shared" si="19"/>
        <v>-30626.128002221285</v>
      </c>
      <c r="J694" s="13">
        <f t="shared" si="20"/>
        <v>0</v>
      </c>
      <c r="K694" s="13">
        <f t="shared" si="21"/>
        <v>-30626.128002221285</v>
      </c>
      <c r="L694" s="13">
        <f t="shared" si="22"/>
        <v>6747524.1780133834</v>
      </c>
      <c r="M694" s="13">
        <f t="shared" si="23"/>
        <v>16747524.178013384</v>
      </c>
      <c r="N694" s="13">
        <f t="shared" si="24"/>
        <v>17385392.190022323</v>
      </c>
      <c r="O694" s="13">
        <f t="shared" si="25"/>
        <v>-637868.01200893894</v>
      </c>
      <c r="P694" s="12">
        <f t="shared" si="26"/>
        <v>-3.6689883382384596E-2</v>
      </c>
    </row>
    <row r="695" spans="1:16" ht="14.4" x14ac:dyDescent="0.3">
      <c r="A695" s="7" t="s">
        <v>485</v>
      </c>
      <c r="B695" s="8">
        <v>42369</v>
      </c>
      <c r="C695" s="9">
        <v>73.8</v>
      </c>
      <c r="D695" s="8">
        <v>42460</v>
      </c>
      <c r="E695" s="9">
        <v>67.2</v>
      </c>
      <c r="F695" s="17">
        <v>-8.94</v>
      </c>
      <c r="G695" s="11"/>
      <c r="H695" s="12">
        <f t="shared" si="18"/>
        <v>-8.9430894308943021E-2</v>
      </c>
      <c r="I695" s="13">
        <f t="shared" si="19"/>
        <v>-17886.178861788605</v>
      </c>
      <c r="J695" s="13">
        <f t="shared" si="20"/>
        <v>0</v>
      </c>
      <c r="K695" s="13">
        <f t="shared" si="21"/>
        <v>-17886.178861788605</v>
      </c>
      <c r="L695" s="13">
        <f t="shared" si="22"/>
        <v>6729637.9991515949</v>
      </c>
      <c r="M695" s="13">
        <f t="shared" si="23"/>
        <v>16729637.999151595</v>
      </c>
      <c r="N695" s="13">
        <f t="shared" si="24"/>
        <v>17385392.190022323</v>
      </c>
      <c r="O695" s="13">
        <f t="shared" si="25"/>
        <v>-655754.19087072834</v>
      </c>
      <c r="P695" s="12">
        <f t="shared" si="26"/>
        <v>-3.7718688408253064E-2</v>
      </c>
    </row>
    <row r="696" spans="1:16" ht="14.4" x14ac:dyDescent="0.3">
      <c r="A696" s="7" t="s">
        <v>515</v>
      </c>
      <c r="B696" s="8">
        <v>42369</v>
      </c>
      <c r="C696" s="9">
        <v>63.18</v>
      </c>
      <c r="D696" s="8">
        <v>42460</v>
      </c>
      <c r="E696" s="9">
        <v>44.75</v>
      </c>
      <c r="F696" s="17">
        <v>-29.17</v>
      </c>
      <c r="G696" s="11"/>
      <c r="H696" s="12">
        <f t="shared" si="18"/>
        <v>-0.29170623615068059</v>
      </c>
      <c r="I696" s="13">
        <f t="shared" si="19"/>
        <v>-58341.247230136119</v>
      </c>
      <c r="J696" s="13">
        <f t="shared" si="20"/>
        <v>0</v>
      </c>
      <c r="K696" s="13">
        <f t="shared" si="21"/>
        <v>-58341.247230136119</v>
      </c>
      <c r="L696" s="13">
        <f t="shared" si="22"/>
        <v>6671296.7519214591</v>
      </c>
      <c r="M696" s="13">
        <f t="shared" si="23"/>
        <v>16671296.75192146</v>
      </c>
      <c r="N696" s="13">
        <f t="shared" si="24"/>
        <v>17385392.190022323</v>
      </c>
      <c r="O696" s="13">
        <f t="shared" si="25"/>
        <v>-714095.43810086325</v>
      </c>
      <c r="P696" s="12">
        <f t="shared" si="26"/>
        <v>-4.1074450912340695E-2</v>
      </c>
    </row>
    <row r="697" spans="1:16" ht="14.4" x14ac:dyDescent="0.3">
      <c r="A697" s="7" t="s">
        <v>600</v>
      </c>
      <c r="B697" s="8">
        <v>42369</v>
      </c>
      <c r="C697" s="9">
        <v>51.2</v>
      </c>
      <c r="D697" s="8">
        <v>42460</v>
      </c>
      <c r="E697" s="9">
        <v>33.700000000000003</v>
      </c>
      <c r="F697" s="17">
        <v>-34.18</v>
      </c>
      <c r="G697" s="11"/>
      <c r="H697" s="12">
        <f t="shared" si="18"/>
        <v>-0.341796875</v>
      </c>
      <c r="I697" s="13">
        <f t="shared" si="19"/>
        <v>-68359.375</v>
      </c>
      <c r="J697" s="13">
        <f t="shared" si="20"/>
        <v>0</v>
      </c>
      <c r="K697" s="13">
        <f t="shared" si="21"/>
        <v>-68359.375</v>
      </c>
      <c r="L697" s="13">
        <f t="shared" si="22"/>
        <v>6602937.3769214591</v>
      </c>
      <c r="M697" s="13">
        <f t="shared" si="23"/>
        <v>16602937.37692146</v>
      </c>
      <c r="N697" s="13">
        <f t="shared" si="24"/>
        <v>17385392.190022323</v>
      </c>
      <c r="O697" s="13">
        <f t="shared" si="25"/>
        <v>-782454.81310086325</v>
      </c>
      <c r="P697" s="12">
        <f t="shared" si="26"/>
        <v>-4.5006451654850968E-2</v>
      </c>
    </row>
    <row r="698" spans="1:16" ht="14.4" x14ac:dyDescent="0.3">
      <c r="A698" s="7" t="s">
        <v>576</v>
      </c>
      <c r="B698" s="8">
        <v>42369</v>
      </c>
      <c r="C698" s="9">
        <v>489</v>
      </c>
      <c r="D698" s="8">
        <v>42460</v>
      </c>
      <c r="E698" s="9">
        <v>379.5</v>
      </c>
      <c r="F698" s="17">
        <v>-22.39</v>
      </c>
      <c r="G698" s="11"/>
      <c r="H698" s="12">
        <f t="shared" si="18"/>
        <v>-0.22392638036809817</v>
      </c>
      <c r="I698" s="13">
        <f t="shared" si="19"/>
        <v>-44785.276073619636</v>
      </c>
      <c r="J698" s="13">
        <f t="shared" si="20"/>
        <v>0</v>
      </c>
      <c r="K698" s="13">
        <f t="shared" si="21"/>
        <v>-44785.276073619636</v>
      </c>
      <c r="L698" s="13">
        <f t="shared" si="22"/>
        <v>6558152.1008478394</v>
      </c>
      <c r="M698" s="13">
        <f t="shared" si="23"/>
        <v>16558152.10084784</v>
      </c>
      <c r="N698" s="13">
        <f t="shared" si="24"/>
        <v>17385392.190022323</v>
      </c>
      <c r="O698" s="13">
        <f t="shared" si="25"/>
        <v>-827240.08917448297</v>
      </c>
      <c r="P698" s="12">
        <f t="shared" si="26"/>
        <v>-4.7582480747788113E-2</v>
      </c>
    </row>
    <row r="699" spans="1:16" ht="14.4" x14ac:dyDescent="0.3">
      <c r="A699" s="7" t="s">
        <v>386</v>
      </c>
      <c r="B699" s="8">
        <v>42369</v>
      </c>
      <c r="C699" s="9">
        <v>929.1</v>
      </c>
      <c r="D699" s="8">
        <v>42460</v>
      </c>
      <c r="E699" s="9">
        <v>800</v>
      </c>
      <c r="F699" s="17">
        <v>-13.9</v>
      </c>
      <c r="G699" s="11"/>
      <c r="H699" s="12">
        <f t="shared" si="18"/>
        <v>-0.13895167366268435</v>
      </c>
      <c r="I699" s="13">
        <f t="shared" si="19"/>
        <v>-27790.33473253687</v>
      </c>
      <c r="J699" s="13">
        <f t="shared" si="20"/>
        <v>0</v>
      </c>
      <c r="K699" s="13">
        <f t="shared" si="21"/>
        <v>-27790.33473253687</v>
      </c>
      <c r="L699" s="13">
        <f t="shared" si="22"/>
        <v>6530361.7661153022</v>
      </c>
      <c r="M699" s="13">
        <f t="shared" si="23"/>
        <v>16530361.766115302</v>
      </c>
      <c r="N699" s="13">
        <f t="shared" si="24"/>
        <v>17385392.190022323</v>
      </c>
      <c r="O699" s="13">
        <f t="shared" si="25"/>
        <v>-855030.42390702106</v>
      </c>
      <c r="P699" s="12">
        <f t="shared" si="26"/>
        <v>-4.9180968399305532E-2</v>
      </c>
    </row>
    <row r="700" spans="1:16" ht="14.4" x14ac:dyDescent="0.3">
      <c r="A700" s="7" t="s">
        <v>601</v>
      </c>
      <c r="B700" s="8">
        <v>42277</v>
      </c>
      <c r="C700" s="9">
        <v>126.2</v>
      </c>
      <c r="D700" s="8">
        <v>42369</v>
      </c>
      <c r="E700" s="9">
        <v>180.55</v>
      </c>
      <c r="F700" s="17">
        <v>43.07</v>
      </c>
      <c r="G700" s="11"/>
      <c r="H700" s="12">
        <f t="shared" si="18"/>
        <v>0.43066561014263083</v>
      </c>
      <c r="I700" s="13">
        <f t="shared" si="19"/>
        <v>86133.122028526166</v>
      </c>
      <c r="J700" s="13">
        <f t="shared" si="20"/>
        <v>86133.122028526166</v>
      </c>
      <c r="K700" s="13">
        <f t="shared" si="21"/>
        <v>0</v>
      </c>
      <c r="L700" s="13">
        <f t="shared" si="22"/>
        <v>6616494.8881438281</v>
      </c>
      <c r="M700" s="13">
        <f t="shared" si="23"/>
        <v>16616494.888143828</v>
      </c>
      <c r="N700" s="13">
        <f t="shared" si="24"/>
        <v>17385392.190022323</v>
      </c>
      <c r="O700" s="13">
        <f t="shared" si="25"/>
        <v>-768897.30187849514</v>
      </c>
      <c r="P700" s="12">
        <f t="shared" si="26"/>
        <v>-4.422662965979992E-2</v>
      </c>
    </row>
    <row r="701" spans="1:16" ht="14.4" x14ac:dyDescent="0.3">
      <c r="A701" s="7" t="s">
        <v>602</v>
      </c>
      <c r="B701" s="8">
        <v>42277</v>
      </c>
      <c r="C701" s="9">
        <v>103.15</v>
      </c>
      <c r="D701" s="8">
        <v>42369</v>
      </c>
      <c r="E701" s="9">
        <v>140.4</v>
      </c>
      <c r="F701" s="17">
        <v>36.11</v>
      </c>
      <c r="G701" s="11"/>
      <c r="H701" s="12">
        <f t="shared" si="18"/>
        <v>0.36112457586039748</v>
      </c>
      <c r="I701" s="13">
        <f t="shared" si="19"/>
        <v>72224.915172079491</v>
      </c>
      <c r="J701" s="13">
        <f t="shared" si="20"/>
        <v>72224.915172079491</v>
      </c>
      <c r="K701" s="13">
        <f t="shared" si="21"/>
        <v>0</v>
      </c>
      <c r="L701" s="13">
        <f t="shared" si="22"/>
        <v>6688719.8033159077</v>
      </c>
      <c r="M701" s="13">
        <f t="shared" si="23"/>
        <v>16688719.803315908</v>
      </c>
      <c r="N701" s="13">
        <f t="shared" si="24"/>
        <v>17385392.190022323</v>
      </c>
      <c r="O701" s="13">
        <f t="shared" si="25"/>
        <v>-696672.38670641556</v>
      </c>
      <c r="P701" s="12">
        <f t="shared" si="26"/>
        <v>-4.0072284771708738E-2</v>
      </c>
    </row>
    <row r="702" spans="1:16" ht="14.4" x14ac:dyDescent="0.3">
      <c r="A702" s="7" t="s">
        <v>555</v>
      </c>
      <c r="B702" s="8">
        <v>42277</v>
      </c>
      <c r="C702" s="9">
        <v>56.4</v>
      </c>
      <c r="D702" s="8">
        <v>42369</v>
      </c>
      <c r="E702" s="9">
        <v>56.55</v>
      </c>
      <c r="F702" s="17">
        <v>0.27</v>
      </c>
      <c r="G702" s="11"/>
      <c r="H702" s="12">
        <f t="shared" si="18"/>
        <v>2.6595744680850812E-3</v>
      </c>
      <c r="I702" s="13">
        <f t="shared" si="19"/>
        <v>531.91489361701622</v>
      </c>
      <c r="J702" s="13">
        <f t="shared" si="20"/>
        <v>531.91489361701622</v>
      </c>
      <c r="K702" s="13">
        <f t="shared" si="21"/>
        <v>0</v>
      </c>
      <c r="L702" s="13">
        <f t="shared" si="22"/>
        <v>6689251.7182095246</v>
      </c>
      <c r="M702" s="13">
        <f t="shared" si="23"/>
        <v>16689251.718209524</v>
      </c>
      <c r="N702" s="13">
        <f t="shared" si="24"/>
        <v>17385392.190022323</v>
      </c>
      <c r="O702" s="13">
        <f t="shared" si="25"/>
        <v>-696140.47181279957</v>
      </c>
      <c r="P702" s="12">
        <f t="shared" si="26"/>
        <v>-4.0041689264411449E-2</v>
      </c>
    </row>
    <row r="703" spans="1:16" ht="14.4" x14ac:dyDescent="0.3">
      <c r="A703" s="7" t="s">
        <v>466</v>
      </c>
      <c r="B703" s="8">
        <v>42277</v>
      </c>
      <c r="C703" s="9">
        <v>70.25</v>
      </c>
      <c r="D703" s="8">
        <v>42369</v>
      </c>
      <c r="E703" s="9">
        <v>68.150000000000006</v>
      </c>
      <c r="F703" s="17">
        <v>-2.99</v>
      </c>
      <c r="G703" s="11"/>
      <c r="H703" s="12">
        <f t="shared" si="18"/>
        <v>-2.9893238434163621E-2</v>
      </c>
      <c r="I703" s="13">
        <f t="shared" si="19"/>
        <v>-5978.6476868327245</v>
      </c>
      <c r="J703" s="13">
        <f t="shared" si="20"/>
        <v>0</v>
      </c>
      <c r="K703" s="13">
        <f t="shared" si="21"/>
        <v>-5978.6476868327245</v>
      </c>
      <c r="L703" s="13">
        <f t="shared" si="22"/>
        <v>6683273.0705226921</v>
      </c>
      <c r="M703" s="13">
        <f t="shared" si="23"/>
        <v>16683273.070522692</v>
      </c>
      <c r="N703" s="13">
        <f t="shared" si="24"/>
        <v>17385392.190022323</v>
      </c>
      <c r="O703" s="13">
        <f t="shared" si="25"/>
        <v>-702119.11949963123</v>
      </c>
      <c r="P703" s="12">
        <f t="shared" si="26"/>
        <v>-4.0385578411201183E-2</v>
      </c>
    </row>
    <row r="704" spans="1:16" ht="14.4" x14ac:dyDescent="0.3">
      <c r="A704" s="7" t="s">
        <v>603</v>
      </c>
      <c r="B704" s="8">
        <v>42277</v>
      </c>
      <c r="C704" s="9">
        <v>20.55</v>
      </c>
      <c r="D704" s="8">
        <v>42369</v>
      </c>
      <c r="E704" s="9">
        <v>19.95</v>
      </c>
      <c r="F704" s="17">
        <v>-2.92</v>
      </c>
      <c r="G704" s="11"/>
      <c r="H704" s="12">
        <f t="shared" si="18"/>
        <v>-2.9197080291970871E-2</v>
      </c>
      <c r="I704" s="13">
        <f t="shared" si="19"/>
        <v>-5839.4160583941739</v>
      </c>
      <c r="J704" s="13">
        <f t="shared" si="20"/>
        <v>0</v>
      </c>
      <c r="K704" s="13">
        <f t="shared" si="21"/>
        <v>-5839.4160583941739</v>
      </c>
      <c r="L704" s="13">
        <f t="shared" si="22"/>
        <v>6677433.6544642979</v>
      </c>
      <c r="M704" s="13">
        <f t="shared" si="23"/>
        <v>16677433.654464297</v>
      </c>
      <c r="N704" s="13">
        <f t="shared" si="24"/>
        <v>17385392.190022323</v>
      </c>
      <c r="O704" s="13">
        <f t="shared" si="25"/>
        <v>-707958.53555802628</v>
      </c>
      <c r="P704" s="12">
        <f t="shared" si="26"/>
        <v>-4.0721459016859675E-2</v>
      </c>
    </row>
    <row r="705" spans="1:16" ht="14.4" x14ac:dyDescent="0.3">
      <c r="A705" s="7" t="s">
        <v>295</v>
      </c>
      <c r="B705" s="8">
        <v>42185</v>
      </c>
      <c r="C705" s="9">
        <v>93.55</v>
      </c>
      <c r="D705" s="8">
        <v>42277</v>
      </c>
      <c r="E705" s="9">
        <v>208.1</v>
      </c>
      <c r="F705" s="17">
        <v>122.45</v>
      </c>
      <c r="G705" s="11"/>
      <c r="H705" s="12">
        <f t="shared" si="18"/>
        <v>1.2244788882950295</v>
      </c>
      <c r="I705" s="13">
        <f t="shared" si="19"/>
        <v>244895.77765900589</v>
      </c>
      <c r="J705" s="13">
        <f t="shared" si="20"/>
        <v>244895.77765900589</v>
      </c>
      <c r="K705" s="13">
        <f t="shared" si="21"/>
        <v>0</v>
      </c>
      <c r="L705" s="13">
        <f t="shared" si="22"/>
        <v>6922329.4321233034</v>
      </c>
      <c r="M705" s="13">
        <f t="shared" si="23"/>
        <v>16922329.432123303</v>
      </c>
      <c r="N705" s="13">
        <f t="shared" si="24"/>
        <v>17385392.190022323</v>
      </c>
      <c r="O705" s="13">
        <f t="shared" si="25"/>
        <v>-463062.75789901987</v>
      </c>
      <c r="P705" s="12">
        <f t="shared" si="26"/>
        <v>-2.6635163178244371E-2</v>
      </c>
    </row>
    <row r="706" spans="1:16" ht="14.4" x14ac:dyDescent="0.3">
      <c r="A706" s="7" t="s">
        <v>604</v>
      </c>
      <c r="B706" s="8">
        <v>42185</v>
      </c>
      <c r="C706" s="9">
        <v>1233</v>
      </c>
      <c r="D706" s="8">
        <v>42277</v>
      </c>
      <c r="E706" s="9">
        <v>1630</v>
      </c>
      <c r="F706" s="17">
        <v>32.200000000000003</v>
      </c>
      <c r="G706" s="11"/>
      <c r="H706" s="12">
        <f t="shared" si="18"/>
        <v>0.32197891321978911</v>
      </c>
      <c r="I706" s="13">
        <f t="shared" si="19"/>
        <v>64395.78264395782</v>
      </c>
      <c r="J706" s="13">
        <f t="shared" si="20"/>
        <v>64395.78264395782</v>
      </c>
      <c r="K706" s="13">
        <f t="shared" si="21"/>
        <v>0</v>
      </c>
      <c r="L706" s="13">
        <f t="shared" si="22"/>
        <v>6986725.2147672614</v>
      </c>
      <c r="M706" s="13">
        <f t="shared" si="23"/>
        <v>16986725.214767262</v>
      </c>
      <c r="N706" s="13">
        <f t="shared" si="24"/>
        <v>17385392.190022323</v>
      </c>
      <c r="O706" s="13">
        <f t="shared" si="25"/>
        <v>-398666.97525506094</v>
      </c>
      <c r="P706" s="12">
        <f t="shared" si="26"/>
        <v>-2.2931146499177654E-2</v>
      </c>
    </row>
    <row r="707" spans="1:16" ht="14.4" x14ac:dyDescent="0.3">
      <c r="A707" s="7" t="s">
        <v>605</v>
      </c>
      <c r="B707" s="8">
        <v>42185</v>
      </c>
      <c r="C707" s="9">
        <v>74.05</v>
      </c>
      <c r="D707" s="8">
        <v>42277</v>
      </c>
      <c r="E707" s="9">
        <v>56.5</v>
      </c>
      <c r="F707" s="17">
        <v>-23.7</v>
      </c>
      <c r="G707" s="11"/>
      <c r="H707" s="12">
        <f t="shared" si="18"/>
        <v>-0.23700202565833894</v>
      </c>
      <c r="I707" s="13">
        <f t="shared" si="19"/>
        <v>-47400.405131667787</v>
      </c>
      <c r="J707" s="13">
        <f t="shared" si="20"/>
        <v>0</v>
      </c>
      <c r="K707" s="13">
        <f t="shared" si="21"/>
        <v>-47400.405131667787</v>
      </c>
      <c r="L707" s="13">
        <f t="shared" si="22"/>
        <v>6939324.8096355936</v>
      </c>
      <c r="M707" s="13">
        <f t="shared" si="23"/>
        <v>16939324.809635594</v>
      </c>
      <c r="N707" s="13">
        <f t="shared" si="24"/>
        <v>17385392.190022323</v>
      </c>
      <c r="O707" s="13">
        <f t="shared" si="25"/>
        <v>-446067.38038672879</v>
      </c>
      <c r="P707" s="12">
        <f t="shared" si="26"/>
        <v>-2.5657596648451336E-2</v>
      </c>
    </row>
    <row r="708" spans="1:16" ht="14.4" x14ac:dyDescent="0.3">
      <c r="A708" s="7" t="s">
        <v>574</v>
      </c>
      <c r="B708" s="8">
        <v>42185</v>
      </c>
      <c r="C708" s="9">
        <v>89.2</v>
      </c>
      <c r="D708" s="8">
        <v>42277</v>
      </c>
      <c r="E708" s="9">
        <v>157</v>
      </c>
      <c r="F708" s="17">
        <v>76.010000000000005</v>
      </c>
      <c r="G708" s="11"/>
      <c r="H708" s="12">
        <f t="shared" si="18"/>
        <v>0.76008968609865468</v>
      </c>
      <c r="I708" s="13">
        <f t="shared" si="19"/>
        <v>152017.93721973093</v>
      </c>
      <c r="J708" s="13">
        <f t="shared" si="20"/>
        <v>152017.93721973093</v>
      </c>
      <c r="K708" s="13">
        <f t="shared" si="21"/>
        <v>0</v>
      </c>
      <c r="L708" s="13">
        <f t="shared" si="22"/>
        <v>7091342.7468553241</v>
      </c>
      <c r="M708" s="13">
        <f t="shared" si="23"/>
        <v>17091342.746855326</v>
      </c>
      <c r="N708" s="13">
        <f t="shared" si="24"/>
        <v>17385392.190022323</v>
      </c>
      <c r="O708" s="13">
        <f t="shared" si="25"/>
        <v>-294049.44316699728</v>
      </c>
      <c r="P708" s="12">
        <f t="shared" si="26"/>
        <v>-1.6913592742288302E-2</v>
      </c>
    </row>
    <row r="709" spans="1:16" ht="14.4" x14ac:dyDescent="0.3">
      <c r="A709" s="7" t="s">
        <v>40</v>
      </c>
      <c r="B709" s="8">
        <v>42185</v>
      </c>
      <c r="C709" s="9">
        <v>71.900000000000006</v>
      </c>
      <c r="D709" s="8">
        <v>42277</v>
      </c>
      <c r="E709" s="9">
        <v>74.5</v>
      </c>
      <c r="F709" s="17">
        <v>3.62</v>
      </c>
      <c r="G709" s="11"/>
      <c r="H709" s="12">
        <f t="shared" si="18"/>
        <v>3.6161335187760699E-2</v>
      </c>
      <c r="I709" s="13">
        <f t="shared" si="19"/>
        <v>7232.2670375521393</v>
      </c>
      <c r="J709" s="13">
        <f t="shared" si="20"/>
        <v>7232.2670375521393</v>
      </c>
      <c r="K709" s="13">
        <f t="shared" si="21"/>
        <v>0</v>
      </c>
      <c r="L709" s="13">
        <f t="shared" si="22"/>
        <v>7098575.013892876</v>
      </c>
      <c r="M709" s="13">
        <f t="shared" si="23"/>
        <v>17098575.013892874</v>
      </c>
      <c r="N709" s="13">
        <f t="shared" si="24"/>
        <v>17385392.190022323</v>
      </c>
      <c r="O709" s="13">
        <f t="shared" si="25"/>
        <v>-286817.17612944916</v>
      </c>
      <c r="P709" s="12">
        <f t="shared" si="26"/>
        <v>-1.6497595969911846E-2</v>
      </c>
    </row>
    <row r="710" spans="1:16" ht="14.4" x14ac:dyDescent="0.3">
      <c r="A710" s="7" t="s">
        <v>606</v>
      </c>
      <c r="B710" s="8">
        <v>42185</v>
      </c>
      <c r="C710" s="9">
        <v>21.75</v>
      </c>
      <c r="D710" s="8">
        <v>42277</v>
      </c>
      <c r="E710" s="9">
        <v>24.4</v>
      </c>
      <c r="F710" s="17">
        <v>12.18</v>
      </c>
      <c r="G710" s="11"/>
      <c r="H710" s="12">
        <f t="shared" si="18"/>
        <v>0.12183908045977004</v>
      </c>
      <c r="I710" s="13">
        <f t="shared" si="19"/>
        <v>24367.81609195401</v>
      </c>
      <c r="J710" s="13">
        <f t="shared" si="20"/>
        <v>24367.81609195401</v>
      </c>
      <c r="K710" s="13">
        <f t="shared" si="21"/>
        <v>0</v>
      </c>
      <c r="L710" s="13">
        <f t="shared" si="22"/>
        <v>7122942.8299848298</v>
      </c>
      <c r="M710" s="13">
        <f t="shared" si="23"/>
        <v>17122942.829984829</v>
      </c>
      <c r="N710" s="13">
        <f t="shared" si="24"/>
        <v>17385392.190022323</v>
      </c>
      <c r="O710" s="13">
        <f t="shared" si="25"/>
        <v>-262449.36003749445</v>
      </c>
      <c r="P710" s="12">
        <f t="shared" si="26"/>
        <v>-1.5095970063195765E-2</v>
      </c>
    </row>
    <row r="711" spans="1:16" ht="14.4" x14ac:dyDescent="0.3">
      <c r="A711" s="7" t="s">
        <v>607</v>
      </c>
      <c r="B711" s="8">
        <v>42185</v>
      </c>
      <c r="C711" s="9">
        <v>33.5</v>
      </c>
      <c r="D711" s="8">
        <v>42277</v>
      </c>
      <c r="E711" s="9">
        <v>31.2</v>
      </c>
      <c r="F711" s="17">
        <v>-6.87</v>
      </c>
      <c r="G711" s="11"/>
      <c r="H711" s="12">
        <f t="shared" si="18"/>
        <v>-6.8656716417910463E-2</v>
      </c>
      <c r="I711" s="13">
        <f t="shared" si="19"/>
        <v>-13731.343283582093</v>
      </c>
      <c r="J711" s="13">
        <f t="shared" si="20"/>
        <v>0</v>
      </c>
      <c r="K711" s="13">
        <f t="shared" si="21"/>
        <v>-13731.343283582093</v>
      </c>
      <c r="L711" s="13">
        <f t="shared" si="22"/>
        <v>7109211.4867012473</v>
      </c>
      <c r="M711" s="13">
        <f t="shared" si="23"/>
        <v>17109211.486701246</v>
      </c>
      <c r="N711" s="13">
        <f t="shared" si="24"/>
        <v>17385392.190022323</v>
      </c>
      <c r="O711" s="13">
        <f t="shared" si="25"/>
        <v>-276180.70332107693</v>
      </c>
      <c r="P711" s="12">
        <f t="shared" si="26"/>
        <v>-1.5885790800829917E-2</v>
      </c>
    </row>
    <row r="712" spans="1:16" ht="14.4" x14ac:dyDescent="0.3">
      <c r="A712" s="7" t="s">
        <v>485</v>
      </c>
      <c r="B712" s="8">
        <v>42185</v>
      </c>
      <c r="C712" s="9">
        <v>59.28</v>
      </c>
      <c r="D712" s="8">
        <v>42277</v>
      </c>
      <c r="E712" s="9">
        <v>52.22</v>
      </c>
      <c r="F712" s="17">
        <v>-11.91</v>
      </c>
      <c r="G712" s="11"/>
      <c r="H712" s="12">
        <f t="shared" si="18"/>
        <v>-0.11909581646423756</v>
      </c>
      <c r="I712" s="13">
        <f t="shared" si="19"/>
        <v>-23819.163292847512</v>
      </c>
      <c r="J712" s="13">
        <f t="shared" si="20"/>
        <v>0</v>
      </c>
      <c r="K712" s="13">
        <f t="shared" si="21"/>
        <v>-23819.163292847512</v>
      </c>
      <c r="L712" s="13">
        <f t="shared" si="22"/>
        <v>7085392.3234083997</v>
      </c>
      <c r="M712" s="13">
        <f t="shared" si="23"/>
        <v>17085392.323408399</v>
      </c>
      <c r="N712" s="13">
        <f t="shared" si="24"/>
        <v>17385392.190022323</v>
      </c>
      <c r="O712" s="13">
        <f t="shared" si="25"/>
        <v>-299999.8666139245</v>
      </c>
      <c r="P712" s="12">
        <f t="shared" si="26"/>
        <v>-1.7255858443394674E-2</v>
      </c>
    </row>
    <row r="713" spans="1:16" ht="14.4" x14ac:dyDescent="0.3">
      <c r="A713" s="7" t="s">
        <v>421</v>
      </c>
      <c r="B713" s="8">
        <v>42185</v>
      </c>
      <c r="C713" s="9">
        <v>57.8</v>
      </c>
      <c r="D713" s="8">
        <v>42277</v>
      </c>
      <c r="E713" s="9">
        <v>65.319999999999993</v>
      </c>
      <c r="F713" s="17">
        <v>13.01</v>
      </c>
      <c r="G713" s="11"/>
      <c r="H713" s="12">
        <f t="shared" si="18"/>
        <v>0.13010380622837364</v>
      </c>
      <c r="I713" s="13">
        <f t="shared" si="19"/>
        <v>26020.76124567473</v>
      </c>
      <c r="J713" s="13">
        <f t="shared" si="20"/>
        <v>26020.76124567473</v>
      </c>
      <c r="K713" s="13">
        <f t="shared" si="21"/>
        <v>0</v>
      </c>
      <c r="L713" s="13">
        <f t="shared" si="22"/>
        <v>7111413.0846540742</v>
      </c>
      <c r="M713" s="13">
        <f t="shared" si="23"/>
        <v>17111413.084654074</v>
      </c>
      <c r="N713" s="13">
        <f t="shared" si="24"/>
        <v>17385392.190022323</v>
      </c>
      <c r="O713" s="13">
        <f t="shared" si="25"/>
        <v>-273979.10536824912</v>
      </c>
      <c r="P713" s="12">
        <f t="shared" si="26"/>
        <v>-1.5759155869114583E-2</v>
      </c>
    </row>
    <row r="714" spans="1:16" ht="14.4" x14ac:dyDescent="0.3">
      <c r="A714" s="7" t="s">
        <v>575</v>
      </c>
      <c r="B714" s="8">
        <v>42185</v>
      </c>
      <c r="C714" s="9">
        <v>369.34</v>
      </c>
      <c r="D714" s="8">
        <v>42277</v>
      </c>
      <c r="E714" s="9">
        <v>360.34</v>
      </c>
      <c r="F714" s="17">
        <v>-2.44</v>
      </c>
      <c r="G714" s="11"/>
      <c r="H714" s="12">
        <f t="shared" si="18"/>
        <v>-2.4367791195104783E-2</v>
      </c>
      <c r="I714" s="13">
        <f t="shared" si="19"/>
        <v>-4873.5582390209565</v>
      </c>
      <c r="J714" s="13">
        <f t="shared" si="20"/>
        <v>0</v>
      </c>
      <c r="K714" s="13">
        <f t="shared" si="21"/>
        <v>-4873.5582390209565</v>
      </c>
      <c r="L714" s="13">
        <f t="shared" si="22"/>
        <v>7106539.5264150528</v>
      </c>
      <c r="M714" s="13">
        <f t="shared" si="23"/>
        <v>17106539.526415054</v>
      </c>
      <c r="N714" s="13">
        <f t="shared" si="24"/>
        <v>17385392.190022323</v>
      </c>
      <c r="O714" s="13">
        <f t="shared" si="25"/>
        <v>-278852.66360726953</v>
      </c>
      <c r="P714" s="12">
        <f t="shared" si="26"/>
        <v>-1.6039480764046626E-2</v>
      </c>
    </row>
    <row r="715" spans="1:16" ht="14.4" x14ac:dyDescent="0.3">
      <c r="A715" s="7" t="s">
        <v>608</v>
      </c>
      <c r="B715" s="8">
        <v>42094</v>
      </c>
      <c r="C715" s="9">
        <v>53.75</v>
      </c>
      <c r="D715" s="8">
        <v>42185</v>
      </c>
      <c r="E715" s="9">
        <v>42.15</v>
      </c>
      <c r="F715" s="17">
        <v>-21.58</v>
      </c>
      <c r="G715" s="11"/>
      <c r="H715" s="12">
        <f t="shared" si="18"/>
        <v>-0.21581395348837212</v>
      </c>
      <c r="I715" s="13">
        <f t="shared" si="19"/>
        <v>-43162.790697674427</v>
      </c>
      <c r="J715" s="13">
        <f t="shared" si="20"/>
        <v>0</v>
      </c>
      <c r="K715" s="13">
        <f t="shared" si="21"/>
        <v>-43162.790697674427</v>
      </c>
      <c r="L715" s="13">
        <f t="shared" si="22"/>
        <v>7063376.7357173786</v>
      </c>
      <c r="M715" s="13">
        <f t="shared" si="23"/>
        <v>17063376.735717379</v>
      </c>
      <c r="N715" s="13">
        <f t="shared" si="24"/>
        <v>17385392.190022323</v>
      </c>
      <c r="O715" s="13">
        <f t="shared" si="25"/>
        <v>-322015.45430494472</v>
      </c>
      <c r="P715" s="12">
        <f t="shared" si="26"/>
        <v>-1.8522185222243828E-2</v>
      </c>
    </row>
    <row r="716" spans="1:16" ht="14.4" x14ac:dyDescent="0.3">
      <c r="A716" s="7" t="s">
        <v>609</v>
      </c>
      <c r="B716" s="8">
        <v>42094</v>
      </c>
      <c r="C716" s="9">
        <v>311.7</v>
      </c>
      <c r="D716" s="8">
        <v>42185</v>
      </c>
      <c r="E716" s="9">
        <v>257.2</v>
      </c>
      <c r="F716" s="17">
        <v>-17.48</v>
      </c>
      <c r="G716" s="11"/>
      <c r="H716" s="12">
        <f t="shared" si="18"/>
        <v>-0.17484760988129613</v>
      </c>
      <c r="I716" s="13">
        <f t="shared" si="19"/>
        <v>-34969.521976259224</v>
      </c>
      <c r="J716" s="13">
        <f t="shared" si="20"/>
        <v>0</v>
      </c>
      <c r="K716" s="13">
        <f t="shared" si="21"/>
        <v>-34969.521976259224</v>
      </c>
      <c r="L716" s="13">
        <f t="shared" si="22"/>
        <v>7028407.213741119</v>
      </c>
      <c r="M716" s="13">
        <f t="shared" si="23"/>
        <v>17028407.21374112</v>
      </c>
      <c r="N716" s="13">
        <f t="shared" si="24"/>
        <v>17385392.190022323</v>
      </c>
      <c r="O716" s="13">
        <f t="shared" si="25"/>
        <v>-356984.97628120333</v>
      </c>
      <c r="P716" s="12">
        <f t="shared" si="26"/>
        <v>-2.0533616520085243E-2</v>
      </c>
    </row>
    <row r="717" spans="1:16" ht="14.4" x14ac:dyDescent="0.3">
      <c r="A717" s="7" t="s">
        <v>610</v>
      </c>
      <c r="B717" s="8">
        <v>42004</v>
      </c>
      <c r="C717" s="9">
        <v>55.9</v>
      </c>
      <c r="D717" s="8">
        <v>42094</v>
      </c>
      <c r="E717" s="9">
        <v>128.6</v>
      </c>
      <c r="F717" s="17">
        <v>130.05000000000001</v>
      </c>
      <c r="G717" s="11"/>
      <c r="H717" s="12">
        <f t="shared" si="18"/>
        <v>1.3005366726296956</v>
      </c>
      <c r="I717" s="13">
        <f t="shared" si="19"/>
        <v>260107.33452593914</v>
      </c>
      <c r="J717" s="13">
        <f t="shared" si="20"/>
        <v>260107.33452593914</v>
      </c>
      <c r="K717" s="13">
        <f t="shared" si="21"/>
        <v>0</v>
      </c>
      <c r="L717" s="13">
        <f t="shared" si="22"/>
        <v>7288514.5482670581</v>
      </c>
      <c r="M717" s="13">
        <f t="shared" si="23"/>
        <v>17288514.548267059</v>
      </c>
      <c r="N717" s="13">
        <f t="shared" si="24"/>
        <v>17385392.190022323</v>
      </c>
      <c r="O717" s="13">
        <f t="shared" si="25"/>
        <v>-96877.641755264252</v>
      </c>
      <c r="P717" s="12">
        <f t="shared" si="26"/>
        <v>-5.5723587191126725E-3</v>
      </c>
    </row>
    <row r="718" spans="1:16" ht="14.4" x14ac:dyDescent="0.3">
      <c r="A718" s="7" t="s">
        <v>269</v>
      </c>
      <c r="B718" s="8">
        <v>42004</v>
      </c>
      <c r="C718" s="9">
        <v>1063.9000000000001</v>
      </c>
      <c r="D718" s="8">
        <v>42094</v>
      </c>
      <c r="E718" s="9">
        <v>1697.5</v>
      </c>
      <c r="F718" s="17">
        <v>59.55</v>
      </c>
      <c r="G718" s="11"/>
      <c r="H718" s="12">
        <f t="shared" si="18"/>
        <v>0.5955446940501925</v>
      </c>
      <c r="I718" s="13">
        <f t="shared" si="19"/>
        <v>119108.9388100385</v>
      </c>
      <c r="J718" s="13">
        <f t="shared" si="20"/>
        <v>119108.9388100385</v>
      </c>
      <c r="K718" s="13">
        <f t="shared" si="21"/>
        <v>0</v>
      </c>
      <c r="L718" s="13">
        <f t="shared" si="22"/>
        <v>7407623.4870770965</v>
      </c>
      <c r="M718" s="13">
        <f t="shared" si="23"/>
        <v>17407623.487077095</v>
      </c>
      <c r="N718" s="13">
        <f t="shared" si="24"/>
        <v>17407623.487077095</v>
      </c>
      <c r="O718" s="13">
        <f t="shared" si="25"/>
        <v>0</v>
      </c>
      <c r="P718" s="12">
        <f t="shared" si="26"/>
        <v>0</v>
      </c>
    </row>
    <row r="719" spans="1:16" ht="14.4" x14ac:dyDescent="0.3">
      <c r="A719" s="7" t="s">
        <v>611</v>
      </c>
      <c r="B719" s="8">
        <v>41912</v>
      </c>
      <c r="C719" s="9">
        <v>391.34</v>
      </c>
      <c r="D719" s="8">
        <v>42004</v>
      </c>
      <c r="E719" s="9">
        <v>260.33999999999997</v>
      </c>
      <c r="F719" s="17">
        <v>-33.47</v>
      </c>
      <c r="G719" s="11"/>
      <c r="H719" s="12">
        <f t="shared" si="18"/>
        <v>-0.33474727858128484</v>
      </c>
      <c r="I719" s="13">
        <f t="shared" si="19"/>
        <v>-66949.455716256969</v>
      </c>
      <c r="J719" s="13">
        <f t="shared" si="20"/>
        <v>0</v>
      </c>
      <c r="K719" s="13">
        <f t="shared" si="21"/>
        <v>-66949.455716256969</v>
      </c>
      <c r="L719" s="13">
        <f t="shared" si="22"/>
        <v>7340674.0313608395</v>
      </c>
      <c r="M719" s="13">
        <f t="shared" si="23"/>
        <v>17340674.031360839</v>
      </c>
      <c r="N719" s="13">
        <f t="shared" si="24"/>
        <v>17407623.487077095</v>
      </c>
      <c r="O719" s="13">
        <f t="shared" si="25"/>
        <v>-66949.455716256052</v>
      </c>
      <c r="P719" s="12">
        <f t="shared" si="26"/>
        <v>-3.8459848218774578E-3</v>
      </c>
    </row>
    <row r="720" spans="1:16" ht="14.4" x14ac:dyDescent="0.3">
      <c r="A720" s="7" t="s">
        <v>612</v>
      </c>
      <c r="B720" s="8">
        <v>41912</v>
      </c>
      <c r="C720" s="9">
        <v>105</v>
      </c>
      <c r="D720" s="8">
        <v>42004</v>
      </c>
      <c r="E720" s="9">
        <v>88</v>
      </c>
      <c r="F720" s="17">
        <v>-16.190000000000001</v>
      </c>
      <c r="G720" s="11"/>
      <c r="H720" s="12">
        <f t="shared" si="18"/>
        <v>-0.16190476190476191</v>
      </c>
      <c r="I720" s="13">
        <f t="shared" si="19"/>
        <v>-32380.952380952382</v>
      </c>
      <c r="J720" s="13">
        <f t="shared" si="20"/>
        <v>0</v>
      </c>
      <c r="K720" s="13">
        <f t="shared" si="21"/>
        <v>-32380.952380952382</v>
      </c>
      <c r="L720" s="13">
        <f t="shared" si="22"/>
        <v>7308293.0789798871</v>
      </c>
      <c r="M720" s="13">
        <f t="shared" si="23"/>
        <v>17308293.078979887</v>
      </c>
      <c r="N720" s="13">
        <f t="shared" si="24"/>
        <v>17407623.487077095</v>
      </c>
      <c r="O720" s="13">
        <f t="shared" si="25"/>
        <v>-99330.408097207546</v>
      </c>
      <c r="P720" s="12">
        <f t="shared" si="26"/>
        <v>-5.7061441023783348E-3</v>
      </c>
    </row>
    <row r="721" spans="1:16" ht="14.4" x14ac:dyDescent="0.3">
      <c r="A721" s="7" t="s">
        <v>537</v>
      </c>
      <c r="B721" s="8">
        <v>41912</v>
      </c>
      <c r="C721" s="9">
        <v>750</v>
      </c>
      <c r="D721" s="8">
        <v>42004</v>
      </c>
      <c r="E721" s="9">
        <v>903</v>
      </c>
      <c r="F721" s="17">
        <v>20.399999999999999</v>
      </c>
      <c r="G721" s="11"/>
      <c r="H721" s="12">
        <f t="shared" si="18"/>
        <v>0.20399999999999999</v>
      </c>
      <c r="I721" s="13">
        <f t="shared" si="19"/>
        <v>40800</v>
      </c>
      <c r="J721" s="13">
        <f t="shared" si="20"/>
        <v>40800</v>
      </c>
      <c r="K721" s="13">
        <f t="shared" si="21"/>
        <v>0</v>
      </c>
      <c r="L721" s="13">
        <f t="shared" si="22"/>
        <v>7349093.0789798871</v>
      </c>
      <c r="M721" s="13">
        <f t="shared" si="23"/>
        <v>17349093.078979887</v>
      </c>
      <c r="N721" s="13">
        <f t="shared" si="24"/>
        <v>17407623.487077095</v>
      </c>
      <c r="O721" s="13">
        <f t="shared" si="25"/>
        <v>-58530.408097207546</v>
      </c>
      <c r="P721" s="12">
        <f t="shared" si="26"/>
        <v>-3.3623434089471659E-3</v>
      </c>
    </row>
    <row r="722" spans="1:16" ht="14.4" x14ac:dyDescent="0.3">
      <c r="A722" s="7" t="s">
        <v>484</v>
      </c>
      <c r="B722" s="8">
        <v>41820</v>
      </c>
      <c r="C722" s="9">
        <v>24.8</v>
      </c>
      <c r="D722" s="8">
        <v>41912</v>
      </c>
      <c r="E722" s="9">
        <v>31.17</v>
      </c>
      <c r="F722" s="17">
        <v>25.69</v>
      </c>
      <c r="G722" s="11"/>
      <c r="H722" s="12">
        <f t="shared" si="18"/>
        <v>0.25685483870967746</v>
      </c>
      <c r="I722" s="13">
        <f t="shared" si="19"/>
        <v>51370.967741935492</v>
      </c>
      <c r="J722" s="13">
        <f t="shared" si="20"/>
        <v>51370.967741935492</v>
      </c>
      <c r="K722" s="13">
        <f t="shared" si="21"/>
        <v>0</v>
      </c>
      <c r="L722" s="13">
        <f t="shared" si="22"/>
        <v>7400464.0467218226</v>
      </c>
      <c r="M722" s="13">
        <f t="shared" si="23"/>
        <v>17400464.046721824</v>
      </c>
      <c r="N722" s="13">
        <f t="shared" si="24"/>
        <v>17407623.487077095</v>
      </c>
      <c r="O722" s="13">
        <f t="shared" si="25"/>
        <v>-7159.440355271101</v>
      </c>
      <c r="P722" s="12">
        <f t="shared" si="26"/>
        <v>-4.1128189385449758E-4</v>
      </c>
    </row>
    <row r="723" spans="1:16" ht="14.4" x14ac:dyDescent="0.3">
      <c r="A723" s="7" t="s">
        <v>613</v>
      </c>
      <c r="B723" s="8">
        <v>41820</v>
      </c>
      <c r="C723" s="9">
        <v>108.35</v>
      </c>
      <c r="D723" s="8">
        <v>41912</v>
      </c>
      <c r="E723" s="9">
        <v>70.3</v>
      </c>
      <c r="F723" s="17">
        <v>-35.119999999999997</v>
      </c>
      <c r="G723" s="11"/>
      <c r="H723" s="12">
        <f t="shared" si="18"/>
        <v>-0.35117674203968618</v>
      </c>
      <c r="I723" s="13">
        <f t="shared" si="19"/>
        <v>-70235.348407937243</v>
      </c>
      <c r="J723" s="13">
        <f t="shared" si="20"/>
        <v>0</v>
      </c>
      <c r="K723" s="13">
        <f t="shared" si="21"/>
        <v>-70235.348407937243</v>
      </c>
      <c r="L723" s="13">
        <f t="shared" si="22"/>
        <v>7330228.6983138854</v>
      </c>
      <c r="M723" s="13">
        <f t="shared" si="23"/>
        <v>17330228.698313884</v>
      </c>
      <c r="N723" s="13">
        <f t="shared" si="24"/>
        <v>17407623.487077095</v>
      </c>
      <c r="O723" s="13">
        <f t="shared" si="25"/>
        <v>-77394.788763210177</v>
      </c>
      <c r="P723" s="12">
        <f t="shared" si="26"/>
        <v>-4.4460284208620313E-3</v>
      </c>
    </row>
    <row r="724" spans="1:16" ht="14.4" x14ac:dyDescent="0.3">
      <c r="A724" s="7" t="s">
        <v>614</v>
      </c>
      <c r="B724" s="8">
        <v>41820</v>
      </c>
      <c r="C724" s="9">
        <v>292.35000000000002</v>
      </c>
      <c r="D724" s="8">
        <v>41912</v>
      </c>
      <c r="E724" s="9">
        <v>272.5</v>
      </c>
      <c r="F724" s="17">
        <v>-6.79</v>
      </c>
      <c r="G724" s="11"/>
      <c r="H724" s="12">
        <f t="shared" si="18"/>
        <v>-6.7898067384983829E-2</v>
      </c>
      <c r="I724" s="13">
        <f t="shared" si="19"/>
        <v>-13579.613476996767</v>
      </c>
      <c r="J724" s="13">
        <f t="shared" si="20"/>
        <v>0</v>
      </c>
      <c r="K724" s="13">
        <f t="shared" si="21"/>
        <v>-13579.613476996767</v>
      </c>
      <c r="L724" s="13">
        <f t="shared" si="22"/>
        <v>7316649.0848368891</v>
      </c>
      <c r="M724" s="13">
        <f t="shared" si="23"/>
        <v>17316649.084836889</v>
      </c>
      <c r="N724" s="13">
        <f t="shared" si="24"/>
        <v>17407623.487077095</v>
      </c>
      <c r="O724" s="13">
        <f t="shared" si="25"/>
        <v>-90974.402240205556</v>
      </c>
      <c r="P724" s="12">
        <f t="shared" si="26"/>
        <v>-5.2261241925264674E-3</v>
      </c>
    </row>
    <row r="725" spans="1:16" ht="14.4" x14ac:dyDescent="0.3">
      <c r="A725" s="7" t="s">
        <v>615</v>
      </c>
      <c r="B725" s="8">
        <v>41820</v>
      </c>
      <c r="C725" s="9">
        <v>22.45</v>
      </c>
      <c r="D725" s="8">
        <v>41912</v>
      </c>
      <c r="E725" s="9">
        <v>18.899999999999999</v>
      </c>
      <c r="F725" s="17">
        <v>-15.81</v>
      </c>
      <c r="G725" s="11"/>
      <c r="H725" s="12">
        <f t="shared" si="18"/>
        <v>-0.15812917594654793</v>
      </c>
      <c r="I725" s="13">
        <f t="shared" si="19"/>
        <v>-31625.835189309586</v>
      </c>
      <c r="J725" s="13">
        <f t="shared" si="20"/>
        <v>0</v>
      </c>
      <c r="K725" s="13">
        <f t="shared" si="21"/>
        <v>-31625.835189309586</v>
      </c>
      <c r="L725" s="13">
        <f t="shared" si="22"/>
        <v>7285023.2496475792</v>
      </c>
      <c r="M725" s="13">
        <f t="shared" si="23"/>
        <v>17285023.24964758</v>
      </c>
      <c r="N725" s="13">
        <f t="shared" si="24"/>
        <v>17407623.487077095</v>
      </c>
      <c r="O725" s="13">
        <f t="shared" si="25"/>
        <v>-122600.23742951453</v>
      </c>
      <c r="P725" s="12">
        <f t="shared" si="26"/>
        <v>-7.0429049387775028E-3</v>
      </c>
    </row>
    <row r="726" spans="1:16" ht="14.4" x14ac:dyDescent="0.3">
      <c r="A726" s="7" t="s">
        <v>616</v>
      </c>
      <c r="B726" s="8">
        <v>41820</v>
      </c>
      <c r="C726" s="9">
        <v>292.60000000000002</v>
      </c>
      <c r="D726" s="8">
        <v>41912</v>
      </c>
      <c r="E726" s="9">
        <v>296.05</v>
      </c>
      <c r="F726" s="17">
        <v>1.18</v>
      </c>
      <c r="G726" s="11"/>
      <c r="H726" s="12">
        <f t="shared" si="18"/>
        <v>1.1790840738209119E-2</v>
      </c>
      <c r="I726" s="13">
        <f t="shared" si="19"/>
        <v>2358.1681476418239</v>
      </c>
      <c r="J726" s="13">
        <f t="shared" si="20"/>
        <v>2358.1681476418239</v>
      </c>
      <c r="K726" s="13">
        <f t="shared" si="21"/>
        <v>0</v>
      </c>
      <c r="L726" s="13">
        <f t="shared" si="22"/>
        <v>7287381.4177952213</v>
      </c>
      <c r="M726" s="13">
        <f t="shared" si="23"/>
        <v>17287381.417795222</v>
      </c>
      <c r="N726" s="13">
        <f t="shared" si="24"/>
        <v>17407623.487077095</v>
      </c>
      <c r="O726" s="13">
        <f t="shared" si="25"/>
        <v>-120242.06928187236</v>
      </c>
      <c r="P726" s="12">
        <f t="shared" si="26"/>
        <v>-6.9074373863345865E-3</v>
      </c>
    </row>
    <row r="727" spans="1:16" ht="14.4" x14ac:dyDescent="0.3">
      <c r="A727" s="7" t="s">
        <v>617</v>
      </c>
      <c r="B727" s="8">
        <v>41820</v>
      </c>
      <c r="C727" s="9">
        <v>50.63</v>
      </c>
      <c r="D727" s="8">
        <v>41912</v>
      </c>
      <c r="E727" s="9">
        <v>70.63</v>
      </c>
      <c r="F727" s="17">
        <v>39.5</v>
      </c>
      <c r="G727" s="11"/>
      <c r="H727" s="12">
        <f t="shared" si="18"/>
        <v>0.3950227138060437</v>
      </c>
      <c r="I727" s="13">
        <f t="shared" si="19"/>
        <v>79004.542761208737</v>
      </c>
      <c r="J727" s="13">
        <f t="shared" si="20"/>
        <v>79004.542761208737</v>
      </c>
      <c r="K727" s="13">
        <f t="shared" si="21"/>
        <v>0</v>
      </c>
      <c r="L727" s="13">
        <f t="shared" si="22"/>
        <v>7366385.9605564298</v>
      </c>
      <c r="M727" s="13">
        <f t="shared" si="23"/>
        <v>17366385.960556429</v>
      </c>
      <c r="N727" s="13">
        <f t="shared" si="24"/>
        <v>17407623.487077095</v>
      </c>
      <c r="O727" s="13">
        <f t="shared" si="25"/>
        <v>-41237.526520665735</v>
      </c>
      <c r="P727" s="12">
        <f t="shared" si="26"/>
        <v>-2.3689348836892789E-3</v>
      </c>
    </row>
    <row r="728" spans="1:16" ht="14.4" x14ac:dyDescent="0.3">
      <c r="A728" s="7" t="s">
        <v>420</v>
      </c>
      <c r="B728" s="8">
        <v>41820</v>
      </c>
      <c r="C728" s="9">
        <v>144.94999999999999</v>
      </c>
      <c r="D728" s="8">
        <v>41912</v>
      </c>
      <c r="E728" s="9">
        <v>196</v>
      </c>
      <c r="F728" s="17">
        <v>35.22</v>
      </c>
      <c r="G728" s="11"/>
      <c r="H728" s="12">
        <f t="shared" si="18"/>
        <v>0.35219041048637473</v>
      </c>
      <c r="I728" s="13">
        <f t="shared" si="19"/>
        <v>70438.08209727495</v>
      </c>
      <c r="J728" s="13">
        <f t="shared" si="20"/>
        <v>70438.08209727495</v>
      </c>
      <c r="K728" s="13">
        <f t="shared" si="21"/>
        <v>0</v>
      </c>
      <c r="L728" s="13">
        <f t="shared" si="22"/>
        <v>7436824.042653705</v>
      </c>
      <c r="M728" s="13">
        <f t="shared" si="23"/>
        <v>17436824.042653706</v>
      </c>
      <c r="N728" s="13">
        <f t="shared" si="24"/>
        <v>17436824.042653706</v>
      </c>
      <c r="O728" s="13">
        <f t="shared" si="25"/>
        <v>0</v>
      </c>
      <c r="P728" s="12">
        <f t="shared" si="26"/>
        <v>0</v>
      </c>
    </row>
    <row r="729" spans="1:16" ht="14.4" x14ac:dyDescent="0.3">
      <c r="A729" s="7" t="s">
        <v>618</v>
      </c>
      <c r="B729" s="8">
        <v>41820</v>
      </c>
      <c r="C729" s="9">
        <v>27.75</v>
      </c>
      <c r="D729" s="8">
        <v>41912</v>
      </c>
      <c r="E729" s="9">
        <v>21</v>
      </c>
      <c r="F729" s="17">
        <v>-24.32</v>
      </c>
      <c r="G729" s="11"/>
      <c r="H729" s="12">
        <f t="shared" si="18"/>
        <v>-0.24324324324324326</v>
      </c>
      <c r="I729" s="13">
        <f t="shared" si="19"/>
        <v>-48648.648648648654</v>
      </c>
      <c r="J729" s="13">
        <f t="shared" si="20"/>
        <v>0</v>
      </c>
      <c r="K729" s="13">
        <f t="shared" si="21"/>
        <v>-48648.648648648654</v>
      </c>
      <c r="L729" s="13">
        <f t="shared" si="22"/>
        <v>7388175.3940050565</v>
      </c>
      <c r="M729" s="13">
        <f t="shared" si="23"/>
        <v>17388175.394005056</v>
      </c>
      <c r="N729" s="13">
        <f t="shared" si="24"/>
        <v>17436824.042653706</v>
      </c>
      <c r="O729" s="13">
        <f t="shared" si="25"/>
        <v>-48648.648648649454</v>
      </c>
      <c r="P729" s="12">
        <f t="shared" si="26"/>
        <v>-2.7899948138288165E-3</v>
      </c>
    </row>
    <row r="730" spans="1:16" ht="14.4" x14ac:dyDescent="0.3">
      <c r="A730" s="7" t="s">
        <v>619</v>
      </c>
      <c r="B730" s="8">
        <v>41820</v>
      </c>
      <c r="C730" s="9">
        <v>105.55</v>
      </c>
      <c r="D730" s="8">
        <v>41912</v>
      </c>
      <c r="E730" s="9">
        <v>88.95</v>
      </c>
      <c r="F730" s="17">
        <v>-15.73</v>
      </c>
      <c r="G730" s="11"/>
      <c r="H730" s="12">
        <f t="shared" si="18"/>
        <v>-0.157271435338702</v>
      </c>
      <c r="I730" s="13">
        <f t="shared" si="19"/>
        <v>-31454.287067740399</v>
      </c>
      <c r="J730" s="13">
        <f t="shared" si="20"/>
        <v>0</v>
      </c>
      <c r="K730" s="13">
        <f t="shared" si="21"/>
        <v>-31454.287067740399</v>
      </c>
      <c r="L730" s="13">
        <f t="shared" si="22"/>
        <v>7356721.1069373162</v>
      </c>
      <c r="M730" s="13">
        <f t="shared" si="23"/>
        <v>17356721.106937315</v>
      </c>
      <c r="N730" s="13">
        <f t="shared" si="24"/>
        <v>17436824.042653706</v>
      </c>
      <c r="O730" s="13">
        <f t="shared" si="25"/>
        <v>-80102.93571639061</v>
      </c>
      <c r="P730" s="12">
        <f t="shared" si="26"/>
        <v>-4.5938948239911109E-3</v>
      </c>
    </row>
    <row r="731" spans="1:16" ht="14.4" x14ac:dyDescent="0.3">
      <c r="A731" s="7" t="s">
        <v>465</v>
      </c>
      <c r="B731" s="8">
        <v>41820</v>
      </c>
      <c r="C731" s="9">
        <v>254.45</v>
      </c>
      <c r="D731" s="8">
        <v>41912</v>
      </c>
      <c r="E731" s="9">
        <v>390.1</v>
      </c>
      <c r="F731" s="17">
        <v>53.31</v>
      </c>
      <c r="G731" s="11"/>
      <c r="H731" s="12">
        <f t="shared" si="18"/>
        <v>0.53311063077225407</v>
      </c>
      <c r="I731" s="13">
        <f t="shared" si="19"/>
        <v>106622.12615445082</v>
      </c>
      <c r="J731" s="13">
        <f t="shared" si="20"/>
        <v>106622.12615445082</v>
      </c>
      <c r="K731" s="13">
        <f t="shared" si="21"/>
        <v>0</v>
      </c>
      <c r="L731" s="13">
        <f t="shared" si="22"/>
        <v>7463343.2330917669</v>
      </c>
      <c r="M731" s="13">
        <f t="shared" si="23"/>
        <v>17463343.233091768</v>
      </c>
      <c r="N731" s="13">
        <f t="shared" si="24"/>
        <v>17463343.233091768</v>
      </c>
      <c r="O731" s="13">
        <f t="shared" si="25"/>
        <v>0</v>
      </c>
      <c r="P731" s="12">
        <f t="shared" si="26"/>
        <v>0</v>
      </c>
    </row>
    <row r="732" spans="1:16" ht="14.4" x14ac:dyDescent="0.3">
      <c r="A732" s="7" t="s">
        <v>392</v>
      </c>
      <c r="B732" s="8">
        <v>41820</v>
      </c>
      <c r="C732" s="9">
        <v>54.42</v>
      </c>
      <c r="D732" s="8">
        <v>41912</v>
      </c>
      <c r="E732" s="9">
        <v>91.18</v>
      </c>
      <c r="F732" s="17">
        <v>67.55</v>
      </c>
      <c r="G732" s="11"/>
      <c r="H732" s="12">
        <f t="shared" si="18"/>
        <v>0.67548695332598319</v>
      </c>
      <c r="I732" s="13">
        <f t="shared" si="19"/>
        <v>135097.39066519664</v>
      </c>
      <c r="J732" s="13">
        <f t="shared" si="20"/>
        <v>135097.39066519664</v>
      </c>
      <c r="K732" s="13">
        <f t="shared" si="21"/>
        <v>0</v>
      </c>
      <c r="L732" s="13">
        <f t="shared" si="22"/>
        <v>7598440.6237569638</v>
      </c>
      <c r="M732" s="13">
        <f t="shared" si="23"/>
        <v>17598440.623756964</v>
      </c>
      <c r="N732" s="13">
        <f t="shared" si="24"/>
        <v>17598440.623756964</v>
      </c>
      <c r="O732" s="13">
        <f t="shared" si="25"/>
        <v>0</v>
      </c>
      <c r="P732" s="12">
        <f t="shared" si="26"/>
        <v>0</v>
      </c>
    </row>
    <row r="733" spans="1:16" ht="14.4" x14ac:dyDescent="0.3">
      <c r="A733" s="7" t="s">
        <v>28</v>
      </c>
      <c r="B733" s="8">
        <v>41820</v>
      </c>
      <c r="C733" s="9">
        <v>81</v>
      </c>
      <c r="D733" s="8">
        <v>41912</v>
      </c>
      <c r="E733" s="9">
        <v>61</v>
      </c>
      <c r="F733" s="17">
        <v>-24.69</v>
      </c>
      <c r="G733" s="11"/>
      <c r="H733" s="12">
        <f t="shared" si="18"/>
        <v>-0.24691358024691357</v>
      </c>
      <c r="I733" s="13">
        <f t="shared" si="19"/>
        <v>-49382.71604938271</v>
      </c>
      <c r="J733" s="13">
        <f t="shared" si="20"/>
        <v>0</v>
      </c>
      <c r="K733" s="13">
        <f t="shared" si="21"/>
        <v>-49382.71604938271</v>
      </c>
      <c r="L733" s="13">
        <f t="shared" si="22"/>
        <v>7549057.9077075813</v>
      </c>
      <c r="M733" s="13">
        <f t="shared" si="23"/>
        <v>17549057.907707579</v>
      </c>
      <c r="N733" s="13">
        <f t="shared" si="24"/>
        <v>17598440.623756964</v>
      </c>
      <c r="O733" s="13">
        <f t="shared" si="25"/>
        <v>-49382.716049384326</v>
      </c>
      <c r="P733" s="12">
        <f t="shared" si="26"/>
        <v>-2.806084760869112E-3</v>
      </c>
    </row>
    <row r="734" spans="1:16" ht="14.4" x14ac:dyDescent="0.3">
      <c r="A734" s="7" t="s">
        <v>620</v>
      </c>
      <c r="B734" s="8">
        <v>41820</v>
      </c>
      <c r="C734" s="9">
        <v>23.35</v>
      </c>
      <c r="D734" s="8">
        <v>41912</v>
      </c>
      <c r="E734" s="9">
        <v>27</v>
      </c>
      <c r="F734" s="17">
        <v>15.63</v>
      </c>
      <c r="G734" s="11"/>
      <c r="H734" s="12">
        <f t="shared" si="18"/>
        <v>0.15631691648822263</v>
      </c>
      <c r="I734" s="13">
        <f t="shared" si="19"/>
        <v>31263.383297644526</v>
      </c>
      <c r="J734" s="13">
        <f t="shared" si="20"/>
        <v>31263.383297644526</v>
      </c>
      <c r="K734" s="13">
        <f t="shared" si="21"/>
        <v>0</v>
      </c>
      <c r="L734" s="13">
        <f t="shared" si="22"/>
        <v>7580321.2910052259</v>
      </c>
      <c r="M734" s="13">
        <f t="shared" si="23"/>
        <v>17580321.291005224</v>
      </c>
      <c r="N734" s="13">
        <f t="shared" si="24"/>
        <v>17598440.623756964</v>
      </c>
      <c r="O734" s="13">
        <f t="shared" si="25"/>
        <v>-18119.33275173977</v>
      </c>
      <c r="P734" s="12">
        <f t="shared" si="26"/>
        <v>-1.0295987661133811E-3</v>
      </c>
    </row>
    <row r="735" spans="1:16" ht="14.4" x14ac:dyDescent="0.3">
      <c r="A735" s="7" t="s">
        <v>621</v>
      </c>
      <c r="B735" s="8">
        <v>41820</v>
      </c>
      <c r="C735" s="9">
        <v>64.5</v>
      </c>
      <c r="D735" s="8">
        <v>41912</v>
      </c>
      <c r="E735" s="9">
        <v>46.65</v>
      </c>
      <c r="F735" s="17">
        <v>-27.67</v>
      </c>
      <c r="G735" s="11"/>
      <c r="H735" s="12">
        <f t="shared" si="18"/>
        <v>-0.27674418604651163</v>
      </c>
      <c r="I735" s="13">
        <f t="shared" si="19"/>
        <v>-55348.837209302328</v>
      </c>
      <c r="J735" s="13">
        <f t="shared" si="20"/>
        <v>0</v>
      </c>
      <c r="K735" s="13">
        <f t="shared" si="21"/>
        <v>-55348.837209302328</v>
      </c>
      <c r="L735" s="13">
        <f t="shared" si="22"/>
        <v>7524972.4537959239</v>
      </c>
      <c r="M735" s="13">
        <f t="shared" si="23"/>
        <v>17524972.453795925</v>
      </c>
      <c r="N735" s="13">
        <f t="shared" si="24"/>
        <v>17598440.623756964</v>
      </c>
      <c r="O735" s="13">
        <f t="shared" si="25"/>
        <v>-73468.169961038977</v>
      </c>
      <c r="P735" s="12">
        <f t="shared" si="26"/>
        <v>-4.1746977207662841E-3</v>
      </c>
    </row>
    <row r="736" spans="1:16" ht="14.4" x14ac:dyDescent="0.3">
      <c r="A736" s="7" t="s">
        <v>30</v>
      </c>
      <c r="B736" s="8">
        <v>41820</v>
      </c>
      <c r="C736" s="9">
        <v>335.6</v>
      </c>
      <c r="D736" s="8">
        <v>41912</v>
      </c>
      <c r="E736" s="9">
        <v>336.1</v>
      </c>
      <c r="F736" s="17">
        <v>0.15</v>
      </c>
      <c r="G736" s="11"/>
      <c r="H736" s="12">
        <f t="shared" si="18"/>
        <v>1.4898688915375446E-3</v>
      </c>
      <c r="I736" s="13">
        <f t="shared" si="19"/>
        <v>297.97377830750895</v>
      </c>
      <c r="J736" s="13">
        <f t="shared" si="20"/>
        <v>297.97377830750895</v>
      </c>
      <c r="K736" s="13">
        <f t="shared" si="21"/>
        <v>0</v>
      </c>
      <c r="L736" s="13">
        <f t="shared" si="22"/>
        <v>7525270.4275742313</v>
      </c>
      <c r="M736" s="13">
        <f t="shared" si="23"/>
        <v>17525270.427574232</v>
      </c>
      <c r="N736" s="13">
        <f t="shared" si="24"/>
        <v>17598440.623756964</v>
      </c>
      <c r="O736" s="13">
        <f t="shared" si="25"/>
        <v>-73170.196182731539</v>
      </c>
      <c r="P736" s="12">
        <f t="shared" si="26"/>
        <v>-4.1577658922777308E-3</v>
      </c>
    </row>
    <row r="737" spans="1:16" ht="14.4" x14ac:dyDescent="0.3">
      <c r="A737" s="7" t="s">
        <v>32</v>
      </c>
      <c r="B737" s="8">
        <v>41820</v>
      </c>
      <c r="C737" s="9">
        <v>108.35</v>
      </c>
      <c r="D737" s="8">
        <v>41912</v>
      </c>
      <c r="E737" s="9">
        <v>121</v>
      </c>
      <c r="F737" s="17">
        <v>11.68</v>
      </c>
      <c r="G737" s="11"/>
      <c r="H737" s="12">
        <f t="shared" si="18"/>
        <v>0.11675126903553305</v>
      </c>
      <c r="I737" s="13">
        <f t="shared" si="19"/>
        <v>23350.253807106612</v>
      </c>
      <c r="J737" s="13">
        <f t="shared" si="20"/>
        <v>23350.253807106612</v>
      </c>
      <c r="K737" s="13">
        <f t="shared" si="21"/>
        <v>0</v>
      </c>
      <c r="L737" s="13">
        <f t="shared" si="22"/>
        <v>7548620.6813813383</v>
      </c>
      <c r="M737" s="13">
        <f t="shared" si="23"/>
        <v>17548620.681381337</v>
      </c>
      <c r="N737" s="13">
        <f t="shared" si="24"/>
        <v>17598440.623756964</v>
      </c>
      <c r="O737" s="13">
        <f t="shared" si="25"/>
        <v>-49819.942375626415</v>
      </c>
      <c r="P737" s="12">
        <f t="shared" si="26"/>
        <v>-2.830929367024265E-3</v>
      </c>
    </row>
    <row r="738" spans="1:16" ht="14.4" x14ac:dyDescent="0.3">
      <c r="A738" s="7" t="s">
        <v>599</v>
      </c>
      <c r="B738" s="8">
        <v>41820</v>
      </c>
      <c r="C738" s="9">
        <v>212.85</v>
      </c>
      <c r="D738" s="8">
        <v>41912</v>
      </c>
      <c r="E738" s="9">
        <v>191.65</v>
      </c>
      <c r="F738" s="17">
        <v>-9.9600000000000009</v>
      </c>
      <c r="G738" s="11"/>
      <c r="H738" s="12">
        <f t="shared" si="18"/>
        <v>-9.9600657740192569E-2</v>
      </c>
      <c r="I738" s="13">
        <f t="shared" si="19"/>
        <v>-19920.131548038513</v>
      </c>
      <c r="J738" s="13">
        <f t="shared" si="20"/>
        <v>0</v>
      </c>
      <c r="K738" s="13">
        <f t="shared" si="21"/>
        <v>-19920.131548038513</v>
      </c>
      <c r="L738" s="13">
        <f t="shared" si="22"/>
        <v>7528700.5498332996</v>
      </c>
      <c r="M738" s="13">
        <f t="shared" si="23"/>
        <v>17528700.549833298</v>
      </c>
      <c r="N738" s="13">
        <f t="shared" si="24"/>
        <v>17598440.623756964</v>
      </c>
      <c r="O738" s="13">
        <f t="shared" si="25"/>
        <v>-69740.07392366603</v>
      </c>
      <c r="P738" s="12">
        <f t="shared" si="26"/>
        <v>-3.9628553128463334E-3</v>
      </c>
    </row>
    <row r="739" spans="1:16" ht="14.4" x14ac:dyDescent="0.3">
      <c r="A739" s="7" t="s">
        <v>622</v>
      </c>
      <c r="B739" s="8">
        <v>41820</v>
      </c>
      <c r="C739" s="9">
        <v>70.5</v>
      </c>
      <c r="D739" s="8">
        <v>41912</v>
      </c>
      <c r="E739" s="9">
        <v>71.3</v>
      </c>
      <c r="F739" s="17">
        <v>1.1299999999999999</v>
      </c>
      <c r="G739" s="11"/>
      <c r="H739" s="12">
        <f t="shared" si="18"/>
        <v>1.1347517730496413E-2</v>
      </c>
      <c r="I739" s="13">
        <f t="shared" si="19"/>
        <v>2269.5035460992826</v>
      </c>
      <c r="J739" s="13">
        <f t="shared" si="20"/>
        <v>2269.5035460992826</v>
      </c>
      <c r="K739" s="13">
        <f t="shared" si="21"/>
        <v>0</v>
      </c>
      <c r="L739" s="13">
        <f t="shared" si="22"/>
        <v>7530970.0533793988</v>
      </c>
      <c r="M739" s="13">
        <f t="shared" si="23"/>
        <v>17530970.053379398</v>
      </c>
      <c r="N739" s="13">
        <f t="shared" si="24"/>
        <v>17598440.623756964</v>
      </c>
      <c r="O739" s="13">
        <f t="shared" si="25"/>
        <v>-67470.57037756592</v>
      </c>
      <c r="P739" s="12">
        <f t="shared" si="26"/>
        <v>-3.8338948217084769E-3</v>
      </c>
    </row>
    <row r="740" spans="1:16" ht="14.4" x14ac:dyDescent="0.3">
      <c r="A740" s="7" t="s">
        <v>623</v>
      </c>
      <c r="B740" s="8">
        <v>41820</v>
      </c>
      <c r="C740" s="9">
        <v>54</v>
      </c>
      <c r="D740" s="8">
        <v>41912</v>
      </c>
      <c r="E740" s="9">
        <v>84</v>
      </c>
      <c r="F740" s="17">
        <v>55.56</v>
      </c>
      <c r="G740" s="11"/>
      <c r="H740" s="12">
        <f t="shared" si="18"/>
        <v>0.55555555555555558</v>
      </c>
      <c r="I740" s="13">
        <f t="shared" si="19"/>
        <v>111111.11111111111</v>
      </c>
      <c r="J740" s="13">
        <f t="shared" si="20"/>
        <v>111111.11111111111</v>
      </c>
      <c r="K740" s="13">
        <f t="shared" si="21"/>
        <v>0</v>
      </c>
      <c r="L740" s="13">
        <f t="shared" si="22"/>
        <v>7642081.1644905098</v>
      </c>
      <c r="M740" s="13">
        <f t="shared" si="23"/>
        <v>17642081.16449051</v>
      </c>
      <c r="N740" s="13">
        <f t="shared" si="24"/>
        <v>17642081.16449051</v>
      </c>
      <c r="O740" s="13">
        <f t="shared" si="25"/>
        <v>0</v>
      </c>
      <c r="P740" s="12">
        <f t="shared" si="26"/>
        <v>0</v>
      </c>
    </row>
    <row r="741" spans="1:16" ht="14.4" x14ac:dyDescent="0.3">
      <c r="A741" s="7" t="s">
        <v>624</v>
      </c>
      <c r="B741" s="8">
        <v>41820</v>
      </c>
      <c r="C741" s="9">
        <v>32.86</v>
      </c>
      <c r="D741" s="8">
        <v>41912</v>
      </c>
      <c r="E741" s="9">
        <v>54.76</v>
      </c>
      <c r="F741" s="17">
        <v>66.650000000000006</v>
      </c>
      <c r="G741" s="11"/>
      <c r="H741" s="12">
        <f t="shared" si="18"/>
        <v>0.66646378575776011</v>
      </c>
      <c r="I741" s="13">
        <f t="shared" si="19"/>
        <v>133292.75715155201</v>
      </c>
      <c r="J741" s="13">
        <f t="shared" si="20"/>
        <v>133292.75715155201</v>
      </c>
      <c r="K741" s="13">
        <f t="shared" si="21"/>
        <v>0</v>
      </c>
      <c r="L741" s="13">
        <f t="shared" si="22"/>
        <v>7775373.9216420613</v>
      </c>
      <c r="M741" s="13">
        <f t="shared" si="23"/>
        <v>17775373.921642061</v>
      </c>
      <c r="N741" s="13">
        <f t="shared" si="24"/>
        <v>17775373.921642061</v>
      </c>
      <c r="O741" s="13">
        <f t="shared" si="25"/>
        <v>0</v>
      </c>
      <c r="P741" s="12">
        <f t="shared" si="26"/>
        <v>0</v>
      </c>
    </row>
    <row r="742" spans="1:16" ht="14.4" x14ac:dyDescent="0.3">
      <c r="A742" s="7" t="s">
        <v>625</v>
      </c>
      <c r="B742" s="8">
        <v>41820</v>
      </c>
      <c r="C742" s="9">
        <v>44</v>
      </c>
      <c r="D742" s="8">
        <v>41912</v>
      </c>
      <c r="E742" s="9">
        <v>73.28</v>
      </c>
      <c r="F742" s="17">
        <v>66.55</v>
      </c>
      <c r="G742" s="11"/>
      <c r="H742" s="12">
        <f t="shared" si="18"/>
        <v>0.66545454545454552</v>
      </c>
      <c r="I742" s="13">
        <f t="shared" si="19"/>
        <v>133090.90909090912</v>
      </c>
      <c r="J742" s="13">
        <f t="shared" si="20"/>
        <v>133090.90909090912</v>
      </c>
      <c r="K742" s="13">
        <f t="shared" si="21"/>
        <v>0</v>
      </c>
      <c r="L742" s="13">
        <f t="shared" si="22"/>
        <v>7908464.8307329705</v>
      </c>
      <c r="M742" s="13">
        <f t="shared" si="23"/>
        <v>17908464.830732971</v>
      </c>
      <c r="N742" s="13">
        <f t="shared" si="24"/>
        <v>17908464.830732971</v>
      </c>
      <c r="O742" s="13">
        <f t="shared" si="25"/>
        <v>0</v>
      </c>
      <c r="P742" s="12">
        <f t="shared" si="26"/>
        <v>0</v>
      </c>
    </row>
    <row r="743" spans="1:16" ht="14.4" x14ac:dyDescent="0.3">
      <c r="A743" s="7" t="s">
        <v>626</v>
      </c>
      <c r="B743" s="8">
        <v>41820</v>
      </c>
      <c r="C743" s="9">
        <v>44.5</v>
      </c>
      <c r="D743" s="8">
        <v>41912</v>
      </c>
      <c r="E743" s="9">
        <v>58.5</v>
      </c>
      <c r="F743" s="17">
        <v>31.46</v>
      </c>
      <c r="G743" s="11"/>
      <c r="H743" s="12">
        <f t="shared" si="18"/>
        <v>0.3146067415730337</v>
      </c>
      <c r="I743" s="13">
        <f t="shared" si="19"/>
        <v>62921.348314606737</v>
      </c>
      <c r="J743" s="13">
        <f t="shared" si="20"/>
        <v>62921.348314606737</v>
      </c>
      <c r="K743" s="13">
        <f t="shared" si="21"/>
        <v>0</v>
      </c>
      <c r="L743" s="13">
        <f t="shared" si="22"/>
        <v>7971386.1790475771</v>
      </c>
      <c r="M743" s="13">
        <f t="shared" si="23"/>
        <v>17971386.179047577</v>
      </c>
      <c r="N743" s="13">
        <f t="shared" si="24"/>
        <v>17971386.179047577</v>
      </c>
      <c r="O743" s="13">
        <f t="shared" si="25"/>
        <v>0</v>
      </c>
      <c r="P743" s="12">
        <f t="shared" si="26"/>
        <v>0</v>
      </c>
    </row>
    <row r="744" spans="1:16" ht="14.4" x14ac:dyDescent="0.3">
      <c r="A744" s="7" t="s">
        <v>627</v>
      </c>
      <c r="B744" s="8">
        <v>41820</v>
      </c>
      <c r="C744" s="9">
        <v>23.5</v>
      </c>
      <c r="D744" s="8">
        <v>41912</v>
      </c>
      <c r="E744" s="9">
        <v>23.65</v>
      </c>
      <c r="F744" s="17">
        <v>0.64</v>
      </c>
      <c r="G744" s="11"/>
      <c r="H744" s="12">
        <f t="shared" si="18"/>
        <v>6.3829787234041951E-3</v>
      </c>
      <c r="I744" s="13">
        <f t="shared" si="19"/>
        <v>1276.5957446808391</v>
      </c>
      <c r="J744" s="13">
        <f t="shared" si="20"/>
        <v>1276.5957446808391</v>
      </c>
      <c r="K744" s="13">
        <f t="shared" si="21"/>
        <v>0</v>
      </c>
      <c r="L744" s="13">
        <f t="shared" si="22"/>
        <v>7972662.7747922577</v>
      </c>
      <c r="M744" s="13">
        <f t="shared" si="23"/>
        <v>17972662.774792258</v>
      </c>
      <c r="N744" s="13">
        <f t="shared" si="24"/>
        <v>17972662.774792258</v>
      </c>
      <c r="O744" s="13">
        <f t="shared" si="25"/>
        <v>0</v>
      </c>
      <c r="P744" s="12">
        <f t="shared" si="26"/>
        <v>0</v>
      </c>
    </row>
    <row r="745" spans="1:16" ht="14.4" x14ac:dyDescent="0.3">
      <c r="A745" s="7" t="s">
        <v>385</v>
      </c>
      <c r="B745" s="8">
        <v>41820</v>
      </c>
      <c r="C745" s="9">
        <v>1576.95</v>
      </c>
      <c r="D745" s="8">
        <v>41912</v>
      </c>
      <c r="E745" s="9">
        <v>1585</v>
      </c>
      <c r="F745" s="17">
        <v>0.51</v>
      </c>
      <c r="G745" s="11"/>
      <c r="H745" s="12">
        <f t="shared" si="18"/>
        <v>5.1047908938139791E-3</v>
      </c>
      <c r="I745" s="13">
        <f t="shared" si="19"/>
        <v>1020.9581787627958</v>
      </c>
      <c r="J745" s="13">
        <f t="shared" si="20"/>
        <v>1020.9581787627958</v>
      </c>
      <c r="K745" s="13">
        <f t="shared" si="21"/>
        <v>0</v>
      </c>
      <c r="L745" s="13">
        <f t="shared" si="22"/>
        <v>7973683.73297102</v>
      </c>
      <c r="M745" s="13">
        <f t="shared" si="23"/>
        <v>17973683.73297102</v>
      </c>
      <c r="N745" s="13">
        <f t="shared" si="24"/>
        <v>17973683.73297102</v>
      </c>
      <c r="O745" s="13">
        <f t="shared" si="25"/>
        <v>0</v>
      </c>
      <c r="P745" s="12">
        <f t="shared" si="26"/>
        <v>0</v>
      </c>
    </row>
    <row r="746" spans="1:16" ht="14.4" x14ac:dyDescent="0.3">
      <c r="A746" s="7" t="s">
        <v>34</v>
      </c>
      <c r="B746" s="8">
        <v>41820</v>
      </c>
      <c r="C746" s="9">
        <v>172.95</v>
      </c>
      <c r="D746" s="8">
        <v>41912</v>
      </c>
      <c r="E746" s="9">
        <v>398.75</v>
      </c>
      <c r="F746" s="17">
        <v>130.56</v>
      </c>
      <c r="G746" s="11"/>
      <c r="H746" s="12">
        <f t="shared" si="18"/>
        <v>1.3055796472969068</v>
      </c>
      <c r="I746" s="13">
        <f t="shared" si="19"/>
        <v>261115.92945938135</v>
      </c>
      <c r="J746" s="13">
        <f t="shared" si="20"/>
        <v>261115.92945938135</v>
      </c>
      <c r="K746" s="13">
        <f t="shared" si="21"/>
        <v>0</v>
      </c>
      <c r="L746" s="13">
        <f t="shared" si="22"/>
        <v>8234799.662430401</v>
      </c>
      <c r="M746" s="13">
        <f t="shared" si="23"/>
        <v>18234799.662430402</v>
      </c>
      <c r="N746" s="13">
        <f t="shared" si="24"/>
        <v>18234799.662430402</v>
      </c>
      <c r="O746" s="13">
        <f t="shared" si="25"/>
        <v>0</v>
      </c>
      <c r="P746" s="12">
        <f t="shared" si="26"/>
        <v>0</v>
      </c>
    </row>
    <row r="747" spans="1:16" ht="14.4" x14ac:dyDescent="0.3">
      <c r="A747" s="7" t="s">
        <v>628</v>
      </c>
      <c r="B747" s="8">
        <v>41820</v>
      </c>
      <c r="C747" s="9">
        <v>16.8</v>
      </c>
      <c r="D747" s="8">
        <v>41912</v>
      </c>
      <c r="E747" s="9">
        <v>14.62</v>
      </c>
      <c r="F747" s="17">
        <v>-12.98</v>
      </c>
      <c r="G747" s="11"/>
      <c r="H747" s="12">
        <f t="shared" si="18"/>
        <v>-0.12976190476190486</v>
      </c>
      <c r="I747" s="13">
        <f t="shared" si="19"/>
        <v>-25952.380952380972</v>
      </c>
      <c r="J747" s="13">
        <f t="shared" si="20"/>
        <v>0</v>
      </c>
      <c r="K747" s="13">
        <f t="shared" si="21"/>
        <v>-25952.380952380972</v>
      </c>
      <c r="L747" s="13">
        <f t="shared" si="22"/>
        <v>8208847.2814780204</v>
      </c>
      <c r="M747" s="13">
        <f t="shared" si="23"/>
        <v>18208847.281478021</v>
      </c>
      <c r="N747" s="13">
        <f t="shared" si="24"/>
        <v>18234799.662430402</v>
      </c>
      <c r="O747" s="13">
        <f t="shared" si="25"/>
        <v>-25952.380952380598</v>
      </c>
      <c r="P747" s="12">
        <f t="shared" si="26"/>
        <v>-1.4232336758736601E-3</v>
      </c>
    </row>
    <row r="748" spans="1:16" ht="14.4" x14ac:dyDescent="0.3">
      <c r="A748" s="7" t="s">
        <v>604</v>
      </c>
      <c r="B748" s="8">
        <v>41820</v>
      </c>
      <c r="C748" s="9">
        <v>633.75</v>
      </c>
      <c r="D748" s="8">
        <v>41912</v>
      </c>
      <c r="E748" s="9">
        <v>1000</v>
      </c>
      <c r="F748" s="17">
        <v>57.79</v>
      </c>
      <c r="G748" s="11"/>
      <c r="H748" s="12">
        <f t="shared" si="18"/>
        <v>0.57790927021696248</v>
      </c>
      <c r="I748" s="13">
        <f t="shared" si="19"/>
        <v>115581.85404339249</v>
      </c>
      <c r="J748" s="13">
        <f t="shared" si="20"/>
        <v>115581.85404339249</v>
      </c>
      <c r="K748" s="13">
        <f t="shared" si="21"/>
        <v>0</v>
      </c>
      <c r="L748" s="13">
        <f t="shared" si="22"/>
        <v>8324429.1355214128</v>
      </c>
      <c r="M748" s="13">
        <f t="shared" si="23"/>
        <v>18324429.135521412</v>
      </c>
      <c r="N748" s="13">
        <f t="shared" si="24"/>
        <v>18324429.135521412</v>
      </c>
      <c r="O748" s="13">
        <f t="shared" si="25"/>
        <v>0</v>
      </c>
      <c r="P748" s="12">
        <f t="shared" si="26"/>
        <v>0</v>
      </c>
    </row>
    <row r="749" spans="1:16" ht="14.4" x14ac:dyDescent="0.3">
      <c r="A749" s="7" t="s">
        <v>629</v>
      </c>
      <c r="B749" s="8">
        <v>41820</v>
      </c>
      <c r="C749" s="9">
        <v>95.75</v>
      </c>
      <c r="D749" s="8">
        <v>41912</v>
      </c>
      <c r="E749" s="9">
        <v>117.65</v>
      </c>
      <c r="F749" s="17">
        <v>22.87</v>
      </c>
      <c r="G749" s="11"/>
      <c r="H749" s="12">
        <f t="shared" si="18"/>
        <v>0.22872062663185386</v>
      </c>
      <c r="I749" s="13">
        <f t="shared" si="19"/>
        <v>45744.125326370769</v>
      </c>
      <c r="J749" s="13">
        <f t="shared" si="20"/>
        <v>45744.125326370769</v>
      </c>
      <c r="K749" s="13">
        <f t="shared" si="21"/>
        <v>0</v>
      </c>
      <c r="L749" s="13">
        <f t="shared" si="22"/>
        <v>8370173.2608477836</v>
      </c>
      <c r="M749" s="13">
        <f t="shared" si="23"/>
        <v>18370173.260847785</v>
      </c>
      <c r="N749" s="13">
        <f t="shared" si="24"/>
        <v>18370173.260847785</v>
      </c>
      <c r="O749" s="13">
        <f t="shared" si="25"/>
        <v>0</v>
      </c>
      <c r="P749" s="12">
        <f t="shared" si="26"/>
        <v>0</v>
      </c>
    </row>
    <row r="750" spans="1:16" ht="14.4" x14ac:dyDescent="0.3">
      <c r="A750" s="7" t="s">
        <v>36</v>
      </c>
      <c r="B750" s="8">
        <v>41820</v>
      </c>
      <c r="C750" s="9">
        <v>73.45</v>
      </c>
      <c r="D750" s="8">
        <v>41912</v>
      </c>
      <c r="E750" s="9">
        <v>70.75</v>
      </c>
      <c r="F750" s="17">
        <v>-3.68</v>
      </c>
      <c r="G750" s="11"/>
      <c r="H750" s="12">
        <f t="shared" si="18"/>
        <v>-3.6759700476514674E-2</v>
      </c>
      <c r="I750" s="13">
        <f t="shared" si="19"/>
        <v>-7351.9400953029344</v>
      </c>
      <c r="J750" s="13">
        <f t="shared" si="20"/>
        <v>0</v>
      </c>
      <c r="K750" s="13">
        <f t="shared" si="21"/>
        <v>-7351.9400953029344</v>
      </c>
      <c r="L750" s="13">
        <f t="shared" si="22"/>
        <v>8362821.320752481</v>
      </c>
      <c r="M750" s="13">
        <f t="shared" si="23"/>
        <v>18362821.320752479</v>
      </c>
      <c r="N750" s="13">
        <f t="shared" si="24"/>
        <v>18370173.260847785</v>
      </c>
      <c r="O750" s="13">
        <f t="shared" si="25"/>
        <v>-7351.9400953054428</v>
      </c>
      <c r="P750" s="12">
        <f t="shared" si="26"/>
        <v>-4.0021071064008846E-4</v>
      </c>
    </row>
    <row r="751" spans="1:16" ht="14.4" x14ac:dyDescent="0.3">
      <c r="A751" s="7" t="s">
        <v>38</v>
      </c>
      <c r="B751" s="8">
        <v>41820</v>
      </c>
      <c r="C751" s="9">
        <v>125</v>
      </c>
      <c r="D751" s="8">
        <v>41912</v>
      </c>
      <c r="E751" s="9">
        <v>247.05</v>
      </c>
      <c r="F751" s="17">
        <v>97.64</v>
      </c>
      <c r="G751" s="11"/>
      <c r="H751" s="12">
        <f t="shared" si="18"/>
        <v>0.97640000000000005</v>
      </c>
      <c r="I751" s="13">
        <f t="shared" si="19"/>
        <v>195280</v>
      </c>
      <c r="J751" s="13">
        <f t="shared" si="20"/>
        <v>195280</v>
      </c>
      <c r="K751" s="13">
        <f t="shared" si="21"/>
        <v>0</v>
      </c>
      <c r="L751" s="13">
        <f t="shared" si="22"/>
        <v>8558101.320752481</v>
      </c>
      <c r="M751" s="13">
        <f t="shared" si="23"/>
        <v>18558101.320752479</v>
      </c>
      <c r="N751" s="13">
        <f t="shared" si="24"/>
        <v>18558101.320752479</v>
      </c>
      <c r="O751" s="13">
        <f t="shared" si="25"/>
        <v>0</v>
      </c>
      <c r="P751" s="12">
        <f t="shared" si="26"/>
        <v>0</v>
      </c>
    </row>
    <row r="752" spans="1:16" ht="14.4" x14ac:dyDescent="0.3">
      <c r="A752" s="7" t="s">
        <v>630</v>
      </c>
      <c r="B752" s="8">
        <v>41820</v>
      </c>
      <c r="C752" s="9">
        <v>37</v>
      </c>
      <c r="D752" s="8">
        <v>41912</v>
      </c>
      <c r="E752" s="9">
        <v>45.65</v>
      </c>
      <c r="F752" s="17">
        <v>23.38</v>
      </c>
      <c r="G752" s="11"/>
      <c r="H752" s="12">
        <f t="shared" si="18"/>
        <v>0.23378378378378376</v>
      </c>
      <c r="I752" s="13">
        <f t="shared" si="19"/>
        <v>46756.756756756753</v>
      </c>
      <c r="J752" s="13">
        <f t="shared" si="20"/>
        <v>46756.756756756753</v>
      </c>
      <c r="K752" s="13">
        <f t="shared" si="21"/>
        <v>0</v>
      </c>
      <c r="L752" s="13">
        <f t="shared" si="22"/>
        <v>8604858.0775092375</v>
      </c>
      <c r="M752" s="13">
        <f t="shared" si="23"/>
        <v>18604858.077509239</v>
      </c>
      <c r="N752" s="13">
        <f t="shared" si="24"/>
        <v>18604858.077509239</v>
      </c>
      <c r="O752" s="13">
        <f t="shared" si="25"/>
        <v>0</v>
      </c>
      <c r="P752" s="12">
        <f t="shared" si="26"/>
        <v>0</v>
      </c>
    </row>
    <row r="753" spans="1:16" ht="14.4" x14ac:dyDescent="0.3">
      <c r="A753" s="7" t="s">
        <v>631</v>
      </c>
      <c r="B753" s="8">
        <v>41820</v>
      </c>
      <c r="C753" s="9">
        <v>13.63</v>
      </c>
      <c r="D753" s="8">
        <v>41912</v>
      </c>
      <c r="E753" s="9">
        <v>17.32</v>
      </c>
      <c r="F753" s="17">
        <v>27.07</v>
      </c>
      <c r="G753" s="11"/>
      <c r="H753" s="12">
        <f t="shared" si="18"/>
        <v>0.27072633895818043</v>
      </c>
      <c r="I753" s="13">
        <f t="shared" si="19"/>
        <v>54145.267791636084</v>
      </c>
      <c r="J753" s="13">
        <f t="shared" si="20"/>
        <v>54145.267791636084</v>
      </c>
      <c r="K753" s="13">
        <f t="shared" si="21"/>
        <v>0</v>
      </c>
      <c r="L753" s="13">
        <f t="shared" si="22"/>
        <v>8659003.3453008737</v>
      </c>
      <c r="M753" s="13">
        <f t="shared" si="23"/>
        <v>18659003.345300876</v>
      </c>
      <c r="N753" s="13">
        <f t="shared" si="24"/>
        <v>18659003.345300876</v>
      </c>
      <c r="O753" s="13">
        <f t="shared" si="25"/>
        <v>0</v>
      </c>
      <c r="P753" s="12">
        <f t="shared" si="26"/>
        <v>0</v>
      </c>
    </row>
    <row r="754" spans="1:16" ht="14.4" x14ac:dyDescent="0.3">
      <c r="A754" s="7" t="s">
        <v>17</v>
      </c>
      <c r="B754" s="8">
        <v>41729</v>
      </c>
      <c r="C754" s="9">
        <v>17.850000000000001</v>
      </c>
      <c r="D754" s="8">
        <v>41820</v>
      </c>
      <c r="E754" s="9">
        <v>25.8</v>
      </c>
      <c r="F754" s="17">
        <v>44.54</v>
      </c>
      <c r="G754" s="11"/>
      <c r="H754" s="12">
        <f t="shared" si="18"/>
        <v>0.44537815126050412</v>
      </c>
      <c r="I754" s="13">
        <f t="shared" si="19"/>
        <v>89075.630252100818</v>
      </c>
      <c r="J754" s="13">
        <f t="shared" si="20"/>
        <v>89075.630252100818</v>
      </c>
      <c r="K754" s="13">
        <f t="shared" si="21"/>
        <v>0</v>
      </c>
      <c r="L754" s="13">
        <f t="shared" si="22"/>
        <v>8748078.9755529743</v>
      </c>
      <c r="M754" s="13">
        <f t="shared" si="23"/>
        <v>18748078.975552976</v>
      </c>
      <c r="N754" s="13">
        <f t="shared" si="24"/>
        <v>18748078.975552976</v>
      </c>
      <c r="O754" s="13">
        <f t="shared" si="25"/>
        <v>0</v>
      </c>
      <c r="P754" s="12">
        <f t="shared" si="26"/>
        <v>0</v>
      </c>
    </row>
    <row r="755" spans="1:16" ht="14.4" x14ac:dyDescent="0.3">
      <c r="A755" s="7" t="s">
        <v>573</v>
      </c>
      <c r="B755" s="8">
        <v>41639</v>
      </c>
      <c r="C755" s="9">
        <v>34.65</v>
      </c>
      <c r="D755" s="8">
        <v>41820</v>
      </c>
      <c r="E755" s="9">
        <v>64.760000000000005</v>
      </c>
      <c r="F755" s="17">
        <v>86.9</v>
      </c>
      <c r="G755" s="11"/>
      <c r="H755" s="12">
        <f t="shared" si="18"/>
        <v>0.86897546897546918</v>
      </c>
      <c r="I755" s="13">
        <f t="shared" si="19"/>
        <v>173795.09379509382</v>
      </c>
      <c r="J755" s="13">
        <f t="shared" si="20"/>
        <v>173795.09379509382</v>
      </c>
      <c r="K755" s="13">
        <f t="shared" si="21"/>
        <v>0</v>
      </c>
      <c r="L755" s="13">
        <f t="shared" si="22"/>
        <v>8921874.0693480689</v>
      </c>
      <c r="M755" s="13">
        <f t="shared" si="23"/>
        <v>18921874.069348067</v>
      </c>
      <c r="N755" s="13">
        <f t="shared" si="24"/>
        <v>18921874.069348067</v>
      </c>
      <c r="O755" s="13">
        <f t="shared" si="25"/>
        <v>0</v>
      </c>
      <c r="P755" s="12">
        <f t="shared" si="26"/>
        <v>0</v>
      </c>
    </row>
    <row r="756" spans="1:16" ht="14.4" x14ac:dyDescent="0.3">
      <c r="A756" s="7" t="s">
        <v>632</v>
      </c>
      <c r="B756" s="8">
        <v>41729</v>
      </c>
      <c r="C756" s="9">
        <v>104</v>
      </c>
      <c r="D756" s="8">
        <v>41820</v>
      </c>
      <c r="E756" s="9">
        <v>149.15</v>
      </c>
      <c r="F756" s="17">
        <v>43.41</v>
      </c>
      <c r="G756" s="11"/>
      <c r="H756" s="12">
        <f t="shared" si="18"/>
        <v>0.43413461538461545</v>
      </c>
      <c r="I756" s="13">
        <f t="shared" si="19"/>
        <v>86826.923076923093</v>
      </c>
      <c r="J756" s="13">
        <f t="shared" si="20"/>
        <v>86826.923076923093</v>
      </c>
      <c r="K756" s="13">
        <f t="shared" si="21"/>
        <v>0</v>
      </c>
      <c r="L756" s="13">
        <f t="shared" si="22"/>
        <v>9008700.9924249928</v>
      </c>
      <c r="M756" s="13">
        <f t="shared" si="23"/>
        <v>19008700.992424995</v>
      </c>
      <c r="N756" s="13">
        <f t="shared" si="24"/>
        <v>19008700.992424995</v>
      </c>
      <c r="O756" s="13">
        <f t="shared" si="25"/>
        <v>0</v>
      </c>
      <c r="P756" s="12">
        <f t="shared" si="26"/>
        <v>0</v>
      </c>
    </row>
    <row r="757" spans="1:16" ht="14.4" x14ac:dyDescent="0.3">
      <c r="A757" s="7" t="s">
        <v>633</v>
      </c>
      <c r="B757" s="8">
        <v>41729</v>
      </c>
      <c r="C757" s="9">
        <v>124.8</v>
      </c>
      <c r="D757" s="8">
        <v>41820</v>
      </c>
      <c r="E757" s="9">
        <v>321.25</v>
      </c>
      <c r="F757" s="17">
        <v>157.41</v>
      </c>
      <c r="G757" s="11"/>
      <c r="H757" s="12">
        <f t="shared" si="18"/>
        <v>1.5741185897435896</v>
      </c>
      <c r="I757" s="13">
        <f t="shared" si="19"/>
        <v>314823.71794871794</v>
      </c>
      <c r="J757" s="13">
        <f t="shared" si="20"/>
        <v>314823.71794871794</v>
      </c>
      <c r="K757" s="13">
        <f t="shared" si="21"/>
        <v>0</v>
      </c>
      <c r="L757" s="13">
        <f t="shared" si="22"/>
        <v>9323524.7103737108</v>
      </c>
      <c r="M757" s="13">
        <f t="shared" si="23"/>
        <v>19323524.710373711</v>
      </c>
      <c r="N757" s="13">
        <f t="shared" si="24"/>
        <v>19323524.710373711</v>
      </c>
      <c r="O757" s="13">
        <f t="shared" si="25"/>
        <v>0</v>
      </c>
      <c r="P757" s="12">
        <f t="shared" si="26"/>
        <v>0</v>
      </c>
    </row>
    <row r="758" spans="1:16" ht="14.4" x14ac:dyDescent="0.3">
      <c r="A758" s="7" t="s">
        <v>634</v>
      </c>
      <c r="B758" s="8">
        <v>41729</v>
      </c>
      <c r="C758" s="9">
        <v>507</v>
      </c>
      <c r="D758" s="8">
        <v>41820</v>
      </c>
      <c r="E758" s="9">
        <v>655.6</v>
      </c>
      <c r="F758" s="17">
        <v>29.31</v>
      </c>
      <c r="G758" s="11"/>
      <c r="H758" s="12">
        <f t="shared" si="18"/>
        <v>0.29309664694280085</v>
      </c>
      <c r="I758" s="13">
        <f t="shared" si="19"/>
        <v>58619.329388560174</v>
      </c>
      <c r="J758" s="13">
        <f t="shared" si="20"/>
        <v>58619.329388560174</v>
      </c>
      <c r="K758" s="13">
        <f t="shared" si="21"/>
        <v>0</v>
      </c>
      <c r="L758" s="13">
        <f t="shared" si="22"/>
        <v>9382144.0397622716</v>
      </c>
      <c r="M758" s="13">
        <f t="shared" si="23"/>
        <v>19382144.039762273</v>
      </c>
      <c r="N758" s="13">
        <f t="shared" si="24"/>
        <v>19382144.039762273</v>
      </c>
      <c r="O758" s="13">
        <f t="shared" si="25"/>
        <v>0</v>
      </c>
      <c r="P758" s="12">
        <f t="shared" si="26"/>
        <v>0</v>
      </c>
    </row>
    <row r="759" spans="1:16" ht="14.4" x14ac:dyDescent="0.3">
      <c r="A759" s="7" t="s">
        <v>635</v>
      </c>
      <c r="B759" s="8">
        <v>41729</v>
      </c>
      <c r="C759" s="9">
        <v>66.05</v>
      </c>
      <c r="D759" s="8">
        <v>41820</v>
      </c>
      <c r="E759" s="9">
        <v>86</v>
      </c>
      <c r="F759" s="17">
        <v>30.2</v>
      </c>
      <c r="G759" s="11"/>
      <c r="H759" s="12">
        <f t="shared" si="18"/>
        <v>0.30204390613171844</v>
      </c>
      <c r="I759" s="13">
        <f t="shared" si="19"/>
        <v>60408.781226343686</v>
      </c>
      <c r="J759" s="13">
        <f t="shared" si="20"/>
        <v>60408.781226343686</v>
      </c>
      <c r="K759" s="13">
        <f t="shared" si="21"/>
        <v>0</v>
      </c>
      <c r="L759" s="13">
        <f t="shared" si="22"/>
        <v>9442552.820988616</v>
      </c>
      <c r="M759" s="13">
        <f t="shared" si="23"/>
        <v>19442552.820988618</v>
      </c>
      <c r="N759" s="13">
        <f t="shared" si="24"/>
        <v>19442552.820988618</v>
      </c>
      <c r="O759" s="13">
        <f t="shared" si="25"/>
        <v>0</v>
      </c>
      <c r="P759" s="12">
        <f t="shared" si="26"/>
        <v>0</v>
      </c>
    </row>
    <row r="760" spans="1:16" ht="14.4" x14ac:dyDescent="0.3">
      <c r="A760" s="7" t="s">
        <v>26</v>
      </c>
      <c r="B760" s="8">
        <v>41729</v>
      </c>
      <c r="C760" s="9">
        <v>79.430000000000007</v>
      </c>
      <c r="D760" s="8">
        <v>41820</v>
      </c>
      <c r="E760" s="9">
        <v>92.2</v>
      </c>
      <c r="F760" s="17">
        <v>16.079999999999998</v>
      </c>
      <c r="G760" s="11"/>
      <c r="H760" s="12">
        <f t="shared" si="18"/>
        <v>0.16077048973939312</v>
      </c>
      <c r="I760" s="13">
        <f t="shared" si="19"/>
        <v>32154.097947878625</v>
      </c>
      <c r="J760" s="13">
        <f t="shared" si="20"/>
        <v>32154.097947878625</v>
      </c>
      <c r="K760" s="13">
        <f t="shared" si="21"/>
        <v>0</v>
      </c>
      <c r="L760" s="13">
        <f t="shared" si="22"/>
        <v>9474706.9189364947</v>
      </c>
      <c r="M760" s="13">
        <f t="shared" si="23"/>
        <v>19474706.918936495</v>
      </c>
      <c r="N760" s="13">
        <f t="shared" si="24"/>
        <v>19474706.918936495</v>
      </c>
      <c r="O760" s="13">
        <f t="shared" si="25"/>
        <v>0</v>
      </c>
      <c r="P760" s="12">
        <f t="shared" si="26"/>
        <v>0</v>
      </c>
    </row>
    <row r="761" spans="1:16" ht="14.4" x14ac:dyDescent="0.3">
      <c r="A761" s="7" t="s">
        <v>562</v>
      </c>
      <c r="B761" s="8">
        <v>41729</v>
      </c>
      <c r="C761" s="9">
        <v>20.7</v>
      </c>
      <c r="D761" s="8">
        <v>41820</v>
      </c>
      <c r="E761" s="9">
        <v>29.15</v>
      </c>
      <c r="F761" s="17">
        <v>40.82</v>
      </c>
      <c r="G761" s="11"/>
      <c r="H761" s="12">
        <f t="shared" si="18"/>
        <v>0.40821256038647341</v>
      </c>
      <c r="I761" s="13">
        <f t="shared" si="19"/>
        <v>81642.512077294683</v>
      </c>
      <c r="J761" s="13">
        <f t="shared" si="20"/>
        <v>81642.512077294683</v>
      </c>
      <c r="K761" s="13">
        <f t="shared" si="21"/>
        <v>0</v>
      </c>
      <c r="L761" s="13">
        <f t="shared" si="22"/>
        <v>9556349.431013789</v>
      </c>
      <c r="M761" s="13">
        <f t="shared" si="23"/>
        <v>19556349.431013789</v>
      </c>
      <c r="N761" s="13">
        <f t="shared" si="24"/>
        <v>19556349.431013789</v>
      </c>
      <c r="O761" s="13">
        <f t="shared" si="25"/>
        <v>0</v>
      </c>
      <c r="P761" s="12">
        <f t="shared" si="26"/>
        <v>0</v>
      </c>
    </row>
    <row r="762" spans="1:16" ht="14.4" x14ac:dyDescent="0.3">
      <c r="A762" s="7" t="s">
        <v>636</v>
      </c>
      <c r="B762" s="8">
        <v>41729</v>
      </c>
      <c r="C762" s="9">
        <v>56</v>
      </c>
      <c r="D762" s="8">
        <v>41820</v>
      </c>
      <c r="E762" s="9">
        <v>111</v>
      </c>
      <c r="F762" s="17">
        <v>98.21</v>
      </c>
      <c r="G762" s="11"/>
      <c r="H762" s="12">
        <f t="shared" si="18"/>
        <v>0.9821428571428571</v>
      </c>
      <c r="I762" s="13">
        <f t="shared" si="19"/>
        <v>196428.57142857142</v>
      </c>
      <c r="J762" s="13">
        <f t="shared" si="20"/>
        <v>196428.57142857142</v>
      </c>
      <c r="K762" s="13">
        <f t="shared" si="21"/>
        <v>0</v>
      </c>
      <c r="L762" s="13">
        <f t="shared" si="22"/>
        <v>9752778.0024423599</v>
      </c>
      <c r="M762" s="13">
        <f t="shared" si="23"/>
        <v>19752778.00244236</v>
      </c>
      <c r="N762" s="13">
        <f t="shared" si="24"/>
        <v>19752778.00244236</v>
      </c>
      <c r="O762" s="13">
        <f t="shared" si="25"/>
        <v>0</v>
      </c>
      <c r="P762" s="12">
        <f t="shared" si="26"/>
        <v>0</v>
      </c>
    </row>
    <row r="763" spans="1:16" ht="14.4" x14ac:dyDescent="0.3">
      <c r="A763" s="7" t="s">
        <v>637</v>
      </c>
      <c r="B763" s="8">
        <v>41729</v>
      </c>
      <c r="C763" s="9">
        <v>29.73</v>
      </c>
      <c r="D763" s="8">
        <v>41820</v>
      </c>
      <c r="E763" s="9">
        <v>56.19</v>
      </c>
      <c r="F763" s="17">
        <v>89</v>
      </c>
      <c r="G763" s="11"/>
      <c r="H763" s="12">
        <f t="shared" si="18"/>
        <v>0.89001009081735605</v>
      </c>
      <c r="I763" s="13">
        <f t="shared" si="19"/>
        <v>178002.01816347122</v>
      </c>
      <c r="J763" s="13">
        <f t="shared" si="20"/>
        <v>178002.01816347122</v>
      </c>
      <c r="K763" s="13">
        <f t="shared" si="21"/>
        <v>0</v>
      </c>
      <c r="L763" s="13">
        <f t="shared" si="22"/>
        <v>9930780.0206058305</v>
      </c>
      <c r="M763" s="13">
        <f t="shared" si="23"/>
        <v>19930780.020605832</v>
      </c>
      <c r="N763" s="13">
        <f t="shared" si="24"/>
        <v>19930780.020605832</v>
      </c>
      <c r="O763" s="13">
        <f t="shared" si="25"/>
        <v>0</v>
      </c>
      <c r="P763" s="12">
        <f t="shared" si="26"/>
        <v>0</v>
      </c>
    </row>
    <row r="764" spans="1:16" ht="14.4" x14ac:dyDescent="0.3">
      <c r="A764" s="7" t="s">
        <v>638</v>
      </c>
      <c r="B764" s="8">
        <v>41729</v>
      </c>
      <c r="C764" s="9">
        <v>24.15</v>
      </c>
      <c r="D764" s="8">
        <v>41820</v>
      </c>
      <c r="E764" s="9">
        <v>29.5</v>
      </c>
      <c r="F764" s="17">
        <v>22.15</v>
      </c>
      <c r="G764" s="11"/>
      <c r="H764" s="12">
        <f t="shared" si="18"/>
        <v>0.22153209109730856</v>
      </c>
      <c r="I764" s="13">
        <f t="shared" si="19"/>
        <v>44306.41821946171</v>
      </c>
      <c r="J764" s="13">
        <f t="shared" si="20"/>
        <v>44306.41821946171</v>
      </c>
      <c r="K764" s="13">
        <f t="shared" si="21"/>
        <v>0</v>
      </c>
      <c r="L764" s="13">
        <f t="shared" si="22"/>
        <v>9975086.4388252925</v>
      </c>
      <c r="M764" s="13">
        <f t="shared" si="23"/>
        <v>19975086.438825294</v>
      </c>
      <c r="N764" s="13">
        <f t="shared" si="24"/>
        <v>19975086.438825294</v>
      </c>
      <c r="O764" s="13">
        <f t="shared" si="25"/>
        <v>0</v>
      </c>
      <c r="P764" s="12">
        <f t="shared" si="26"/>
        <v>0</v>
      </c>
    </row>
    <row r="765" spans="1:16" ht="14.4" x14ac:dyDescent="0.3">
      <c r="A765" s="7" t="s">
        <v>639</v>
      </c>
      <c r="B765" s="8">
        <v>41729</v>
      </c>
      <c r="C765" s="9">
        <v>149</v>
      </c>
      <c r="D765" s="8">
        <v>41820</v>
      </c>
      <c r="E765" s="9">
        <v>128.05000000000001</v>
      </c>
      <c r="F765" s="17">
        <v>-14.06</v>
      </c>
      <c r="G765" s="11"/>
      <c r="H765" s="12">
        <f t="shared" si="18"/>
        <v>-0.1406040268456375</v>
      </c>
      <c r="I765" s="13">
        <f t="shared" si="19"/>
        <v>-28120.805369127498</v>
      </c>
      <c r="J765" s="13">
        <f t="shared" si="20"/>
        <v>0</v>
      </c>
      <c r="K765" s="13">
        <f t="shared" si="21"/>
        <v>-28120.805369127498</v>
      </c>
      <c r="L765" s="13">
        <f t="shared" si="22"/>
        <v>9946965.633456165</v>
      </c>
      <c r="M765" s="13">
        <f t="shared" si="23"/>
        <v>19946965.633456163</v>
      </c>
      <c r="N765" s="13">
        <f t="shared" si="24"/>
        <v>19975086.438825294</v>
      </c>
      <c r="O765" s="13">
        <f t="shared" si="25"/>
        <v>-28120.805369131267</v>
      </c>
      <c r="P765" s="12">
        <f t="shared" si="26"/>
        <v>-1.4077939264619777E-3</v>
      </c>
    </row>
    <row r="766" spans="1:16" ht="14.4" x14ac:dyDescent="0.3">
      <c r="A766" s="7" t="s">
        <v>640</v>
      </c>
      <c r="B766" s="8">
        <v>41729</v>
      </c>
      <c r="C766" s="9">
        <v>187.75</v>
      </c>
      <c r="D766" s="8">
        <v>41820</v>
      </c>
      <c r="E766" s="9">
        <v>407</v>
      </c>
      <c r="F766" s="17">
        <v>116.78</v>
      </c>
      <c r="G766" s="11"/>
      <c r="H766" s="12">
        <f t="shared" si="18"/>
        <v>1.1677762982689748</v>
      </c>
      <c r="I766" s="13">
        <f t="shared" si="19"/>
        <v>233555.25965379496</v>
      </c>
      <c r="J766" s="13">
        <f t="shared" si="20"/>
        <v>233555.25965379496</v>
      </c>
      <c r="K766" s="13">
        <f t="shared" si="21"/>
        <v>0</v>
      </c>
      <c r="L766" s="13">
        <f t="shared" si="22"/>
        <v>10180520.89310996</v>
      </c>
      <c r="M766" s="13">
        <f t="shared" si="23"/>
        <v>20180520.893109962</v>
      </c>
      <c r="N766" s="13">
        <f t="shared" si="24"/>
        <v>20180520.893109962</v>
      </c>
      <c r="O766" s="13">
        <f t="shared" si="25"/>
        <v>0</v>
      </c>
      <c r="P766" s="12">
        <f t="shared" si="26"/>
        <v>0</v>
      </c>
    </row>
    <row r="767" spans="1:16" ht="14.4" x14ac:dyDescent="0.3">
      <c r="A767" s="7" t="s">
        <v>391</v>
      </c>
      <c r="B767" s="8">
        <v>41729</v>
      </c>
      <c r="C767" s="9">
        <v>151.03</v>
      </c>
      <c r="D767" s="8">
        <v>41820</v>
      </c>
      <c r="E767" s="9">
        <v>288.97000000000003</v>
      </c>
      <c r="F767" s="17">
        <v>91.33</v>
      </c>
      <c r="G767" s="11"/>
      <c r="H767" s="12">
        <f t="shared" si="18"/>
        <v>0.91332847778587056</v>
      </c>
      <c r="I767" s="13">
        <f t="shared" si="19"/>
        <v>182665.6955571741</v>
      </c>
      <c r="J767" s="13">
        <f t="shared" si="20"/>
        <v>182665.6955571741</v>
      </c>
      <c r="K767" s="13">
        <f t="shared" si="21"/>
        <v>0</v>
      </c>
      <c r="L767" s="13">
        <f t="shared" si="22"/>
        <v>10363186.588667134</v>
      </c>
      <c r="M767" s="13">
        <f t="shared" si="23"/>
        <v>20363186.588667132</v>
      </c>
      <c r="N767" s="13">
        <f t="shared" si="24"/>
        <v>20363186.588667132</v>
      </c>
      <c r="O767" s="13">
        <f t="shared" si="25"/>
        <v>0</v>
      </c>
      <c r="P767" s="12">
        <f t="shared" si="26"/>
        <v>0</v>
      </c>
    </row>
    <row r="768" spans="1:16" ht="14.4" x14ac:dyDescent="0.3">
      <c r="A768" s="7" t="s">
        <v>641</v>
      </c>
      <c r="B768" s="8">
        <v>41729</v>
      </c>
      <c r="C768" s="9">
        <v>162.94999999999999</v>
      </c>
      <c r="D768" s="8">
        <v>41820</v>
      </c>
      <c r="E768" s="9">
        <v>274.5</v>
      </c>
      <c r="F768" s="17">
        <v>68.459999999999994</v>
      </c>
      <c r="G768" s="11"/>
      <c r="H768" s="12">
        <f t="shared" ref="H768:H791" si="27">(E768-C768)/C768</f>
        <v>0.68456581773550185</v>
      </c>
      <c r="I768" s="13">
        <f t="shared" ref="I768:I791" si="28">10000000*0.02*H768</f>
        <v>136913.16354710038</v>
      </c>
      <c r="J768" s="13">
        <f t="shared" ref="J768:J791" si="29">IF(I768&gt;0, I768, 0)</f>
        <v>136913.16354710038</v>
      </c>
      <c r="K768" s="13">
        <f t="shared" ref="K768:K791" si="30">IF(I768&lt;0, I768, 0)</f>
        <v>0</v>
      </c>
      <c r="L768" s="13">
        <f t="shared" ref="L768:L791" si="31">SUM(I$3:I768)</f>
        <v>10500099.752214234</v>
      </c>
      <c r="M768" s="13">
        <f t="shared" ref="M768:M791" si="32">10000000+L768</f>
        <v>20500099.752214234</v>
      </c>
      <c r="N768" s="13">
        <f t="shared" ref="N768:N791" si="33">MAX(M$3:M768)</f>
        <v>20500099.752214234</v>
      </c>
      <c r="O768" s="13">
        <f t="shared" ref="O768:O791" si="34">M768-N768</f>
        <v>0</v>
      </c>
      <c r="P768" s="12">
        <f t="shared" ref="P768:P791" si="35">O768/N768</f>
        <v>0</v>
      </c>
    </row>
    <row r="769" spans="1:16" ht="14.4" x14ac:dyDescent="0.3">
      <c r="A769" s="7" t="s">
        <v>642</v>
      </c>
      <c r="B769" s="8">
        <v>41729</v>
      </c>
      <c r="C769" s="9">
        <v>280.10000000000002</v>
      </c>
      <c r="D769" s="8">
        <v>41820</v>
      </c>
      <c r="E769" s="9">
        <v>443.9</v>
      </c>
      <c r="F769" s="17">
        <v>58.48</v>
      </c>
      <c r="G769" s="11"/>
      <c r="H769" s="12">
        <f t="shared" si="27"/>
        <v>0.58479114601927862</v>
      </c>
      <c r="I769" s="13">
        <f t="shared" si="28"/>
        <v>116958.22920385572</v>
      </c>
      <c r="J769" s="13">
        <f t="shared" si="29"/>
        <v>116958.22920385572</v>
      </c>
      <c r="K769" s="13">
        <f t="shared" si="30"/>
        <v>0</v>
      </c>
      <c r="L769" s="13">
        <f t="shared" si="31"/>
        <v>10617057.98141809</v>
      </c>
      <c r="M769" s="13">
        <f t="shared" si="32"/>
        <v>20617057.981418088</v>
      </c>
      <c r="N769" s="13">
        <f t="shared" si="33"/>
        <v>20617057.981418088</v>
      </c>
      <c r="O769" s="13">
        <f t="shared" si="34"/>
        <v>0</v>
      </c>
      <c r="P769" s="12">
        <f t="shared" si="35"/>
        <v>0</v>
      </c>
    </row>
    <row r="770" spans="1:16" ht="14.4" x14ac:dyDescent="0.3">
      <c r="A770" s="7" t="s">
        <v>268</v>
      </c>
      <c r="B770" s="8">
        <v>41729</v>
      </c>
      <c r="C770" s="9">
        <v>299.82</v>
      </c>
      <c r="D770" s="8">
        <v>41820</v>
      </c>
      <c r="E770" s="9">
        <v>446.9</v>
      </c>
      <c r="F770" s="17">
        <v>49.06</v>
      </c>
      <c r="G770" s="11"/>
      <c r="H770" s="12">
        <f t="shared" si="27"/>
        <v>0.49056100326862778</v>
      </c>
      <c r="I770" s="13">
        <f t="shared" si="28"/>
        <v>98112.200653725551</v>
      </c>
      <c r="J770" s="13">
        <f t="shared" si="29"/>
        <v>98112.200653725551</v>
      </c>
      <c r="K770" s="13">
        <f t="shared" si="30"/>
        <v>0</v>
      </c>
      <c r="L770" s="13">
        <f t="shared" si="31"/>
        <v>10715170.182071816</v>
      </c>
      <c r="M770" s="13">
        <f t="shared" si="32"/>
        <v>20715170.182071816</v>
      </c>
      <c r="N770" s="13">
        <f t="shared" si="33"/>
        <v>20715170.182071816</v>
      </c>
      <c r="O770" s="13">
        <f t="shared" si="34"/>
        <v>0</v>
      </c>
      <c r="P770" s="12">
        <f t="shared" si="35"/>
        <v>0</v>
      </c>
    </row>
    <row r="771" spans="1:16" ht="14.4" x14ac:dyDescent="0.3">
      <c r="A771" s="7" t="s">
        <v>348</v>
      </c>
      <c r="B771" s="8">
        <v>41547</v>
      </c>
      <c r="C771" s="9">
        <v>95.05</v>
      </c>
      <c r="D771" s="8">
        <v>41729</v>
      </c>
      <c r="E771" s="9">
        <v>217.9</v>
      </c>
      <c r="F771" s="17">
        <v>129.25</v>
      </c>
      <c r="G771" s="11"/>
      <c r="H771" s="12">
        <f t="shared" si="27"/>
        <v>1.2924776433456078</v>
      </c>
      <c r="I771" s="13">
        <f t="shared" si="28"/>
        <v>258495.52866912156</v>
      </c>
      <c r="J771" s="13">
        <f t="shared" si="29"/>
        <v>258495.52866912156</v>
      </c>
      <c r="K771" s="13">
        <f t="shared" si="30"/>
        <v>0</v>
      </c>
      <c r="L771" s="13">
        <f t="shared" si="31"/>
        <v>10973665.710740937</v>
      </c>
      <c r="M771" s="13">
        <f t="shared" si="32"/>
        <v>20973665.710740939</v>
      </c>
      <c r="N771" s="13">
        <f t="shared" si="33"/>
        <v>20973665.710740939</v>
      </c>
      <c r="O771" s="13">
        <f t="shared" si="34"/>
        <v>0</v>
      </c>
      <c r="P771" s="12">
        <f t="shared" si="35"/>
        <v>0</v>
      </c>
    </row>
    <row r="772" spans="1:16" ht="14.4" x14ac:dyDescent="0.3">
      <c r="A772" s="7" t="s">
        <v>295</v>
      </c>
      <c r="B772" s="8">
        <v>41639</v>
      </c>
      <c r="C772" s="9">
        <v>54.65</v>
      </c>
      <c r="D772" s="8">
        <v>41729</v>
      </c>
      <c r="E772" s="9">
        <v>57.4</v>
      </c>
      <c r="F772" s="17">
        <v>5.03</v>
      </c>
      <c r="G772" s="11"/>
      <c r="H772" s="12">
        <f t="shared" si="27"/>
        <v>5.0320219579139985E-2</v>
      </c>
      <c r="I772" s="13">
        <f t="shared" si="28"/>
        <v>10064.043915827997</v>
      </c>
      <c r="J772" s="13">
        <f t="shared" si="29"/>
        <v>10064.043915827997</v>
      </c>
      <c r="K772" s="13">
        <f t="shared" si="30"/>
        <v>0</v>
      </c>
      <c r="L772" s="13">
        <f t="shared" si="31"/>
        <v>10983729.754656766</v>
      </c>
      <c r="M772" s="13">
        <f t="shared" si="32"/>
        <v>20983729.754656766</v>
      </c>
      <c r="N772" s="13">
        <f t="shared" si="33"/>
        <v>20983729.754656766</v>
      </c>
      <c r="O772" s="13">
        <f t="shared" si="34"/>
        <v>0</v>
      </c>
      <c r="P772" s="12">
        <f t="shared" si="35"/>
        <v>0</v>
      </c>
    </row>
    <row r="773" spans="1:16" ht="14.4" x14ac:dyDescent="0.3">
      <c r="A773" s="7" t="s">
        <v>20</v>
      </c>
      <c r="B773" s="8">
        <v>41639</v>
      </c>
      <c r="C773" s="9">
        <v>95.35</v>
      </c>
      <c r="D773" s="8">
        <v>41729</v>
      </c>
      <c r="E773" s="9">
        <v>140.52000000000001</v>
      </c>
      <c r="F773" s="17">
        <v>47.37</v>
      </c>
      <c r="G773" s="11"/>
      <c r="H773" s="12">
        <f t="shared" si="27"/>
        <v>0.4737283691662299</v>
      </c>
      <c r="I773" s="13">
        <f t="shared" si="28"/>
        <v>94745.673833245979</v>
      </c>
      <c r="J773" s="13">
        <f t="shared" si="29"/>
        <v>94745.673833245979</v>
      </c>
      <c r="K773" s="13">
        <f t="shared" si="30"/>
        <v>0</v>
      </c>
      <c r="L773" s="13">
        <f t="shared" si="31"/>
        <v>11078475.428490011</v>
      </c>
      <c r="M773" s="13">
        <f t="shared" si="32"/>
        <v>21078475.428490013</v>
      </c>
      <c r="N773" s="13">
        <f t="shared" si="33"/>
        <v>21078475.428490013</v>
      </c>
      <c r="O773" s="13">
        <f t="shared" si="34"/>
        <v>0</v>
      </c>
      <c r="P773" s="12">
        <f t="shared" si="35"/>
        <v>0</v>
      </c>
    </row>
    <row r="774" spans="1:16" ht="14.4" x14ac:dyDescent="0.3">
      <c r="A774" s="7" t="s">
        <v>643</v>
      </c>
      <c r="B774" s="8">
        <v>41639</v>
      </c>
      <c r="C774" s="9">
        <v>70</v>
      </c>
      <c r="D774" s="8">
        <v>41729</v>
      </c>
      <c r="E774" s="9">
        <v>88.8</v>
      </c>
      <c r="F774" s="17">
        <v>26.86</v>
      </c>
      <c r="G774" s="11"/>
      <c r="H774" s="12">
        <f t="shared" si="27"/>
        <v>0.26857142857142852</v>
      </c>
      <c r="I774" s="13">
        <f t="shared" si="28"/>
        <v>53714.285714285703</v>
      </c>
      <c r="J774" s="13">
        <f t="shared" si="29"/>
        <v>53714.285714285703</v>
      </c>
      <c r="K774" s="13">
        <f t="shared" si="30"/>
        <v>0</v>
      </c>
      <c r="L774" s="13">
        <f t="shared" si="31"/>
        <v>11132189.714204296</v>
      </c>
      <c r="M774" s="13">
        <f t="shared" si="32"/>
        <v>21132189.714204296</v>
      </c>
      <c r="N774" s="13">
        <f t="shared" si="33"/>
        <v>21132189.714204296</v>
      </c>
      <c r="O774" s="13">
        <f t="shared" si="34"/>
        <v>0</v>
      </c>
      <c r="P774" s="12">
        <f t="shared" si="35"/>
        <v>0</v>
      </c>
    </row>
    <row r="775" spans="1:16" ht="14.4" x14ac:dyDescent="0.3">
      <c r="A775" s="7" t="s">
        <v>419</v>
      </c>
      <c r="B775" s="8">
        <v>41639</v>
      </c>
      <c r="C775" s="9">
        <v>172.15</v>
      </c>
      <c r="D775" s="8">
        <v>41729</v>
      </c>
      <c r="E775" s="9">
        <v>206.25</v>
      </c>
      <c r="F775" s="17">
        <v>19.809999999999999</v>
      </c>
      <c r="G775" s="11"/>
      <c r="H775" s="12">
        <f t="shared" si="27"/>
        <v>0.19808306709265172</v>
      </c>
      <c r="I775" s="13">
        <f t="shared" si="28"/>
        <v>39616.613418530345</v>
      </c>
      <c r="J775" s="13">
        <f t="shared" si="29"/>
        <v>39616.613418530345</v>
      </c>
      <c r="K775" s="13">
        <f t="shared" si="30"/>
        <v>0</v>
      </c>
      <c r="L775" s="13">
        <f t="shared" si="31"/>
        <v>11171806.327622827</v>
      </c>
      <c r="M775" s="13">
        <f t="shared" si="32"/>
        <v>21171806.327622827</v>
      </c>
      <c r="N775" s="13">
        <f t="shared" si="33"/>
        <v>21171806.327622827</v>
      </c>
      <c r="O775" s="13">
        <f t="shared" si="34"/>
        <v>0</v>
      </c>
      <c r="P775" s="12">
        <f t="shared" si="35"/>
        <v>0</v>
      </c>
    </row>
    <row r="776" spans="1:16" ht="14.4" x14ac:dyDescent="0.3">
      <c r="A776" s="7" t="s">
        <v>22</v>
      </c>
      <c r="B776" s="8">
        <v>41639</v>
      </c>
      <c r="C776" s="9">
        <v>133.33000000000001</v>
      </c>
      <c r="D776" s="8">
        <v>41729</v>
      </c>
      <c r="E776" s="9">
        <v>136.66999999999999</v>
      </c>
      <c r="F776" s="17">
        <v>2.5099999999999998</v>
      </c>
      <c r="G776" s="11"/>
      <c r="H776" s="12">
        <f t="shared" si="27"/>
        <v>2.5050626265656451E-2</v>
      </c>
      <c r="I776" s="13">
        <f t="shared" si="28"/>
        <v>5010.1252531312903</v>
      </c>
      <c r="J776" s="13">
        <f t="shared" si="29"/>
        <v>5010.1252531312903</v>
      </c>
      <c r="K776" s="13">
        <f t="shared" si="30"/>
        <v>0</v>
      </c>
      <c r="L776" s="13">
        <f t="shared" si="31"/>
        <v>11176816.452875959</v>
      </c>
      <c r="M776" s="13">
        <f t="shared" si="32"/>
        <v>21176816.452875957</v>
      </c>
      <c r="N776" s="13">
        <f t="shared" si="33"/>
        <v>21176816.452875957</v>
      </c>
      <c r="O776" s="13">
        <f t="shared" si="34"/>
        <v>0</v>
      </c>
      <c r="P776" s="12">
        <f t="shared" si="35"/>
        <v>0</v>
      </c>
    </row>
    <row r="777" spans="1:16" ht="14.4" x14ac:dyDescent="0.3">
      <c r="A777" s="7" t="s">
        <v>644</v>
      </c>
      <c r="B777" s="8">
        <v>41639</v>
      </c>
      <c r="C777" s="9">
        <v>74.75</v>
      </c>
      <c r="D777" s="8">
        <v>41729</v>
      </c>
      <c r="E777" s="9">
        <v>152.16999999999999</v>
      </c>
      <c r="F777" s="17">
        <v>103.57</v>
      </c>
      <c r="G777" s="11"/>
      <c r="H777" s="12">
        <f t="shared" si="27"/>
        <v>1.0357190635451503</v>
      </c>
      <c r="I777" s="13">
        <f t="shared" si="28"/>
        <v>207143.81270903005</v>
      </c>
      <c r="J777" s="13">
        <f t="shared" si="29"/>
        <v>207143.81270903005</v>
      </c>
      <c r="K777" s="13">
        <f t="shared" si="30"/>
        <v>0</v>
      </c>
      <c r="L777" s="13">
        <f t="shared" si="31"/>
        <v>11383960.265584989</v>
      </c>
      <c r="M777" s="13">
        <f t="shared" si="32"/>
        <v>21383960.26558499</v>
      </c>
      <c r="N777" s="13">
        <f t="shared" si="33"/>
        <v>21383960.26558499</v>
      </c>
      <c r="O777" s="13">
        <f t="shared" si="34"/>
        <v>0</v>
      </c>
      <c r="P777" s="12">
        <f t="shared" si="35"/>
        <v>0</v>
      </c>
    </row>
    <row r="778" spans="1:16" ht="14.4" x14ac:dyDescent="0.3">
      <c r="A778" s="7" t="s">
        <v>483</v>
      </c>
      <c r="B778" s="8">
        <v>41639</v>
      </c>
      <c r="C778" s="9">
        <v>35.6</v>
      </c>
      <c r="D778" s="8">
        <v>41729</v>
      </c>
      <c r="E778" s="9">
        <v>31.45</v>
      </c>
      <c r="F778" s="17">
        <v>-11.66</v>
      </c>
      <c r="G778" s="11"/>
      <c r="H778" s="12">
        <f t="shared" si="27"/>
        <v>-0.11657303370786522</v>
      </c>
      <c r="I778" s="13">
        <f t="shared" si="28"/>
        <v>-23314.606741573043</v>
      </c>
      <c r="J778" s="13">
        <f t="shared" si="29"/>
        <v>0</v>
      </c>
      <c r="K778" s="13">
        <f t="shared" si="30"/>
        <v>-23314.606741573043</v>
      </c>
      <c r="L778" s="13">
        <f t="shared" si="31"/>
        <v>11360645.658843415</v>
      </c>
      <c r="M778" s="13">
        <f t="shared" si="32"/>
        <v>21360645.658843413</v>
      </c>
      <c r="N778" s="13">
        <f t="shared" si="33"/>
        <v>21383960.26558499</v>
      </c>
      <c r="O778" s="13">
        <f t="shared" si="34"/>
        <v>-23314.606741577387</v>
      </c>
      <c r="P778" s="12">
        <f t="shared" si="35"/>
        <v>-1.0902847953332363E-3</v>
      </c>
    </row>
    <row r="779" spans="1:16" ht="14.4" x14ac:dyDescent="0.3">
      <c r="A779" s="7" t="s">
        <v>608</v>
      </c>
      <c r="B779" s="8">
        <v>41639</v>
      </c>
      <c r="C779" s="9">
        <v>45.55</v>
      </c>
      <c r="D779" s="8">
        <v>41729</v>
      </c>
      <c r="E779" s="9">
        <v>43</v>
      </c>
      <c r="F779" s="17">
        <v>-5.6</v>
      </c>
      <c r="G779" s="11"/>
      <c r="H779" s="12">
        <f t="shared" si="27"/>
        <v>-5.5982436882546595E-2</v>
      </c>
      <c r="I779" s="13">
        <f t="shared" si="28"/>
        <v>-11196.48737650932</v>
      </c>
      <c r="J779" s="13">
        <f t="shared" si="29"/>
        <v>0</v>
      </c>
      <c r="K779" s="13">
        <f t="shared" si="30"/>
        <v>-11196.48737650932</v>
      </c>
      <c r="L779" s="13">
        <f t="shared" si="31"/>
        <v>11349449.171466906</v>
      </c>
      <c r="M779" s="13">
        <f t="shared" si="32"/>
        <v>21349449.171466906</v>
      </c>
      <c r="N779" s="13">
        <f t="shared" si="33"/>
        <v>21383960.26558499</v>
      </c>
      <c r="O779" s="13">
        <f t="shared" si="34"/>
        <v>-34511.094118084759</v>
      </c>
      <c r="P779" s="12">
        <f t="shared" si="35"/>
        <v>-1.61387758345335E-3</v>
      </c>
    </row>
    <row r="780" spans="1:16" ht="14.4" x14ac:dyDescent="0.3">
      <c r="A780" s="7" t="s">
        <v>398</v>
      </c>
      <c r="B780" s="8">
        <v>41639</v>
      </c>
      <c r="C780" s="9">
        <v>71.599999999999994</v>
      </c>
      <c r="D780" s="8">
        <v>41729</v>
      </c>
      <c r="E780" s="9">
        <v>67.3</v>
      </c>
      <c r="F780" s="17">
        <v>-6.01</v>
      </c>
      <c r="G780" s="11"/>
      <c r="H780" s="12">
        <f t="shared" si="27"/>
        <v>-6.0055865921787674E-2</v>
      </c>
      <c r="I780" s="13">
        <f t="shared" si="28"/>
        <v>-12011.173184357534</v>
      </c>
      <c r="J780" s="13">
        <f t="shared" si="29"/>
        <v>0</v>
      </c>
      <c r="K780" s="13">
        <f t="shared" si="30"/>
        <v>-12011.173184357534</v>
      </c>
      <c r="L780" s="13">
        <f t="shared" si="31"/>
        <v>11337437.998282548</v>
      </c>
      <c r="M780" s="13">
        <f t="shared" si="32"/>
        <v>21337437.998282548</v>
      </c>
      <c r="N780" s="13">
        <f t="shared" si="33"/>
        <v>21383960.26558499</v>
      </c>
      <c r="O780" s="13">
        <f t="shared" si="34"/>
        <v>-46522.267302442342</v>
      </c>
      <c r="P780" s="12">
        <f t="shared" si="35"/>
        <v>-2.1755683570603406E-3</v>
      </c>
    </row>
    <row r="781" spans="1:16" ht="14.4" x14ac:dyDescent="0.3">
      <c r="A781" s="7" t="s">
        <v>645</v>
      </c>
      <c r="B781" s="8">
        <v>41639</v>
      </c>
      <c r="C781" s="9">
        <v>30.2</v>
      </c>
      <c r="D781" s="8">
        <v>41729</v>
      </c>
      <c r="E781" s="9">
        <v>28.05</v>
      </c>
      <c r="F781" s="17">
        <v>-7.12</v>
      </c>
      <c r="G781" s="11"/>
      <c r="H781" s="12">
        <f t="shared" si="27"/>
        <v>-7.1192052980132411E-2</v>
      </c>
      <c r="I781" s="13">
        <f t="shared" si="28"/>
        <v>-14238.410596026482</v>
      </c>
      <c r="J781" s="13">
        <f t="shared" si="29"/>
        <v>0</v>
      </c>
      <c r="K781" s="13">
        <f t="shared" si="30"/>
        <v>-14238.410596026482</v>
      </c>
      <c r="L781" s="13">
        <f t="shared" si="31"/>
        <v>11323199.587686522</v>
      </c>
      <c r="M781" s="13">
        <f t="shared" si="32"/>
        <v>21323199.587686524</v>
      </c>
      <c r="N781" s="13">
        <f t="shared" si="33"/>
        <v>21383960.26558499</v>
      </c>
      <c r="O781" s="13">
        <f t="shared" si="34"/>
        <v>-60760.677898466587</v>
      </c>
      <c r="P781" s="12">
        <f t="shared" si="35"/>
        <v>-2.8414137112036195E-3</v>
      </c>
    </row>
    <row r="782" spans="1:16" ht="14.4" x14ac:dyDescent="0.3">
      <c r="A782" s="7" t="s">
        <v>363</v>
      </c>
      <c r="B782" s="8">
        <v>41639</v>
      </c>
      <c r="C782" s="9">
        <v>42.1</v>
      </c>
      <c r="D782" s="8">
        <v>41729</v>
      </c>
      <c r="E782" s="9">
        <v>62.75</v>
      </c>
      <c r="F782" s="17">
        <v>49.05</v>
      </c>
      <c r="G782" s="11"/>
      <c r="H782" s="12">
        <f t="shared" si="27"/>
        <v>0.49049881235154391</v>
      </c>
      <c r="I782" s="13">
        <f t="shared" si="28"/>
        <v>98099.762470308779</v>
      </c>
      <c r="J782" s="13">
        <f t="shared" si="29"/>
        <v>98099.762470308779</v>
      </c>
      <c r="K782" s="13">
        <f t="shared" si="30"/>
        <v>0</v>
      </c>
      <c r="L782" s="13">
        <f t="shared" si="31"/>
        <v>11421299.350156831</v>
      </c>
      <c r="M782" s="13">
        <f t="shared" si="32"/>
        <v>21421299.350156829</v>
      </c>
      <c r="N782" s="13">
        <f t="shared" si="33"/>
        <v>21421299.350156829</v>
      </c>
      <c r="O782" s="13">
        <f t="shared" si="34"/>
        <v>0</v>
      </c>
      <c r="P782" s="12">
        <f t="shared" si="35"/>
        <v>0</v>
      </c>
    </row>
    <row r="783" spans="1:16" ht="14.4" x14ac:dyDescent="0.3">
      <c r="A783" s="7" t="s">
        <v>646</v>
      </c>
      <c r="B783" s="8">
        <v>41639</v>
      </c>
      <c r="C783" s="9">
        <v>98.9</v>
      </c>
      <c r="D783" s="8">
        <v>41729</v>
      </c>
      <c r="E783" s="9">
        <v>86.4</v>
      </c>
      <c r="F783" s="17">
        <v>-12.64</v>
      </c>
      <c r="G783" s="11"/>
      <c r="H783" s="12">
        <f t="shared" si="27"/>
        <v>-0.12639029322548029</v>
      </c>
      <c r="I783" s="13">
        <f t="shared" si="28"/>
        <v>-25278.058645096058</v>
      </c>
      <c r="J783" s="13">
        <f t="shared" si="29"/>
        <v>0</v>
      </c>
      <c r="K783" s="13">
        <f t="shared" si="30"/>
        <v>-25278.058645096058</v>
      </c>
      <c r="L783" s="13">
        <f t="shared" si="31"/>
        <v>11396021.291511735</v>
      </c>
      <c r="M783" s="13">
        <f t="shared" si="32"/>
        <v>21396021.291511737</v>
      </c>
      <c r="N783" s="13">
        <f t="shared" si="33"/>
        <v>21421299.350156829</v>
      </c>
      <c r="O783" s="13">
        <f t="shared" si="34"/>
        <v>-25278.058645091951</v>
      </c>
      <c r="P783" s="12">
        <f t="shared" si="35"/>
        <v>-1.1800432005496849E-3</v>
      </c>
    </row>
    <row r="784" spans="1:16" ht="14.4" x14ac:dyDescent="0.3">
      <c r="A784" s="7" t="s">
        <v>24</v>
      </c>
      <c r="B784" s="8">
        <v>41639</v>
      </c>
      <c r="C784" s="9">
        <v>191.7</v>
      </c>
      <c r="D784" s="8">
        <v>41729</v>
      </c>
      <c r="E784" s="9">
        <v>183</v>
      </c>
      <c r="F784" s="17">
        <v>-4.54</v>
      </c>
      <c r="G784" s="11"/>
      <c r="H784" s="12">
        <f t="shared" si="27"/>
        <v>-4.5383411580594619E-2</v>
      </c>
      <c r="I784" s="13">
        <f t="shared" si="28"/>
        <v>-9076.6823161189241</v>
      </c>
      <c r="J784" s="13">
        <f t="shared" si="29"/>
        <v>0</v>
      </c>
      <c r="K784" s="13">
        <f t="shared" si="30"/>
        <v>-9076.6823161189241</v>
      </c>
      <c r="L784" s="13">
        <f t="shared" si="31"/>
        <v>11386944.609195616</v>
      </c>
      <c r="M784" s="13">
        <f t="shared" si="32"/>
        <v>21386944.609195616</v>
      </c>
      <c r="N784" s="13">
        <f t="shared" si="33"/>
        <v>21421299.350156829</v>
      </c>
      <c r="O784" s="13">
        <f t="shared" si="34"/>
        <v>-34354.740961212665</v>
      </c>
      <c r="P784" s="12">
        <f t="shared" si="35"/>
        <v>-1.6037655045869638E-3</v>
      </c>
    </row>
    <row r="785" spans="1:16" ht="14.4" x14ac:dyDescent="0.3">
      <c r="A785" s="7" t="s">
        <v>647</v>
      </c>
      <c r="B785" s="8">
        <v>41639</v>
      </c>
      <c r="C785" s="9">
        <v>9.4499999999999993</v>
      </c>
      <c r="D785" s="8">
        <v>41729</v>
      </c>
      <c r="E785" s="9">
        <v>7.75</v>
      </c>
      <c r="F785" s="17">
        <v>-17.989999999999998</v>
      </c>
      <c r="G785" s="11"/>
      <c r="H785" s="12">
        <f t="shared" si="27"/>
        <v>-0.17989417989417983</v>
      </c>
      <c r="I785" s="13">
        <f t="shared" si="28"/>
        <v>-35978.835978835967</v>
      </c>
      <c r="J785" s="13">
        <f t="shared" si="29"/>
        <v>0</v>
      </c>
      <c r="K785" s="13">
        <f t="shared" si="30"/>
        <v>-35978.835978835967</v>
      </c>
      <c r="L785" s="13">
        <f t="shared" si="31"/>
        <v>11350965.77321678</v>
      </c>
      <c r="M785" s="13">
        <f t="shared" si="32"/>
        <v>21350965.77321678</v>
      </c>
      <c r="N785" s="13">
        <f t="shared" si="33"/>
        <v>21421299.350156829</v>
      </c>
      <c r="O785" s="13">
        <f t="shared" si="34"/>
        <v>-70333.576940048486</v>
      </c>
      <c r="P785" s="12">
        <f t="shared" si="35"/>
        <v>-3.2833478394733119E-3</v>
      </c>
    </row>
    <row r="786" spans="1:16" ht="14.4" x14ac:dyDescent="0.3">
      <c r="A786" s="7" t="s">
        <v>648</v>
      </c>
      <c r="B786" s="8">
        <v>41639</v>
      </c>
      <c r="C786" s="9">
        <v>285</v>
      </c>
      <c r="D786" s="8">
        <v>41729</v>
      </c>
      <c r="E786" s="9">
        <v>181</v>
      </c>
      <c r="F786" s="17">
        <v>-36.49</v>
      </c>
      <c r="G786" s="11"/>
      <c r="H786" s="12">
        <f t="shared" si="27"/>
        <v>-0.36491228070175441</v>
      </c>
      <c r="I786" s="13">
        <f t="shared" si="28"/>
        <v>-72982.456140350885</v>
      </c>
      <c r="J786" s="13">
        <f t="shared" si="29"/>
        <v>0</v>
      </c>
      <c r="K786" s="13">
        <f t="shared" si="30"/>
        <v>-72982.456140350885</v>
      </c>
      <c r="L786" s="13">
        <f t="shared" si="31"/>
        <v>11277983.31707643</v>
      </c>
      <c r="M786" s="13">
        <f t="shared" si="32"/>
        <v>21277983.31707643</v>
      </c>
      <c r="N786" s="13">
        <f t="shared" si="33"/>
        <v>21421299.350156829</v>
      </c>
      <c r="O786" s="13">
        <f t="shared" si="34"/>
        <v>-143316.03308039904</v>
      </c>
      <c r="P786" s="12">
        <f t="shared" si="35"/>
        <v>-6.6903520060910679E-3</v>
      </c>
    </row>
    <row r="787" spans="1:16" ht="14.4" x14ac:dyDescent="0.3">
      <c r="A787" s="7" t="s">
        <v>649</v>
      </c>
      <c r="B787" s="8">
        <v>41547</v>
      </c>
      <c r="C787" s="9">
        <v>42.95</v>
      </c>
      <c r="D787" s="8">
        <v>41639</v>
      </c>
      <c r="E787" s="9">
        <v>72.349999999999994</v>
      </c>
      <c r="F787" s="17">
        <v>68.45</v>
      </c>
      <c r="G787" s="11"/>
      <c r="H787" s="12">
        <f t="shared" si="27"/>
        <v>0.68451688009313127</v>
      </c>
      <c r="I787" s="13">
        <f t="shared" si="28"/>
        <v>136903.37601862627</v>
      </c>
      <c r="J787" s="13">
        <f t="shared" si="29"/>
        <v>136903.37601862627</v>
      </c>
      <c r="K787" s="13">
        <f t="shared" si="30"/>
        <v>0</v>
      </c>
      <c r="L787" s="13">
        <f t="shared" si="31"/>
        <v>11414886.693095056</v>
      </c>
      <c r="M787" s="13">
        <f t="shared" si="32"/>
        <v>21414886.693095058</v>
      </c>
      <c r="N787" s="13">
        <f t="shared" si="33"/>
        <v>21421299.350156829</v>
      </c>
      <c r="O787" s="13">
        <f t="shared" si="34"/>
        <v>-6412.6570617705584</v>
      </c>
      <c r="P787" s="12">
        <f t="shared" si="35"/>
        <v>-2.9935892108821167E-4</v>
      </c>
    </row>
    <row r="788" spans="1:16" ht="14.4" x14ac:dyDescent="0.3">
      <c r="A788" s="7" t="s">
        <v>17</v>
      </c>
      <c r="B788" s="8">
        <v>41547</v>
      </c>
      <c r="C788" s="9">
        <v>13.45</v>
      </c>
      <c r="D788" s="8">
        <v>41639</v>
      </c>
      <c r="E788" s="9">
        <v>14.95</v>
      </c>
      <c r="F788" s="17">
        <v>11.15</v>
      </c>
      <c r="G788" s="11"/>
      <c r="H788" s="12">
        <f t="shared" si="27"/>
        <v>0.11152416356877325</v>
      </c>
      <c r="I788" s="13">
        <f t="shared" si="28"/>
        <v>22304.832713754648</v>
      </c>
      <c r="J788" s="13">
        <f t="shared" si="29"/>
        <v>22304.832713754648</v>
      </c>
      <c r="K788" s="13">
        <f t="shared" si="30"/>
        <v>0</v>
      </c>
      <c r="L788" s="13">
        <f t="shared" si="31"/>
        <v>11437191.525808811</v>
      </c>
      <c r="M788" s="13">
        <f t="shared" si="32"/>
        <v>21437191.525808811</v>
      </c>
      <c r="N788" s="13">
        <f t="shared" si="33"/>
        <v>21437191.525808811</v>
      </c>
      <c r="O788" s="13">
        <f t="shared" si="34"/>
        <v>0</v>
      </c>
      <c r="P788" s="12">
        <f t="shared" si="35"/>
        <v>0</v>
      </c>
    </row>
    <row r="789" spans="1:16" ht="14.4" x14ac:dyDescent="0.3">
      <c r="A789" s="7" t="s">
        <v>650</v>
      </c>
      <c r="B789" s="8">
        <v>41453</v>
      </c>
      <c r="C789" s="9">
        <v>59.45</v>
      </c>
      <c r="D789" s="8">
        <v>41547</v>
      </c>
      <c r="E789" s="9">
        <v>66.8</v>
      </c>
      <c r="F789" s="17">
        <v>12.36</v>
      </c>
      <c r="G789" s="11"/>
      <c r="H789" s="12">
        <f t="shared" si="27"/>
        <v>0.12363330529857013</v>
      </c>
      <c r="I789" s="13">
        <f t="shared" si="28"/>
        <v>24726.661059714024</v>
      </c>
      <c r="J789" s="13">
        <f t="shared" si="29"/>
        <v>24726.661059714024</v>
      </c>
      <c r="K789" s="13">
        <f t="shared" si="30"/>
        <v>0</v>
      </c>
      <c r="L789" s="13">
        <f t="shared" si="31"/>
        <v>11461918.186868526</v>
      </c>
      <c r="M789" s="13">
        <f t="shared" si="32"/>
        <v>21461918.186868526</v>
      </c>
      <c r="N789" s="13">
        <f t="shared" si="33"/>
        <v>21461918.186868526</v>
      </c>
      <c r="O789" s="13">
        <f t="shared" si="34"/>
        <v>0</v>
      </c>
      <c r="P789" s="12">
        <f t="shared" si="35"/>
        <v>0</v>
      </c>
    </row>
    <row r="790" spans="1:16" ht="14.4" x14ac:dyDescent="0.3">
      <c r="A790" s="7" t="s">
        <v>410</v>
      </c>
      <c r="B790" s="8">
        <v>41361</v>
      </c>
      <c r="C790" s="9">
        <v>215</v>
      </c>
      <c r="D790" s="8">
        <v>41453</v>
      </c>
      <c r="E790" s="9">
        <v>178.05</v>
      </c>
      <c r="F790" s="17">
        <v>-17.190000000000001</v>
      </c>
      <c r="G790" s="11"/>
      <c r="H790" s="12">
        <f t="shared" si="27"/>
        <v>-0.171860465116279</v>
      </c>
      <c r="I790" s="13">
        <f t="shared" si="28"/>
        <v>-34372.093023255802</v>
      </c>
      <c r="J790" s="13">
        <f t="shared" si="29"/>
        <v>0</v>
      </c>
      <c r="K790" s="13">
        <f t="shared" si="30"/>
        <v>-34372.093023255802</v>
      </c>
      <c r="L790" s="13">
        <f t="shared" si="31"/>
        <v>11427546.093845271</v>
      </c>
      <c r="M790" s="13">
        <f t="shared" si="32"/>
        <v>21427546.093845271</v>
      </c>
      <c r="N790" s="13">
        <f t="shared" si="33"/>
        <v>21461918.186868526</v>
      </c>
      <c r="O790" s="13">
        <f t="shared" si="34"/>
        <v>-34372.093023255467</v>
      </c>
      <c r="P790" s="12">
        <f t="shared" si="35"/>
        <v>-1.6015387219342784E-3</v>
      </c>
    </row>
    <row r="791" spans="1:16" ht="14.4" x14ac:dyDescent="0.3">
      <c r="A791" s="7" t="s">
        <v>651</v>
      </c>
      <c r="B791" s="8">
        <v>41361</v>
      </c>
      <c r="C791" s="9">
        <v>47.5</v>
      </c>
      <c r="D791" s="8">
        <v>41453</v>
      </c>
      <c r="E791" s="9">
        <v>40</v>
      </c>
      <c r="F791" s="17">
        <v>-15.79</v>
      </c>
      <c r="G791" s="11"/>
      <c r="H791" s="12">
        <f t="shared" si="27"/>
        <v>-0.15789473684210525</v>
      </c>
      <c r="I791" s="13">
        <f t="shared" si="28"/>
        <v>-31578.94736842105</v>
      </c>
      <c r="J791" s="13">
        <f t="shared" si="29"/>
        <v>0</v>
      </c>
      <c r="K791" s="13">
        <f t="shared" si="30"/>
        <v>-31578.94736842105</v>
      </c>
      <c r="L791" s="13">
        <f t="shared" si="31"/>
        <v>11395967.14647685</v>
      </c>
      <c r="M791" s="13">
        <f t="shared" si="32"/>
        <v>21395967.14647685</v>
      </c>
      <c r="N791" s="13">
        <f t="shared" si="33"/>
        <v>21461918.186868526</v>
      </c>
      <c r="O791" s="13">
        <f t="shared" si="34"/>
        <v>-65951.040391676128</v>
      </c>
      <c r="P791" s="12">
        <f t="shared" si="35"/>
        <v>-3.0729331748188412E-3</v>
      </c>
    </row>
    <row r="792" spans="1:16" ht="13.2" x14ac:dyDescent="0.25">
      <c r="C792" s="2"/>
      <c r="E792" s="2"/>
      <c r="F792" s="3"/>
      <c r="H792" s="3"/>
      <c r="I792" s="2"/>
      <c r="J792" s="2"/>
      <c r="K792" s="2"/>
      <c r="L792" s="2"/>
      <c r="M792" s="2"/>
      <c r="N792" s="2"/>
      <c r="O792" s="2"/>
      <c r="P792" s="3"/>
    </row>
    <row r="793" spans="1:16" ht="13.2" x14ac:dyDescent="0.25">
      <c r="C793" s="2"/>
      <c r="E793" s="2"/>
      <c r="F793" s="3"/>
      <c r="H793" s="3"/>
      <c r="I793" s="2"/>
      <c r="J793" s="2"/>
      <c r="K793" s="2"/>
      <c r="L793" s="2"/>
      <c r="M793" s="2"/>
      <c r="N793" s="2"/>
      <c r="O793" s="2"/>
      <c r="P793" s="3"/>
    </row>
    <row r="794" spans="1:16" ht="13.2" x14ac:dyDescent="0.25">
      <c r="C794" s="2"/>
      <c r="E794" s="2"/>
      <c r="F794" s="3"/>
      <c r="H794" s="3"/>
      <c r="I794" s="2"/>
      <c r="J794" s="2"/>
      <c r="K794" s="2"/>
      <c r="L794" s="2"/>
      <c r="M794" s="2"/>
      <c r="N794" s="2"/>
      <c r="O794" s="2"/>
      <c r="P794" s="3"/>
    </row>
    <row r="795" spans="1:16" ht="13.2" x14ac:dyDescent="0.25">
      <c r="C795" s="2"/>
      <c r="E795" s="2"/>
      <c r="F795" s="3"/>
      <c r="H795" s="3"/>
      <c r="I795" s="2"/>
      <c r="J795" s="2"/>
      <c r="K795" s="2"/>
      <c r="L795" s="2"/>
      <c r="M795" s="2"/>
      <c r="N795" s="2"/>
      <c r="O795" s="2"/>
      <c r="P795" s="3"/>
    </row>
    <row r="796" spans="1:16" ht="13.2" x14ac:dyDescent="0.25">
      <c r="C796" s="2"/>
      <c r="E796" s="2"/>
      <c r="F796" s="3"/>
      <c r="H796" s="3"/>
      <c r="I796" s="2"/>
      <c r="J796" s="2"/>
      <c r="K796" s="2"/>
      <c r="L796" s="2"/>
      <c r="M796" s="2"/>
      <c r="N796" s="2"/>
      <c r="O796" s="2"/>
      <c r="P796" s="3"/>
    </row>
    <row r="797" spans="1:16" ht="13.2" x14ac:dyDescent="0.25">
      <c r="C797" s="2"/>
      <c r="E797" s="2"/>
      <c r="F797" s="3"/>
      <c r="H797" s="3"/>
      <c r="I797" s="2"/>
      <c r="J797" s="2"/>
      <c r="K797" s="2"/>
      <c r="L797" s="2"/>
      <c r="M797" s="2"/>
      <c r="N797" s="2"/>
      <c r="O797" s="2"/>
      <c r="P797" s="3"/>
    </row>
    <row r="798" spans="1:16" ht="13.2" x14ac:dyDescent="0.25">
      <c r="C798" s="2"/>
      <c r="E798" s="2"/>
      <c r="F798" s="3"/>
      <c r="H798" s="3"/>
      <c r="I798" s="2"/>
      <c r="J798" s="2"/>
      <c r="K798" s="2"/>
      <c r="L798" s="2"/>
      <c r="M798" s="2"/>
      <c r="N798" s="2"/>
      <c r="O798" s="2"/>
      <c r="P798" s="3"/>
    </row>
    <row r="799" spans="1:16" ht="13.2" x14ac:dyDescent="0.25">
      <c r="C799" s="2"/>
      <c r="E799" s="2"/>
      <c r="F799" s="3"/>
      <c r="H799" s="3"/>
      <c r="I799" s="2"/>
      <c r="J799" s="2"/>
      <c r="K799" s="2"/>
      <c r="L799" s="2"/>
      <c r="M799" s="2"/>
      <c r="N799" s="2"/>
      <c r="O799" s="2"/>
      <c r="P799" s="3"/>
    </row>
    <row r="800" spans="1:16" ht="13.2" x14ac:dyDescent="0.25">
      <c r="C800" s="2"/>
      <c r="E800" s="2"/>
      <c r="F800" s="3"/>
      <c r="H800" s="3"/>
      <c r="I800" s="2"/>
      <c r="J800" s="2"/>
      <c r="K800" s="2"/>
      <c r="L800" s="2"/>
      <c r="M800" s="2"/>
      <c r="N800" s="2"/>
      <c r="O800" s="2"/>
      <c r="P800" s="3"/>
    </row>
    <row r="801" spans="3:16" ht="13.2" x14ac:dyDescent="0.25">
      <c r="C801" s="2"/>
      <c r="E801" s="2"/>
      <c r="F801" s="3"/>
      <c r="H801" s="3"/>
      <c r="I801" s="2"/>
      <c r="J801" s="2"/>
      <c r="K801" s="2"/>
      <c r="L801" s="2"/>
      <c r="M801" s="2"/>
      <c r="N801" s="2"/>
      <c r="O801" s="2"/>
      <c r="P801" s="3"/>
    </row>
    <row r="802" spans="3:16" ht="13.2" x14ac:dyDescent="0.25">
      <c r="C802" s="2"/>
      <c r="E802" s="2"/>
      <c r="F802" s="3"/>
      <c r="H802" s="3"/>
      <c r="I802" s="2"/>
      <c r="J802" s="2"/>
      <c r="K802" s="2"/>
      <c r="L802" s="2"/>
      <c r="M802" s="2"/>
      <c r="N802" s="2"/>
      <c r="O802" s="2"/>
      <c r="P802" s="3"/>
    </row>
    <row r="803" spans="3:16" ht="13.2" x14ac:dyDescent="0.25">
      <c r="C803" s="2"/>
      <c r="E803" s="2"/>
      <c r="F803" s="3"/>
      <c r="H803" s="3"/>
      <c r="I803" s="2"/>
      <c r="J803" s="2"/>
      <c r="K803" s="2"/>
      <c r="L803" s="2"/>
      <c r="M803" s="2"/>
      <c r="N803" s="2"/>
      <c r="O803" s="2"/>
      <c r="P803" s="3"/>
    </row>
    <row r="804" spans="3:16" ht="13.2" x14ac:dyDescent="0.25">
      <c r="C804" s="2"/>
      <c r="E804" s="2"/>
      <c r="F804" s="3"/>
      <c r="H804" s="3"/>
      <c r="I804" s="2"/>
      <c r="J804" s="2"/>
      <c r="K804" s="2"/>
      <c r="L804" s="2"/>
      <c r="M804" s="2"/>
      <c r="N804" s="2"/>
      <c r="O804" s="2"/>
      <c r="P804" s="3"/>
    </row>
    <row r="805" spans="3:16" ht="13.2" x14ac:dyDescent="0.25">
      <c r="C805" s="2"/>
      <c r="E805" s="2"/>
      <c r="F805" s="3"/>
      <c r="H805" s="3"/>
      <c r="I805" s="2"/>
      <c r="J805" s="2"/>
      <c r="K805" s="2"/>
      <c r="L805" s="2"/>
      <c r="M805" s="2"/>
      <c r="N805" s="2"/>
      <c r="O805" s="2"/>
      <c r="P805" s="3"/>
    </row>
    <row r="806" spans="3:16" ht="13.2" x14ac:dyDescent="0.25">
      <c r="C806" s="2"/>
      <c r="E806" s="2"/>
      <c r="F806" s="3"/>
      <c r="H806" s="3"/>
      <c r="I806" s="2"/>
      <c r="J806" s="2"/>
      <c r="K806" s="2"/>
      <c r="L806" s="2"/>
      <c r="M806" s="2"/>
      <c r="N806" s="2"/>
      <c r="O806" s="2"/>
      <c r="P806" s="3"/>
    </row>
    <row r="807" spans="3:16" ht="13.2" x14ac:dyDescent="0.25">
      <c r="C807" s="2"/>
      <c r="E807" s="2"/>
      <c r="F807" s="3"/>
      <c r="H807" s="3"/>
      <c r="I807" s="2"/>
      <c r="J807" s="2"/>
      <c r="K807" s="2"/>
      <c r="L807" s="2"/>
      <c r="M807" s="2"/>
      <c r="N807" s="2"/>
      <c r="O807" s="2"/>
      <c r="P807" s="3"/>
    </row>
    <row r="808" spans="3:16" ht="13.2" x14ac:dyDescent="0.25">
      <c r="C808" s="2"/>
      <c r="E808" s="2"/>
      <c r="F808" s="3"/>
      <c r="H808" s="3"/>
      <c r="I808" s="2"/>
      <c r="J808" s="2"/>
      <c r="K808" s="2"/>
      <c r="L808" s="2"/>
      <c r="M808" s="2"/>
      <c r="N808" s="2"/>
      <c r="O808" s="2"/>
      <c r="P808" s="3"/>
    </row>
    <row r="809" spans="3:16" ht="13.2" x14ac:dyDescent="0.25">
      <c r="C809" s="2"/>
      <c r="E809" s="2"/>
      <c r="F809" s="3"/>
      <c r="H809" s="3"/>
      <c r="I809" s="2"/>
      <c r="J809" s="2"/>
      <c r="K809" s="2"/>
      <c r="L809" s="2"/>
      <c r="M809" s="2"/>
      <c r="N809" s="2"/>
      <c r="O809" s="2"/>
      <c r="P809" s="3"/>
    </row>
    <row r="810" spans="3:16" ht="13.2" x14ac:dyDescent="0.25">
      <c r="C810" s="2"/>
      <c r="E810" s="2"/>
      <c r="F810" s="3"/>
      <c r="H810" s="3"/>
      <c r="I810" s="2"/>
      <c r="J810" s="2"/>
      <c r="K810" s="2"/>
      <c r="L810" s="2"/>
      <c r="M810" s="2"/>
      <c r="N810" s="2"/>
      <c r="O810" s="2"/>
      <c r="P810" s="3"/>
    </row>
    <row r="811" spans="3:16" ht="13.2" x14ac:dyDescent="0.25">
      <c r="C811" s="2"/>
      <c r="E811" s="2"/>
      <c r="F811" s="3"/>
      <c r="H811" s="3"/>
      <c r="I811" s="2"/>
      <c r="J811" s="2"/>
      <c r="K811" s="2"/>
      <c r="L811" s="2"/>
      <c r="M811" s="2"/>
      <c r="N811" s="2"/>
      <c r="O811" s="2"/>
      <c r="P811" s="3"/>
    </row>
    <row r="812" spans="3:16" ht="13.2" x14ac:dyDescent="0.25">
      <c r="C812" s="2"/>
      <c r="E812" s="2"/>
      <c r="F812" s="3"/>
      <c r="H812" s="3"/>
      <c r="I812" s="2"/>
      <c r="J812" s="2"/>
      <c r="K812" s="2"/>
      <c r="L812" s="2"/>
      <c r="M812" s="2"/>
      <c r="N812" s="2"/>
      <c r="O812" s="2"/>
      <c r="P812" s="3"/>
    </row>
    <row r="813" spans="3:16" ht="13.2" x14ac:dyDescent="0.25">
      <c r="C813" s="2"/>
      <c r="E813" s="2"/>
      <c r="F813" s="3"/>
      <c r="H813" s="3"/>
      <c r="I813" s="2"/>
      <c r="J813" s="2"/>
      <c r="K813" s="2"/>
      <c r="L813" s="2"/>
      <c r="M813" s="2"/>
      <c r="N813" s="2"/>
      <c r="O813" s="2"/>
      <c r="P813" s="3"/>
    </row>
    <row r="814" spans="3:16" ht="13.2" x14ac:dyDescent="0.25">
      <c r="C814" s="2"/>
      <c r="E814" s="2"/>
      <c r="F814" s="3"/>
      <c r="H814" s="3"/>
      <c r="I814" s="2"/>
      <c r="J814" s="2"/>
      <c r="K814" s="2"/>
      <c r="L814" s="2"/>
      <c r="M814" s="2"/>
      <c r="N814" s="2"/>
      <c r="O814" s="2"/>
      <c r="P814" s="3"/>
    </row>
    <row r="815" spans="3:16" ht="13.2" x14ac:dyDescent="0.25">
      <c r="C815" s="2"/>
      <c r="E815" s="2"/>
      <c r="F815" s="3"/>
      <c r="H815" s="3"/>
      <c r="I815" s="2"/>
      <c r="J815" s="2"/>
      <c r="K815" s="2"/>
      <c r="L815" s="2"/>
      <c r="M815" s="2"/>
      <c r="N815" s="2"/>
      <c r="O815" s="2"/>
      <c r="P815" s="3"/>
    </row>
    <row r="816" spans="3:16" ht="13.2" x14ac:dyDescent="0.25">
      <c r="C816" s="2"/>
      <c r="E816" s="2"/>
      <c r="F816" s="3"/>
      <c r="H816" s="3"/>
      <c r="I816" s="2"/>
      <c r="J816" s="2"/>
      <c r="K816" s="2"/>
      <c r="L816" s="2"/>
      <c r="M816" s="2"/>
      <c r="N816" s="2"/>
      <c r="O816" s="2"/>
      <c r="P816" s="3"/>
    </row>
    <row r="817" spans="3:16" ht="13.2" x14ac:dyDescent="0.25">
      <c r="C817" s="2"/>
      <c r="E817" s="2"/>
      <c r="F817" s="3"/>
      <c r="H817" s="3"/>
      <c r="I817" s="2"/>
      <c r="J817" s="2"/>
      <c r="K817" s="2"/>
      <c r="L817" s="2"/>
      <c r="M817" s="2"/>
      <c r="N817" s="2"/>
      <c r="O817" s="2"/>
      <c r="P817" s="3"/>
    </row>
    <row r="818" spans="3:16" ht="13.2" x14ac:dyDescent="0.25">
      <c r="C818" s="2"/>
      <c r="E818" s="2"/>
      <c r="F818" s="3"/>
      <c r="H818" s="3"/>
      <c r="I818" s="2"/>
      <c r="J818" s="2"/>
      <c r="K818" s="2"/>
      <c r="L818" s="2"/>
      <c r="M818" s="2"/>
      <c r="N818" s="2"/>
      <c r="O818" s="2"/>
      <c r="P818" s="3"/>
    </row>
    <row r="819" spans="3:16" ht="13.2" x14ac:dyDescent="0.25">
      <c r="C819" s="2"/>
      <c r="E819" s="2"/>
      <c r="F819" s="3"/>
      <c r="H819" s="3"/>
      <c r="I819" s="2"/>
      <c r="J819" s="2"/>
      <c r="K819" s="2"/>
      <c r="L819" s="2"/>
      <c r="M819" s="2"/>
      <c r="N819" s="2"/>
      <c r="O819" s="2"/>
      <c r="P819" s="3"/>
    </row>
    <row r="820" spans="3:16" ht="13.2" x14ac:dyDescent="0.25">
      <c r="C820" s="2"/>
      <c r="E820" s="2"/>
      <c r="F820" s="3"/>
      <c r="H820" s="3"/>
      <c r="I820" s="2"/>
      <c r="J820" s="2"/>
      <c r="K820" s="2"/>
      <c r="L820" s="2"/>
      <c r="M820" s="2"/>
      <c r="N820" s="2"/>
      <c r="O820" s="2"/>
      <c r="P820" s="3"/>
    </row>
    <row r="821" spans="3:16" ht="13.2" x14ac:dyDescent="0.25">
      <c r="C821" s="2"/>
      <c r="E821" s="2"/>
      <c r="F821" s="3"/>
      <c r="H821" s="3"/>
      <c r="I821" s="2"/>
      <c r="J821" s="2"/>
      <c r="K821" s="2"/>
      <c r="L821" s="2"/>
      <c r="M821" s="2"/>
      <c r="N821" s="2"/>
      <c r="O821" s="2"/>
      <c r="P821" s="3"/>
    </row>
    <row r="822" spans="3:16" ht="13.2" x14ac:dyDescent="0.25">
      <c r="C822" s="2"/>
      <c r="E822" s="2"/>
      <c r="F822" s="3"/>
      <c r="H822" s="3"/>
      <c r="I822" s="2"/>
      <c r="J822" s="2"/>
      <c r="K822" s="2"/>
      <c r="L822" s="2"/>
      <c r="M822" s="2"/>
      <c r="N822" s="2"/>
      <c r="O822" s="2"/>
      <c r="P822" s="3"/>
    </row>
    <row r="823" spans="3:16" ht="13.2" x14ac:dyDescent="0.25">
      <c r="C823" s="2"/>
      <c r="E823" s="2"/>
      <c r="F823" s="3"/>
      <c r="H823" s="3"/>
      <c r="I823" s="2"/>
      <c r="J823" s="2"/>
      <c r="K823" s="2"/>
      <c r="L823" s="2"/>
      <c r="M823" s="2"/>
      <c r="N823" s="2"/>
      <c r="O823" s="2"/>
      <c r="P823" s="3"/>
    </row>
    <row r="824" spans="3:16" ht="13.2" x14ac:dyDescent="0.25">
      <c r="C824" s="2"/>
      <c r="E824" s="2"/>
      <c r="F824" s="3"/>
      <c r="H824" s="3"/>
      <c r="I824" s="2"/>
      <c r="J824" s="2"/>
      <c r="K824" s="2"/>
      <c r="L824" s="2"/>
      <c r="M824" s="2"/>
      <c r="N824" s="2"/>
      <c r="O824" s="2"/>
      <c r="P824" s="3"/>
    </row>
    <row r="825" spans="3:16" ht="13.2" x14ac:dyDescent="0.25">
      <c r="C825" s="2"/>
      <c r="E825" s="2"/>
      <c r="F825" s="3"/>
      <c r="H825" s="3"/>
      <c r="I825" s="2"/>
      <c r="J825" s="2"/>
      <c r="K825" s="2"/>
      <c r="L825" s="2"/>
      <c r="M825" s="2"/>
      <c r="N825" s="2"/>
      <c r="O825" s="2"/>
      <c r="P825" s="3"/>
    </row>
    <row r="826" spans="3:16" ht="13.2" x14ac:dyDescent="0.25">
      <c r="C826" s="2"/>
      <c r="E826" s="2"/>
      <c r="F826" s="3"/>
      <c r="H826" s="3"/>
      <c r="I826" s="2"/>
      <c r="J826" s="2"/>
      <c r="K826" s="2"/>
      <c r="L826" s="2"/>
      <c r="M826" s="2"/>
      <c r="N826" s="2"/>
      <c r="O826" s="2"/>
      <c r="P826" s="3"/>
    </row>
    <row r="827" spans="3:16" ht="13.2" x14ac:dyDescent="0.25">
      <c r="C827" s="2"/>
      <c r="E827" s="2"/>
      <c r="F827" s="3"/>
      <c r="H827" s="3"/>
      <c r="I827" s="2"/>
      <c r="J827" s="2"/>
      <c r="K827" s="2"/>
      <c r="L827" s="2"/>
      <c r="M827" s="2"/>
      <c r="N827" s="2"/>
      <c r="O827" s="2"/>
      <c r="P827" s="3"/>
    </row>
    <row r="828" spans="3:16" ht="13.2" x14ac:dyDescent="0.25">
      <c r="C828" s="2"/>
      <c r="E828" s="2"/>
      <c r="F828" s="3"/>
      <c r="H828" s="3"/>
      <c r="I828" s="2"/>
      <c r="J828" s="2"/>
      <c r="K828" s="2"/>
      <c r="L828" s="2"/>
      <c r="M828" s="2"/>
      <c r="N828" s="2"/>
      <c r="O828" s="2"/>
      <c r="P828" s="3"/>
    </row>
    <row r="829" spans="3:16" ht="13.2" x14ac:dyDescent="0.25">
      <c r="C829" s="2"/>
      <c r="E829" s="2"/>
      <c r="F829" s="3"/>
      <c r="H829" s="3"/>
      <c r="I829" s="2"/>
      <c r="J829" s="2"/>
      <c r="K829" s="2"/>
      <c r="L829" s="2"/>
      <c r="M829" s="2"/>
      <c r="N829" s="2"/>
      <c r="O829" s="2"/>
      <c r="P829" s="3"/>
    </row>
    <row r="830" spans="3:16" ht="13.2" x14ac:dyDescent="0.25">
      <c r="C830" s="2"/>
      <c r="E830" s="2"/>
      <c r="F830" s="3"/>
      <c r="H830" s="3"/>
      <c r="I830" s="2"/>
      <c r="J830" s="2"/>
      <c r="K830" s="2"/>
      <c r="L830" s="2"/>
      <c r="M830" s="2"/>
      <c r="N830" s="2"/>
      <c r="O830" s="2"/>
      <c r="P830" s="3"/>
    </row>
    <row r="831" spans="3:16" ht="13.2" x14ac:dyDescent="0.25">
      <c r="C831" s="2"/>
      <c r="E831" s="2"/>
      <c r="F831" s="3"/>
      <c r="H831" s="3"/>
      <c r="I831" s="2"/>
      <c r="J831" s="2"/>
      <c r="K831" s="2"/>
      <c r="L831" s="2"/>
      <c r="M831" s="2"/>
      <c r="N831" s="2"/>
      <c r="O831" s="2"/>
      <c r="P831" s="3"/>
    </row>
    <row r="832" spans="3:16" ht="13.2" x14ac:dyDescent="0.25">
      <c r="C832" s="2"/>
      <c r="E832" s="2"/>
      <c r="F832" s="3"/>
      <c r="H832" s="3"/>
      <c r="I832" s="2"/>
      <c r="J832" s="2"/>
      <c r="K832" s="2"/>
      <c r="L832" s="2"/>
      <c r="M832" s="2"/>
      <c r="N832" s="2"/>
      <c r="O832" s="2"/>
      <c r="P832" s="3"/>
    </row>
    <row r="833" spans="3:16" ht="13.2" x14ac:dyDescent="0.25">
      <c r="C833" s="2"/>
      <c r="E833" s="2"/>
      <c r="F833" s="3"/>
      <c r="H833" s="3"/>
      <c r="I833" s="2"/>
      <c r="J833" s="2"/>
      <c r="K833" s="2"/>
      <c r="L833" s="2"/>
      <c r="M833" s="2"/>
      <c r="N833" s="2"/>
      <c r="O833" s="2"/>
      <c r="P833" s="3"/>
    </row>
    <row r="834" spans="3:16" ht="13.2" x14ac:dyDescent="0.25">
      <c r="C834" s="2"/>
      <c r="E834" s="2"/>
      <c r="F834" s="3"/>
      <c r="H834" s="3"/>
      <c r="I834" s="2"/>
      <c r="J834" s="2"/>
      <c r="K834" s="2"/>
      <c r="L834" s="2"/>
      <c r="M834" s="2"/>
      <c r="N834" s="2"/>
      <c r="O834" s="2"/>
      <c r="P834" s="3"/>
    </row>
    <row r="835" spans="3:16" ht="13.2" x14ac:dyDescent="0.25">
      <c r="C835" s="2"/>
      <c r="E835" s="2"/>
      <c r="F835" s="3"/>
      <c r="H835" s="3"/>
      <c r="I835" s="2"/>
      <c r="J835" s="2"/>
      <c r="K835" s="2"/>
      <c r="L835" s="2"/>
      <c r="M835" s="2"/>
      <c r="N835" s="2"/>
      <c r="O835" s="2"/>
      <c r="P835" s="3"/>
    </row>
    <row r="836" spans="3:16" ht="13.2" x14ac:dyDescent="0.25">
      <c r="C836" s="2"/>
      <c r="E836" s="2"/>
      <c r="F836" s="3"/>
      <c r="H836" s="3"/>
      <c r="I836" s="2"/>
      <c r="J836" s="2"/>
      <c r="K836" s="2"/>
      <c r="L836" s="2"/>
      <c r="M836" s="2"/>
      <c r="N836" s="2"/>
      <c r="O836" s="2"/>
      <c r="P836" s="3"/>
    </row>
    <row r="837" spans="3:16" ht="13.2" x14ac:dyDescent="0.25">
      <c r="C837" s="2"/>
      <c r="E837" s="2"/>
      <c r="F837" s="3"/>
      <c r="H837" s="3"/>
      <c r="I837" s="2"/>
      <c r="J837" s="2"/>
      <c r="K837" s="2"/>
      <c r="L837" s="2"/>
      <c r="M837" s="2"/>
      <c r="N837" s="2"/>
      <c r="O837" s="2"/>
      <c r="P837" s="3"/>
    </row>
    <row r="838" spans="3:16" ht="13.2" x14ac:dyDescent="0.25">
      <c r="C838" s="2"/>
      <c r="E838" s="2"/>
      <c r="F838" s="3"/>
      <c r="H838" s="3"/>
      <c r="I838" s="2"/>
      <c r="J838" s="2"/>
      <c r="K838" s="2"/>
      <c r="L838" s="2"/>
      <c r="M838" s="2"/>
      <c r="N838" s="2"/>
      <c r="O838" s="2"/>
      <c r="P838" s="3"/>
    </row>
    <row r="839" spans="3:16" ht="13.2" x14ac:dyDescent="0.25">
      <c r="C839" s="2"/>
      <c r="E839" s="2"/>
      <c r="F839" s="3"/>
      <c r="H839" s="3"/>
      <c r="I839" s="2"/>
      <c r="J839" s="2"/>
      <c r="K839" s="2"/>
      <c r="L839" s="2"/>
      <c r="M839" s="2"/>
      <c r="N839" s="2"/>
      <c r="O839" s="2"/>
      <c r="P839" s="3"/>
    </row>
    <row r="840" spans="3:16" ht="13.2" x14ac:dyDescent="0.25">
      <c r="C840" s="2"/>
      <c r="E840" s="2"/>
      <c r="F840" s="3"/>
      <c r="H840" s="3"/>
      <c r="I840" s="2"/>
      <c r="J840" s="2"/>
      <c r="K840" s="2"/>
      <c r="L840" s="2"/>
      <c r="M840" s="2"/>
      <c r="N840" s="2"/>
      <c r="O840" s="2"/>
      <c r="P840" s="3"/>
    </row>
    <row r="841" spans="3:16" ht="13.2" x14ac:dyDescent="0.25">
      <c r="C841" s="2"/>
      <c r="E841" s="2"/>
      <c r="F841" s="3"/>
      <c r="H841" s="3"/>
      <c r="I841" s="2"/>
      <c r="J841" s="2"/>
      <c r="K841" s="2"/>
      <c r="L841" s="2"/>
      <c r="M841" s="2"/>
      <c r="N841" s="2"/>
      <c r="O841" s="2"/>
      <c r="P841" s="3"/>
    </row>
    <row r="842" spans="3:16" ht="13.2" x14ac:dyDescent="0.25">
      <c r="C842" s="2"/>
      <c r="E842" s="2"/>
      <c r="F842" s="3"/>
      <c r="H842" s="3"/>
      <c r="I842" s="2"/>
      <c r="J842" s="2"/>
      <c r="K842" s="2"/>
      <c r="L842" s="2"/>
      <c r="M842" s="2"/>
      <c r="N842" s="2"/>
      <c r="O842" s="2"/>
      <c r="P842" s="3"/>
    </row>
    <row r="843" spans="3:16" ht="13.2" x14ac:dyDescent="0.25">
      <c r="C843" s="2"/>
      <c r="E843" s="2"/>
      <c r="F843" s="3"/>
      <c r="H843" s="3"/>
      <c r="I843" s="2"/>
      <c r="J843" s="2"/>
      <c r="K843" s="2"/>
      <c r="L843" s="2"/>
      <c r="M843" s="2"/>
      <c r="N843" s="2"/>
      <c r="O843" s="2"/>
      <c r="P843" s="3"/>
    </row>
    <row r="844" spans="3:16" ht="13.2" x14ac:dyDescent="0.25">
      <c r="C844" s="2"/>
      <c r="E844" s="2"/>
      <c r="F844" s="3"/>
      <c r="H844" s="3"/>
      <c r="I844" s="2"/>
      <c r="J844" s="2"/>
      <c r="K844" s="2"/>
      <c r="L844" s="2"/>
      <c r="M844" s="2"/>
      <c r="N844" s="2"/>
      <c r="O844" s="2"/>
      <c r="P844" s="3"/>
    </row>
    <row r="845" spans="3:16" ht="13.2" x14ac:dyDescent="0.25">
      <c r="C845" s="2"/>
      <c r="E845" s="2"/>
      <c r="F845" s="3"/>
      <c r="H845" s="3"/>
      <c r="I845" s="2"/>
      <c r="J845" s="2"/>
      <c r="K845" s="2"/>
      <c r="L845" s="2"/>
      <c r="M845" s="2"/>
      <c r="N845" s="2"/>
      <c r="O845" s="2"/>
      <c r="P845" s="3"/>
    </row>
    <row r="846" spans="3:16" ht="13.2" x14ac:dyDescent="0.25">
      <c r="C846" s="2"/>
      <c r="E846" s="2"/>
      <c r="F846" s="3"/>
      <c r="H846" s="3"/>
      <c r="I846" s="2"/>
      <c r="J846" s="2"/>
      <c r="K846" s="2"/>
      <c r="L846" s="2"/>
      <c r="M846" s="2"/>
      <c r="N846" s="2"/>
      <c r="O846" s="2"/>
      <c r="P846" s="3"/>
    </row>
    <row r="847" spans="3:16" ht="13.2" x14ac:dyDescent="0.25">
      <c r="C847" s="2"/>
      <c r="E847" s="2"/>
      <c r="F847" s="3"/>
      <c r="H847" s="3"/>
      <c r="I847" s="2"/>
      <c r="J847" s="2"/>
      <c r="K847" s="2"/>
      <c r="L847" s="2"/>
      <c r="M847" s="2"/>
      <c r="N847" s="2"/>
      <c r="O847" s="2"/>
      <c r="P847" s="3"/>
    </row>
    <row r="848" spans="3:16" ht="13.2" x14ac:dyDescent="0.25">
      <c r="C848" s="2"/>
      <c r="E848" s="2"/>
      <c r="F848" s="3"/>
      <c r="H848" s="3"/>
      <c r="I848" s="2"/>
      <c r="J848" s="2"/>
      <c r="K848" s="2"/>
      <c r="L848" s="2"/>
      <c r="M848" s="2"/>
      <c r="N848" s="2"/>
      <c r="O848" s="2"/>
      <c r="P848" s="3"/>
    </row>
    <row r="849" spans="3:16" ht="13.2" x14ac:dyDescent="0.25">
      <c r="C849" s="2"/>
      <c r="E849" s="2"/>
      <c r="F849" s="3"/>
      <c r="H849" s="3"/>
      <c r="I849" s="2"/>
      <c r="J849" s="2"/>
      <c r="K849" s="2"/>
      <c r="L849" s="2"/>
      <c r="M849" s="2"/>
      <c r="N849" s="2"/>
      <c r="O849" s="2"/>
      <c r="P849" s="3"/>
    </row>
    <row r="850" spans="3:16" ht="13.2" x14ac:dyDescent="0.25">
      <c r="C850" s="2"/>
      <c r="E850" s="2"/>
      <c r="F850" s="3"/>
      <c r="H850" s="3"/>
      <c r="I850" s="2"/>
      <c r="J850" s="2"/>
      <c r="K850" s="2"/>
      <c r="L850" s="2"/>
      <c r="M850" s="2"/>
      <c r="N850" s="2"/>
      <c r="O850" s="2"/>
      <c r="P850" s="3"/>
    </row>
    <row r="851" spans="3:16" ht="13.2" x14ac:dyDescent="0.25">
      <c r="C851" s="2"/>
      <c r="E851" s="2"/>
      <c r="F851" s="3"/>
      <c r="H851" s="3"/>
      <c r="I851" s="2"/>
      <c r="J851" s="2"/>
      <c r="K851" s="2"/>
      <c r="L851" s="2"/>
      <c r="M851" s="2"/>
      <c r="N851" s="2"/>
      <c r="O851" s="2"/>
      <c r="P851" s="3"/>
    </row>
    <row r="852" spans="3:16" ht="13.2" x14ac:dyDescent="0.25">
      <c r="C852" s="2"/>
      <c r="E852" s="2"/>
      <c r="F852" s="3"/>
      <c r="H852" s="3"/>
      <c r="I852" s="2"/>
      <c r="J852" s="2"/>
      <c r="K852" s="2"/>
      <c r="L852" s="2"/>
      <c r="M852" s="2"/>
      <c r="N852" s="2"/>
      <c r="O852" s="2"/>
      <c r="P852" s="3"/>
    </row>
    <row r="853" spans="3:16" ht="13.2" x14ac:dyDescent="0.25">
      <c r="C853" s="2"/>
      <c r="E853" s="2"/>
      <c r="F853" s="3"/>
      <c r="H853" s="3"/>
      <c r="I853" s="2"/>
      <c r="J853" s="2"/>
      <c r="K853" s="2"/>
      <c r="L853" s="2"/>
      <c r="M853" s="2"/>
      <c r="N853" s="2"/>
      <c r="O853" s="2"/>
      <c r="P853" s="3"/>
    </row>
    <row r="854" spans="3:16" ht="13.2" x14ac:dyDescent="0.25">
      <c r="C854" s="2"/>
      <c r="E854" s="2"/>
      <c r="F854" s="3"/>
      <c r="H854" s="3"/>
      <c r="I854" s="2"/>
      <c r="J854" s="2"/>
      <c r="K854" s="2"/>
      <c r="L854" s="2"/>
      <c r="M854" s="2"/>
      <c r="N854" s="2"/>
      <c r="O854" s="2"/>
      <c r="P854" s="3"/>
    </row>
    <row r="855" spans="3:16" ht="13.2" x14ac:dyDescent="0.25">
      <c r="C855" s="2"/>
      <c r="E855" s="2"/>
      <c r="F855" s="3"/>
      <c r="H855" s="3"/>
      <c r="I855" s="2"/>
      <c r="J855" s="2"/>
      <c r="K855" s="2"/>
      <c r="L855" s="2"/>
      <c r="M855" s="2"/>
      <c r="N855" s="2"/>
      <c r="O855" s="2"/>
      <c r="P855" s="3"/>
    </row>
    <row r="856" spans="3:16" ht="13.2" x14ac:dyDescent="0.25">
      <c r="C856" s="2"/>
      <c r="E856" s="2"/>
      <c r="F856" s="3"/>
      <c r="H856" s="3"/>
      <c r="I856" s="2"/>
      <c r="J856" s="2"/>
      <c r="K856" s="2"/>
      <c r="L856" s="2"/>
      <c r="M856" s="2"/>
      <c r="N856" s="2"/>
      <c r="O856" s="2"/>
      <c r="P856" s="3"/>
    </row>
    <row r="857" spans="3:16" ht="13.2" x14ac:dyDescent="0.25">
      <c r="C857" s="2"/>
      <c r="E857" s="2"/>
      <c r="F857" s="3"/>
      <c r="H857" s="3"/>
      <c r="I857" s="2"/>
      <c r="J857" s="2"/>
      <c r="K857" s="2"/>
      <c r="L857" s="2"/>
      <c r="M857" s="2"/>
      <c r="N857" s="2"/>
      <c r="O857" s="2"/>
      <c r="P857" s="3"/>
    </row>
    <row r="858" spans="3:16" ht="13.2" x14ac:dyDescent="0.25">
      <c r="C858" s="2"/>
      <c r="E858" s="2"/>
      <c r="F858" s="3"/>
      <c r="H858" s="3"/>
      <c r="I858" s="2"/>
      <c r="J858" s="2"/>
      <c r="K858" s="2"/>
      <c r="L858" s="2"/>
      <c r="M858" s="2"/>
      <c r="N858" s="2"/>
      <c r="O858" s="2"/>
      <c r="P858" s="3"/>
    </row>
    <row r="859" spans="3:16" ht="13.2" x14ac:dyDescent="0.25">
      <c r="C859" s="2"/>
      <c r="E859" s="2"/>
      <c r="F859" s="3"/>
      <c r="H859" s="3"/>
      <c r="I859" s="2"/>
      <c r="J859" s="2"/>
      <c r="K859" s="2"/>
      <c r="L859" s="2"/>
      <c r="M859" s="2"/>
      <c r="N859" s="2"/>
      <c r="O859" s="2"/>
      <c r="P859" s="3"/>
    </row>
    <row r="860" spans="3:16" ht="13.2" x14ac:dyDescent="0.25">
      <c r="C860" s="2"/>
      <c r="E860" s="2"/>
      <c r="F860" s="3"/>
      <c r="H860" s="3"/>
      <c r="I860" s="2"/>
      <c r="J860" s="2"/>
      <c r="K860" s="2"/>
      <c r="L860" s="2"/>
      <c r="M860" s="2"/>
      <c r="N860" s="2"/>
      <c r="O860" s="2"/>
      <c r="P860" s="3"/>
    </row>
    <row r="861" spans="3:16" ht="13.2" x14ac:dyDescent="0.25">
      <c r="C861" s="2"/>
      <c r="E861" s="2"/>
      <c r="F861" s="3"/>
      <c r="H861" s="3"/>
      <c r="I861" s="2"/>
      <c r="J861" s="2"/>
      <c r="K861" s="2"/>
      <c r="L861" s="2"/>
      <c r="M861" s="2"/>
      <c r="N861" s="2"/>
      <c r="O861" s="2"/>
      <c r="P861" s="3"/>
    </row>
    <row r="862" spans="3:16" ht="13.2" x14ac:dyDescent="0.25">
      <c r="C862" s="2"/>
      <c r="E862" s="2"/>
      <c r="F862" s="3"/>
      <c r="H862" s="3"/>
      <c r="I862" s="2"/>
      <c r="J862" s="2"/>
      <c r="K862" s="2"/>
      <c r="L862" s="2"/>
      <c r="M862" s="2"/>
      <c r="N862" s="2"/>
      <c r="O862" s="2"/>
      <c r="P862" s="3"/>
    </row>
    <row r="863" spans="3:16" ht="13.2" x14ac:dyDescent="0.25">
      <c r="C863" s="2"/>
      <c r="E863" s="2"/>
      <c r="F863" s="3"/>
      <c r="H863" s="3"/>
      <c r="I863" s="2"/>
      <c r="J863" s="2"/>
      <c r="K863" s="2"/>
      <c r="L863" s="2"/>
      <c r="M863" s="2"/>
      <c r="N863" s="2"/>
      <c r="O863" s="2"/>
      <c r="P863" s="3"/>
    </row>
    <row r="864" spans="3:16" ht="13.2" x14ac:dyDescent="0.25">
      <c r="C864" s="2"/>
      <c r="E864" s="2"/>
      <c r="F864" s="3"/>
      <c r="H864" s="3"/>
      <c r="I864" s="2"/>
      <c r="J864" s="2"/>
      <c r="K864" s="2"/>
      <c r="L864" s="2"/>
      <c r="M864" s="2"/>
      <c r="N864" s="2"/>
      <c r="O864" s="2"/>
      <c r="P864" s="3"/>
    </row>
    <row r="865" spans="3:16" ht="13.2" x14ac:dyDescent="0.25">
      <c r="C865" s="2"/>
      <c r="E865" s="2"/>
      <c r="F865" s="3"/>
      <c r="H865" s="3"/>
      <c r="I865" s="2"/>
      <c r="J865" s="2"/>
      <c r="K865" s="2"/>
      <c r="L865" s="2"/>
      <c r="M865" s="2"/>
      <c r="N865" s="2"/>
      <c r="O865" s="2"/>
      <c r="P865" s="3"/>
    </row>
    <row r="866" spans="3:16" ht="13.2" x14ac:dyDescent="0.25">
      <c r="C866" s="2"/>
      <c r="E866" s="2"/>
      <c r="F866" s="3"/>
      <c r="H866" s="3"/>
      <c r="I866" s="2"/>
      <c r="J866" s="2"/>
      <c r="K866" s="2"/>
      <c r="L866" s="2"/>
      <c r="M866" s="2"/>
      <c r="N866" s="2"/>
      <c r="O866" s="2"/>
      <c r="P866" s="3"/>
    </row>
    <row r="867" spans="3:16" ht="13.2" x14ac:dyDescent="0.25">
      <c r="C867" s="2"/>
      <c r="E867" s="2"/>
      <c r="F867" s="3"/>
      <c r="H867" s="3"/>
      <c r="I867" s="2"/>
      <c r="J867" s="2"/>
      <c r="K867" s="2"/>
      <c r="L867" s="2"/>
      <c r="M867" s="2"/>
      <c r="N867" s="2"/>
      <c r="O867" s="2"/>
      <c r="P867" s="3"/>
    </row>
    <row r="868" spans="3:16" ht="13.2" x14ac:dyDescent="0.25">
      <c r="C868" s="2"/>
      <c r="E868" s="2"/>
      <c r="F868" s="3"/>
      <c r="H868" s="3"/>
      <c r="I868" s="2"/>
      <c r="J868" s="2"/>
      <c r="K868" s="2"/>
      <c r="L868" s="2"/>
      <c r="M868" s="2"/>
      <c r="N868" s="2"/>
      <c r="O868" s="2"/>
      <c r="P868" s="3"/>
    </row>
    <row r="869" spans="3:16" ht="13.2" x14ac:dyDescent="0.25">
      <c r="C869" s="2"/>
      <c r="E869" s="2"/>
      <c r="F869" s="3"/>
      <c r="H869" s="3"/>
      <c r="I869" s="2"/>
      <c r="J869" s="2"/>
      <c r="K869" s="2"/>
      <c r="L869" s="2"/>
      <c r="M869" s="2"/>
      <c r="N869" s="2"/>
      <c r="O869" s="2"/>
      <c r="P869" s="3"/>
    </row>
    <row r="870" spans="3:16" ht="13.2" x14ac:dyDescent="0.25">
      <c r="C870" s="2"/>
      <c r="E870" s="2"/>
      <c r="F870" s="3"/>
      <c r="H870" s="3"/>
      <c r="I870" s="2"/>
      <c r="J870" s="2"/>
      <c r="K870" s="2"/>
      <c r="L870" s="2"/>
      <c r="M870" s="2"/>
      <c r="N870" s="2"/>
      <c r="O870" s="2"/>
      <c r="P870" s="3"/>
    </row>
    <row r="871" spans="3:16" ht="13.2" x14ac:dyDescent="0.25">
      <c r="C871" s="2"/>
      <c r="E871" s="2"/>
      <c r="F871" s="3"/>
      <c r="H871" s="3"/>
      <c r="I871" s="2"/>
      <c r="J871" s="2"/>
      <c r="K871" s="2"/>
      <c r="L871" s="2"/>
      <c r="M871" s="2"/>
      <c r="N871" s="2"/>
      <c r="O871" s="2"/>
      <c r="P871" s="3"/>
    </row>
    <row r="872" spans="3:16" ht="13.2" x14ac:dyDescent="0.25">
      <c r="C872" s="2"/>
      <c r="E872" s="2"/>
      <c r="F872" s="3"/>
      <c r="H872" s="3"/>
      <c r="I872" s="2"/>
      <c r="J872" s="2"/>
      <c r="K872" s="2"/>
      <c r="L872" s="2"/>
      <c r="M872" s="2"/>
      <c r="N872" s="2"/>
      <c r="O872" s="2"/>
      <c r="P872" s="3"/>
    </row>
    <row r="873" spans="3:16" ht="13.2" x14ac:dyDescent="0.25">
      <c r="C873" s="2"/>
      <c r="E873" s="2"/>
      <c r="F873" s="3"/>
      <c r="H873" s="3"/>
      <c r="I873" s="2"/>
      <c r="J873" s="2"/>
      <c r="K873" s="2"/>
      <c r="L873" s="2"/>
      <c r="M873" s="2"/>
      <c r="N873" s="2"/>
      <c r="O873" s="2"/>
      <c r="P873" s="3"/>
    </row>
    <row r="874" spans="3:16" ht="13.2" x14ac:dyDescent="0.25">
      <c r="C874" s="2"/>
      <c r="E874" s="2"/>
      <c r="F874" s="3"/>
      <c r="H874" s="3"/>
      <c r="I874" s="2"/>
      <c r="J874" s="2"/>
      <c r="K874" s="2"/>
      <c r="L874" s="2"/>
      <c r="M874" s="2"/>
      <c r="N874" s="2"/>
      <c r="O874" s="2"/>
      <c r="P874" s="3"/>
    </row>
    <row r="875" spans="3:16" ht="13.2" x14ac:dyDescent="0.25">
      <c r="C875" s="2"/>
      <c r="E875" s="2"/>
      <c r="F875" s="3"/>
      <c r="H875" s="3"/>
      <c r="I875" s="2"/>
      <c r="J875" s="2"/>
      <c r="K875" s="2"/>
      <c r="L875" s="2"/>
      <c r="M875" s="2"/>
      <c r="N875" s="2"/>
      <c r="O875" s="2"/>
      <c r="P875" s="3"/>
    </row>
    <row r="876" spans="3:16" ht="13.2" x14ac:dyDescent="0.25">
      <c r="C876" s="2"/>
      <c r="E876" s="2"/>
      <c r="F876" s="3"/>
      <c r="H876" s="3"/>
      <c r="I876" s="2"/>
      <c r="J876" s="2"/>
      <c r="K876" s="2"/>
      <c r="L876" s="2"/>
      <c r="M876" s="2"/>
      <c r="N876" s="2"/>
      <c r="O876" s="2"/>
      <c r="P876" s="3"/>
    </row>
    <row r="877" spans="3:16" ht="13.2" x14ac:dyDescent="0.25">
      <c r="C877" s="2"/>
      <c r="E877" s="2"/>
      <c r="F877" s="3"/>
      <c r="H877" s="3"/>
      <c r="I877" s="2"/>
      <c r="J877" s="2"/>
      <c r="K877" s="2"/>
      <c r="L877" s="2"/>
      <c r="M877" s="2"/>
      <c r="N877" s="2"/>
      <c r="O877" s="2"/>
      <c r="P877" s="3"/>
    </row>
    <row r="878" spans="3:16" ht="13.2" x14ac:dyDescent="0.25">
      <c r="C878" s="2"/>
      <c r="E878" s="2"/>
      <c r="F878" s="3"/>
      <c r="H878" s="3"/>
      <c r="I878" s="2"/>
      <c r="J878" s="2"/>
      <c r="K878" s="2"/>
      <c r="L878" s="2"/>
      <c r="M878" s="2"/>
      <c r="N878" s="2"/>
      <c r="O878" s="2"/>
      <c r="P878" s="3"/>
    </row>
    <row r="879" spans="3:16" ht="13.2" x14ac:dyDescent="0.25">
      <c r="C879" s="2"/>
      <c r="E879" s="2"/>
      <c r="F879" s="3"/>
      <c r="H879" s="3"/>
      <c r="I879" s="2"/>
      <c r="J879" s="2"/>
      <c r="K879" s="2"/>
      <c r="L879" s="2"/>
      <c r="M879" s="2"/>
      <c r="N879" s="2"/>
      <c r="O879" s="2"/>
      <c r="P879" s="3"/>
    </row>
    <row r="880" spans="3:16" ht="13.2" x14ac:dyDescent="0.25">
      <c r="C880" s="2"/>
      <c r="E880" s="2"/>
      <c r="F880" s="3"/>
      <c r="H880" s="3"/>
      <c r="I880" s="2"/>
      <c r="J880" s="2"/>
      <c r="K880" s="2"/>
      <c r="L880" s="2"/>
      <c r="M880" s="2"/>
      <c r="N880" s="2"/>
      <c r="O880" s="2"/>
      <c r="P880" s="3"/>
    </row>
    <row r="881" spans="3:16" ht="13.2" x14ac:dyDescent="0.25">
      <c r="C881" s="2"/>
      <c r="E881" s="2"/>
      <c r="F881" s="3"/>
      <c r="H881" s="3"/>
      <c r="I881" s="2"/>
      <c r="J881" s="2"/>
      <c r="K881" s="2"/>
      <c r="L881" s="2"/>
      <c r="M881" s="2"/>
      <c r="N881" s="2"/>
      <c r="O881" s="2"/>
      <c r="P881" s="3"/>
    </row>
    <row r="882" spans="3:16" ht="13.2" x14ac:dyDescent="0.25">
      <c r="C882" s="2"/>
      <c r="E882" s="2"/>
      <c r="F882" s="3"/>
      <c r="H882" s="3"/>
      <c r="I882" s="2"/>
      <c r="J882" s="2"/>
      <c r="K882" s="2"/>
      <c r="L882" s="2"/>
      <c r="M882" s="2"/>
      <c r="N882" s="2"/>
      <c r="O882" s="2"/>
      <c r="P882" s="3"/>
    </row>
    <row r="883" spans="3:16" ht="13.2" x14ac:dyDescent="0.25">
      <c r="C883" s="2"/>
      <c r="E883" s="2"/>
      <c r="F883" s="3"/>
      <c r="H883" s="3"/>
      <c r="I883" s="2"/>
      <c r="J883" s="2"/>
      <c r="K883" s="2"/>
      <c r="L883" s="2"/>
      <c r="M883" s="2"/>
      <c r="N883" s="2"/>
      <c r="O883" s="2"/>
      <c r="P883" s="3"/>
    </row>
    <row r="884" spans="3:16" ht="13.2" x14ac:dyDescent="0.25">
      <c r="C884" s="2"/>
      <c r="E884" s="2"/>
      <c r="F884" s="3"/>
      <c r="H884" s="3"/>
      <c r="I884" s="2"/>
      <c r="J884" s="2"/>
      <c r="K884" s="2"/>
      <c r="L884" s="2"/>
      <c r="M884" s="2"/>
      <c r="N884" s="2"/>
      <c r="O884" s="2"/>
      <c r="P884" s="3"/>
    </row>
    <row r="885" spans="3:16" ht="13.2" x14ac:dyDescent="0.25">
      <c r="C885" s="2"/>
      <c r="E885" s="2"/>
      <c r="F885" s="3"/>
      <c r="H885" s="3"/>
      <c r="I885" s="2"/>
      <c r="J885" s="2"/>
      <c r="K885" s="2"/>
      <c r="L885" s="2"/>
      <c r="M885" s="2"/>
      <c r="N885" s="2"/>
      <c r="O885" s="2"/>
      <c r="P885" s="3"/>
    </row>
    <row r="886" spans="3:16" ht="13.2" x14ac:dyDescent="0.25">
      <c r="C886" s="2"/>
      <c r="E886" s="2"/>
      <c r="F886" s="3"/>
      <c r="H886" s="3"/>
      <c r="I886" s="2"/>
      <c r="J886" s="2"/>
      <c r="K886" s="2"/>
      <c r="L886" s="2"/>
      <c r="M886" s="2"/>
      <c r="N886" s="2"/>
      <c r="O886" s="2"/>
      <c r="P886" s="3"/>
    </row>
    <row r="887" spans="3:16" ht="13.2" x14ac:dyDescent="0.25">
      <c r="C887" s="2"/>
      <c r="E887" s="2"/>
      <c r="F887" s="3"/>
      <c r="H887" s="3"/>
      <c r="I887" s="2"/>
      <c r="J887" s="2"/>
      <c r="K887" s="2"/>
      <c r="L887" s="2"/>
      <c r="M887" s="2"/>
      <c r="N887" s="2"/>
      <c r="O887" s="2"/>
      <c r="P887" s="3"/>
    </row>
    <row r="888" spans="3:16" ht="13.2" x14ac:dyDescent="0.25">
      <c r="C888" s="2"/>
      <c r="E888" s="2"/>
      <c r="F888" s="3"/>
      <c r="H888" s="3"/>
      <c r="I888" s="2"/>
      <c r="J888" s="2"/>
      <c r="K888" s="2"/>
      <c r="L888" s="2"/>
      <c r="M888" s="2"/>
      <c r="N888" s="2"/>
      <c r="O888" s="2"/>
      <c r="P888" s="3"/>
    </row>
    <row r="889" spans="3:16" ht="13.2" x14ac:dyDescent="0.25">
      <c r="C889" s="2"/>
      <c r="E889" s="2"/>
      <c r="F889" s="3"/>
      <c r="H889" s="3"/>
      <c r="I889" s="2"/>
      <c r="J889" s="2"/>
      <c r="K889" s="2"/>
      <c r="L889" s="2"/>
      <c r="M889" s="2"/>
      <c r="N889" s="2"/>
      <c r="O889" s="2"/>
      <c r="P889" s="3"/>
    </row>
    <row r="890" spans="3:16" ht="13.2" x14ac:dyDescent="0.25">
      <c r="C890" s="2"/>
      <c r="E890" s="2"/>
      <c r="F890" s="3"/>
      <c r="H890" s="3"/>
      <c r="I890" s="2"/>
      <c r="J890" s="2"/>
      <c r="K890" s="2"/>
      <c r="L890" s="2"/>
      <c r="M890" s="2"/>
      <c r="N890" s="2"/>
      <c r="O890" s="2"/>
      <c r="P890" s="3"/>
    </row>
    <row r="891" spans="3:16" ht="13.2" x14ac:dyDescent="0.25">
      <c r="C891" s="2"/>
      <c r="E891" s="2"/>
      <c r="F891" s="3"/>
      <c r="H891" s="3"/>
      <c r="I891" s="2"/>
      <c r="J891" s="2"/>
      <c r="K891" s="2"/>
      <c r="L891" s="2"/>
      <c r="M891" s="2"/>
      <c r="N891" s="2"/>
      <c r="O891" s="2"/>
      <c r="P891" s="3"/>
    </row>
    <row r="892" spans="3:16" ht="13.2" x14ac:dyDescent="0.25">
      <c r="C892" s="2"/>
      <c r="E892" s="2"/>
      <c r="F892" s="3"/>
      <c r="H892" s="3"/>
      <c r="I892" s="2"/>
      <c r="J892" s="2"/>
      <c r="K892" s="2"/>
      <c r="L892" s="2"/>
      <c r="M892" s="2"/>
      <c r="N892" s="2"/>
      <c r="O892" s="2"/>
      <c r="P892" s="3"/>
    </row>
    <row r="893" spans="3:16" ht="13.2" x14ac:dyDescent="0.25">
      <c r="C893" s="2"/>
      <c r="E893" s="2"/>
      <c r="F893" s="3"/>
      <c r="H893" s="3"/>
      <c r="I893" s="2"/>
      <c r="J893" s="2"/>
      <c r="K893" s="2"/>
      <c r="L893" s="2"/>
      <c r="M893" s="2"/>
      <c r="N893" s="2"/>
      <c r="O893" s="2"/>
      <c r="P893" s="3"/>
    </row>
    <row r="894" spans="3:16" ht="13.2" x14ac:dyDescent="0.25">
      <c r="C894" s="2"/>
      <c r="E894" s="2"/>
      <c r="F894" s="3"/>
      <c r="H894" s="3"/>
      <c r="I894" s="2"/>
      <c r="J894" s="2"/>
      <c r="K894" s="2"/>
      <c r="L894" s="2"/>
      <c r="M894" s="2"/>
      <c r="N894" s="2"/>
      <c r="O894" s="2"/>
      <c r="P894" s="3"/>
    </row>
    <row r="895" spans="3:16" ht="13.2" x14ac:dyDescent="0.25">
      <c r="C895" s="2"/>
      <c r="E895" s="2"/>
      <c r="F895" s="3"/>
      <c r="H895" s="3"/>
      <c r="I895" s="2"/>
      <c r="J895" s="2"/>
      <c r="K895" s="2"/>
      <c r="L895" s="2"/>
      <c r="M895" s="2"/>
      <c r="N895" s="2"/>
      <c r="O895" s="2"/>
      <c r="P895" s="3"/>
    </row>
    <row r="896" spans="3:16" ht="13.2" x14ac:dyDescent="0.25">
      <c r="C896" s="2"/>
      <c r="E896" s="2"/>
      <c r="F896" s="3"/>
      <c r="H896" s="3"/>
      <c r="I896" s="2"/>
      <c r="J896" s="2"/>
      <c r="K896" s="2"/>
      <c r="L896" s="2"/>
      <c r="M896" s="2"/>
      <c r="N896" s="2"/>
      <c r="O896" s="2"/>
      <c r="P896" s="3"/>
    </row>
    <row r="897" spans="3:16" ht="13.2" x14ac:dyDescent="0.25">
      <c r="C897" s="2"/>
      <c r="E897" s="2"/>
      <c r="F897" s="3"/>
      <c r="H897" s="3"/>
      <c r="I897" s="2"/>
      <c r="J897" s="2"/>
      <c r="K897" s="2"/>
      <c r="L897" s="2"/>
      <c r="M897" s="2"/>
      <c r="N897" s="2"/>
      <c r="O897" s="2"/>
      <c r="P897" s="3"/>
    </row>
    <row r="898" spans="3:16" ht="13.2" x14ac:dyDescent="0.25">
      <c r="C898" s="2"/>
      <c r="E898" s="2"/>
      <c r="F898" s="3"/>
      <c r="H898" s="3"/>
      <c r="I898" s="2"/>
      <c r="J898" s="2"/>
      <c r="K898" s="2"/>
      <c r="L898" s="2"/>
      <c r="M898" s="2"/>
      <c r="N898" s="2"/>
      <c r="O898" s="2"/>
      <c r="P898" s="3"/>
    </row>
    <row r="899" spans="3:16" ht="13.2" x14ac:dyDescent="0.25">
      <c r="C899" s="2"/>
      <c r="E899" s="2"/>
      <c r="F899" s="3"/>
      <c r="H899" s="3"/>
      <c r="I899" s="2"/>
      <c r="J899" s="2"/>
      <c r="K899" s="2"/>
      <c r="L899" s="2"/>
      <c r="M899" s="2"/>
      <c r="N899" s="2"/>
      <c r="O899" s="2"/>
      <c r="P899" s="3"/>
    </row>
    <row r="900" spans="3:16" ht="13.2" x14ac:dyDescent="0.25">
      <c r="C900" s="2"/>
      <c r="E900" s="2"/>
      <c r="F900" s="3"/>
      <c r="H900" s="3"/>
      <c r="I900" s="2"/>
      <c r="J900" s="2"/>
      <c r="K900" s="2"/>
      <c r="L900" s="2"/>
      <c r="M900" s="2"/>
      <c r="N900" s="2"/>
      <c r="O900" s="2"/>
      <c r="P900" s="3"/>
    </row>
    <row r="901" spans="3:16" ht="13.2" x14ac:dyDescent="0.25">
      <c r="C901" s="2"/>
      <c r="E901" s="2"/>
      <c r="F901" s="3"/>
      <c r="H901" s="3"/>
      <c r="I901" s="2"/>
      <c r="J901" s="2"/>
      <c r="K901" s="2"/>
      <c r="L901" s="2"/>
      <c r="M901" s="2"/>
      <c r="N901" s="2"/>
      <c r="O901" s="2"/>
      <c r="P901" s="3"/>
    </row>
    <row r="902" spans="3:16" ht="13.2" x14ac:dyDescent="0.25">
      <c r="C902" s="2"/>
      <c r="E902" s="2"/>
      <c r="F902" s="3"/>
      <c r="H902" s="3"/>
      <c r="I902" s="2"/>
      <c r="J902" s="2"/>
      <c r="K902" s="2"/>
      <c r="L902" s="2"/>
      <c r="M902" s="2"/>
      <c r="N902" s="2"/>
      <c r="O902" s="2"/>
      <c r="P902" s="3"/>
    </row>
    <row r="903" spans="3:16" ht="13.2" x14ac:dyDescent="0.25">
      <c r="C903" s="2"/>
      <c r="E903" s="2"/>
      <c r="F903" s="3"/>
      <c r="H903" s="3"/>
      <c r="I903" s="2"/>
      <c r="J903" s="2"/>
      <c r="K903" s="2"/>
      <c r="L903" s="2"/>
      <c r="M903" s="2"/>
      <c r="N903" s="2"/>
      <c r="O903" s="2"/>
      <c r="P903" s="3"/>
    </row>
    <row r="904" spans="3:16" ht="13.2" x14ac:dyDescent="0.25">
      <c r="C904" s="2"/>
      <c r="E904" s="2"/>
      <c r="F904" s="3"/>
      <c r="H904" s="3"/>
      <c r="I904" s="2"/>
      <c r="J904" s="2"/>
      <c r="K904" s="2"/>
      <c r="L904" s="2"/>
      <c r="M904" s="2"/>
      <c r="N904" s="2"/>
      <c r="O904" s="2"/>
      <c r="P904" s="3"/>
    </row>
    <row r="905" spans="3:16" ht="13.2" x14ac:dyDescent="0.25">
      <c r="C905" s="2"/>
      <c r="E905" s="2"/>
      <c r="F905" s="3"/>
      <c r="H905" s="3"/>
      <c r="I905" s="2"/>
      <c r="J905" s="2"/>
      <c r="K905" s="2"/>
      <c r="L905" s="2"/>
      <c r="M905" s="2"/>
      <c r="N905" s="2"/>
      <c r="O905" s="2"/>
      <c r="P905" s="3"/>
    </row>
    <row r="906" spans="3:16" ht="13.2" x14ac:dyDescent="0.25">
      <c r="C906" s="2"/>
      <c r="E906" s="2"/>
      <c r="F906" s="3"/>
      <c r="H906" s="3"/>
      <c r="I906" s="2"/>
      <c r="J906" s="2"/>
      <c r="K906" s="2"/>
      <c r="L906" s="2"/>
      <c r="M906" s="2"/>
      <c r="N906" s="2"/>
      <c r="O906" s="2"/>
      <c r="P906" s="3"/>
    </row>
    <row r="907" spans="3:16" ht="13.2" x14ac:dyDescent="0.25">
      <c r="C907" s="2"/>
      <c r="E907" s="2"/>
      <c r="F907" s="3"/>
      <c r="H907" s="3"/>
      <c r="I907" s="2"/>
      <c r="J907" s="2"/>
      <c r="K907" s="2"/>
      <c r="L907" s="2"/>
      <c r="M907" s="2"/>
      <c r="N907" s="2"/>
      <c r="O907" s="2"/>
      <c r="P907" s="3"/>
    </row>
    <row r="908" spans="3:16" ht="13.2" x14ac:dyDescent="0.25">
      <c r="C908" s="2"/>
      <c r="E908" s="2"/>
      <c r="F908" s="3"/>
      <c r="H908" s="3"/>
      <c r="I908" s="2"/>
      <c r="J908" s="2"/>
      <c r="K908" s="2"/>
      <c r="L908" s="2"/>
      <c r="M908" s="2"/>
      <c r="N908" s="2"/>
      <c r="O908" s="2"/>
      <c r="P908" s="3"/>
    </row>
    <row r="909" spans="3:16" ht="13.2" x14ac:dyDescent="0.25">
      <c r="C909" s="2"/>
      <c r="E909" s="2"/>
      <c r="F909" s="3"/>
      <c r="H909" s="3"/>
      <c r="I909" s="2"/>
      <c r="J909" s="2"/>
      <c r="K909" s="2"/>
      <c r="L909" s="2"/>
      <c r="M909" s="2"/>
      <c r="N909" s="2"/>
      <c r="O909" s="2"/>
      <c r="P909" s="3"/>
    </row>
    <row r="910" spans="3:16" ht="13.2" x14ac:dyDescent="0.25">
      <c r="C910" s="2"/>
      <c r="E910" s="2"/>
      <c r="F910" s="3"/>
      <c r="H910" s="3"/>
      <c r="I910" s="2"/>
      <c r="J910" s="2"/>
      <c r="K910" s="2"/>
      <c r="L910" s="2"/>
      <c r="M910" s="2"/>
      <c r="N910" s="2"/>
      <c r="O910" s="2"/>
      <c r="P910" s="3"/>
    </row>
    <row r="911" spans="3:16" ht="13.2" x14ac:dyDescent="0.25">
      <c r="C911" s="2"/>
      <c r="E911" s="2"/>
      <c r="F911" s="3"/>
      <c r="H911" s="3"/>
      <c r="I911" s="2"/>
      <c r="J911" s="2"/>
      <c r="K911" s="2"/>
      <c r="L911" s="2"/>
      <c r="M911" s="2"/>
      <c r="N911" s="2"/>
      <c r="O911" s="2"/>
      <c r="P911" s="3"/>
    </row>
    <row r="912" spans="3:16" ht="13.2" x14ac:dyDescent="0.25">
      <c r="C912" s="2"/>
      <c r="E912" s="2"/>
      <c r="F912" s="3"/>
      <c r="H912" s="3"/>
      <c r="I912" s="2"/>
      <c r="J912" s="2"/>
      <c r="K912" s="2"/>
      <c r="L912" s="2"/>
      <c r="M912" s="2"/>
      <c r="N912" s="2"/>
      <c r="O912" s="2"/>
      <c r="P912" s="3"/>
    </row>
    <row r="913" spans="3:16" ht="13.2" x14ac:dyDescent="0.25">
      <c r="C913" s="2"/>
      <c r="E913" s="2"/>
      <c r="F913" s="3"/>
      <c r="H913" s="3"/>
      <c r="I913" s="2"/>
      <c r="J913" s="2"/>
      <c r="K913" s="2"/>
      <c r="L913" s="2"/>
      <c r="M913" s="2"/>
      <c r="N913" s="2"/>
      <c r="O913" s="2"/>
      <c r="P913" s="3"/>
    </row>
    <row r="914" spans="3:16" ht="13.2" x14ac:dyDescent="0.25">
      <c r="C914" s="2"/>
      <c r="E914" s="2"/>
      <c r="F914" s="3"/>
      <c r="H914" s="3"/>
      <c r="I914" s="2"/>
      <c r="J914" s="2"/>
      <c r="K914" s="2"/>
      <c r="L914" s="2"/>
      <c r="M914" s="2"/>
      <c r="N914" s="2"/>
      <c r="O914" s="2"/>
      <c r="P914" s="3"/>
    </row>
    <row r="915" spans="3:16" ht="13.2" x14ac:dyDescent="0.25">
      <c r="C915" s="2"/>
      <c r="E915" s="2"/>
      <c r="F915" s="3"/>
      <c r="H915" s="3"/>
      <c r="I915" s="2"/>
      <c r="J915" s="2"/>
      <c r="K915" s="2"/>
      <c r="L915" s="2"/>
      <c r="M915" s="2"/>
      <c r="N915" s="2"/>
      <c r="O915" s="2"/>
      <c r="P915" s="3"/>
    </row>
    <row r="916" spans="3:16" ht="13.2" x14ac:dyDescent="0.25">
      <c r="C916" s="2"/>
      <c r="E916" s="2"/>
      <c r="F916" s="3"/>
      <c r="H916" s="3"/>
      <c r="I916" s="2"/>
      <c r="J916" s="2"/>
      <c r="K916" s="2"/>
      <c r="L916" s="2"/>
      <c r="M916" s="2"/>
      <c r="N916" s="2"/>
      <c r="O916" s="2"/>
      <c r="P916" s="3"/>
    </row>
    <row r="917" spans="3:16" ht="13.2" x14ac:dyDescent="0.25">
      <c r="C917" s="2"/>
      <c r="E917" s="2"/>
      <c r="F917" s="3"/>
      <c r="H917" s="3"/>
      <c r="I917" s="2"/>
      <c r="J917" s="2"/>
      <c r="K917" s="2"/>
      <c r="L917" s="2"/>
      <c r="M917" s="2"/>
      <c r="N917" s="2"/>
      <c r="O917" s="2"/>
      <c r="P917" s="3"/>
    </row>
    <row r="918" spans="3:16" ht="13.2" x14ac:dyDescent="0.25">
      <c r="C918" s="2"/>
      <c r="E918" s="2"/>
      <c r="F918" s="3"/>
      <c r="H918" s="3"/>
      <c r="I918" s="2"/>
      <c r="J918" s="2"/>
      <c r="K918" s="2"/>
      <c r="L918" s="2"/>
      <c r="M918" s="2"/>
      <c r="N918" s="2"/>
      <c r="O918" s="2"/>
      <c r="P918" s="3"/>
    </row>
    <row r="919" spans="3:16" ht="13.2" x14ac:dyDescent="0.25">
      <c r="C919" s="2"/>
      <c r="E919" s="2"/>
      <c r="F919" s="3"/>
      <c r="H919" s="3"/>
      <c r="I919" s="2"/>
      <c r="J919" s="2"/>
      <c r="K919" s="2"/>
      <c r="L919" s="2"/>
      <c r="M919" s="2"/>
      <c r="N919" s="2"/>
      <c r="O919" s="2"/>
      <c r="P919" s="3"/>
    </row>
    <row r="920" spans="3:16" ht="13.2" x14ac:dyDescent="0.25">
      <c r="C920" s="2"/>
      <c r="E920" s="2"/>
      <c r="F920" s="3"/>
      <c r="H920" s="3"/>
      <c r="I920" s="2"/>
      <c r="J920" s="2"/>
      <c r="K920" s="2"/>
      <c r="L920" s="2"/>
      <c r="M920" s="2"/>
      <c r="N920" s="2"/>
      <c r="O920" s="2"/>
      <c r="P920" s="3"/>
    </row>
    <row r="921" spans="3:16" ht="13.2" x14ac:dyDescent="0.25">
      <c r="C921" s="2"/>
      <c r="E921" s="2"/>
      <c r="F921" s="3"/>
      <c r="H921" s="3"/>
      <c r="I921" s="2"/>
      <c r="J921" s="2"/>
      <c r="K921" s="2"/>
      <c r="L921" s="2"/>
      <c r="M921" s="2"/>
      <c r="N921" s="2"/>
      <c r="O921" s="2"/>
      <c r="P921" s="3"/>
    </row>
    <row r="922" spans="3:16" ht="13.2" x14ac:dyDescent="0.25">
      <c r="C922" s="2"/>
      <c r="E922" s="2"/>
      <c r="F922" s="3"/>
      <c r="H922" s="3"/>
      <c r="I922" s="2"/>
      <c r="J922" s="2"/>
      <c r="K922" s="2"/>
      <c r="L922" s="2"/>
      <c r="M922" s="2"/>
      <c r="N922" s="2"/>
      <c r="O922" s="2"/>
      <c r="P922" s="3"/>
    </row>
    <row r="923" spans="3:16" ht="13.2" x14ac:dyDescent="0.25">
      <c r="C923" s="2"/>
      <c r="E923" s="2"/>
      <c r="F923" s="3"/>
      <c r="H923" s="3"/>
      <c r="I923" s="2"/>
      <c r="J923" s="2"/>
      <c r="K923" s="2"/>
      <c r="L923" s="2"/>
      <c r="M923" s="2"/>
      <c r="N923" s="2"/>
      <c r="O923" s="2"/>
      <c r="P923" s="3"/>
    </row>
    <row r="924" spans="3:16" ht="13.2" x14ac:dyDescent="0.25">
      <c r="C924" s="2"/>
      <c r="E924" s="2"/>
      <c r="F924" s="3"/>
      <c r="H924" s="3"/>
      <c r="I924" s="2"/>
      <c r="J924" s="2"/>
      <c r="K924" s="2"/>
      <c r="L924" s="2"/>
      <c r="M924" s="2"/>
      <c r="N924" s="2"/>
      <c r="O924" s="2"/>
      <c r="P924" s="3"/>
    </row>
    <row r="925" spans="3:16" ht="13.2" x14ac:dyDescent="0.25">
      <c r="C925" s="2"/>
      <c r="E925" s="2"/>
      <c r="F925" s="3"/>
      <c r="H925" s="3"/>
      <c r="I925" s="2"/>
      <c r="J925" s="2"/>
      <c r="K925" s="2"/>
      <c r="L925" s="2"/>
      <c r="M925" s="2"/>
      <c r="N925" s="2"/>
      <c r="O925" s="2"/>
      <c r="P925" s="3"/>
    </row>
    <row r="926" spans="3:16" ht="13.2" x14ac:dyDescent="0.25">
      <c r="C926" s="2"/>
      <c r="E926" s="2"/>
      <c r="F926" s="3"/>
      <c r="H926" s="3"/>
      <c r="I926" s="2"/>
      <c r="J926" s="2"/>
      <c r="K926" s="2"/>
      <c r="L926" s="2"/>
      <c r="M926" s="2"/>
      <c r="N926" s="2"/>
      <c r="O926" s="2"/>
      <c r="P926" s="3"/>
    </row>
    <row r="927" spans="3:16" ht="13.2" x14ac:dyDescent="0.25">
      <c r="C927" s="2"/>
      <c r="E927" s="2"/>
      <c r="F927" s="3"/>
      <c r="H927" s="3"/>
      <c r="I927" s="2"/>
      <c r="J927" s="2"/>
      <c r="K927" s="2"/>
      <c r="L927" s="2"/>
      <c r="M927" s="2"/>
      <c r="N927" s="2"/>
      <c r="O927" s="2"/>
      <c r="P927" s="3"/>
    </row>
    <row r="928" spans="3:16" ht="13.2" x14ac:dyDescent="0.25">
      <c r="C928" s="2"/>
      <c r="E928" s="2"/>
      <c r="F928" s="3"/>
      <c r="H928" s="3"/>
      <c r="I928" s="2"/>
      <c r="J928" s="2"/>
      <c r="K928" s="2"/>
      <c r="L928" s="2"/>
      <c r="M928" s="2"/>
      <c r="N928" s="2"/>
      <c r="O928" s="2"/>
      <c r="P928" s="3"/>
    </row>
    <row r="929" spans="3:16" ht="13.2" x14ac:dyDescent="0.25">
      <c r="C929" s="2"/>
      <c r="E929" s="2"/>
      <c r="F929" s="3"/>
      <c r="H929" s="3"/>
      <c r="I929" s="2"/>
      <c r="J929" s="2"/>
      <c r="K929" s="2"/>
      <c r="L929" s="2"/>
      <c r="M929" s="2"/>
      <c r="N929" s="2"/>
      <c r="O929" s="2"/>
      <c r="P929" s="3"/>
    </row>
    <row r="930" spans="3:16" ht="13.2" x14ac:dyDescent="0.25">
      <c r="C930" s="2"/>
      <c r="E930" s="2"/>
      <c r="F930" s="3"/>
      <c r="H930" s="3"/>
      <c r="I930" s="2"/>
      <c r="J930" s="2"/>
      <c r="K930" s="2"/>
      <c r="L930" s="2"/>
      <c r="M930" s="2"/>
      <c r="N930" s="2"/>
      <c r="O930" s="2"/>
      <c r="P930" s="3"/>
    </row>
    <row r="931" spans="3:16" ht="13.2" x14ac:dyDescent="0.25">
      <c r="C931" s="2"/>
      <c r="E931" s="2"/>
      <c r="F931" s="3"/>
      <c r="H931" s="3"/>
      <c r="I931" s="2"/>
      <c r="J931" s="2"/>
      <c r="K931" s="2"/>
      <c r="L931" s="2"/>
      <c r="M931" s="2"/>
      <c r="N931" s="2"/>
      <c r="O931" s="2"/>
      <c r="P931" s="3"/>
    </row>
    <row r="932" spans="3:16" ht="13.2" x14ac:dyDescent="0.25">
      <c r="C932" s="2"/>
      <c r="E932" s="2"/>
      <c r="F932" s="3"/>
      <c r="H932" s="3"/>
      <c r="I932" s="2"/>
      <c r="J932" s="2"/>
      <c r="K932" s="2"/>
      <c r="L932" s="2"/>
      <c r="M932" s="2"/>
      <c r="N932" s="2"/>
      <c r="O932" s="2"/>
      <c r="P932" s="3"/>
    </row>
    <row r="933" spans="3:16" ht="13.2" x14ac:dyDescent="0.25">
      <c r="C933" s="2"/>
      <c r="E933" s="2"/>
      <c r="F933" s="3"/>
      <c r="H933" s="3"/>
      <c r="I933" s="2"/>
      <c r="J933" s="2"/>
      <c r="K933" s="2"/>
      <c r="L933" s="2"/>
      <c r="M933" s="2"/>
      <c r="N933" s="2"/>
      <c r="O933" s="2"/>
      <c r="P933" s="3"/>
    </row>
    <row r="934" spans="3:16" ht="13.2" x14ac:dyDescent="0.25">
      <c r="C934" s="2"/>
      <c r="E934" s="2"/>
      <c r="F934" s="3"/>
      <c r="H934" s="3"/>
      <c r="I934" s="2"/>
      <c r="J934" s="2"/>
      <c r="K934" s="2"/>
      <c r="L934" s="2"/>
      <c r="M934" s="2"/>
      <c r="N934" s="2"/>
      <c r="O934" s="2"/>
      <c r="P934" s="3"/>
    </row>
    <row r="935" spans="3:16" ht="13.2" x14ac:dyDescent="0.25">
      <c r="C935" s="2"/>
      <c r="E935" s="2"/>
      <c r="F935" s="3"/>
      <c r="H935" s="3"/>
      <c r="I935" s="2"/>
      <c r="J935" s="2"/>
      <c r="K935" s="2"/>
      <c r="L935" s="2"/>
      <c r="M935" s="2"/>
      <c r="N935" s="2"/>
      <c r="O935" s="2"/>
      <c r="P935" s="3"/>
    </row>
    <row r="936" spans="3:16" ht="13.2" x14ac:dyDescent="0.25">
      <c r="C936" s="2"/>
      <c r="E936" s="2"/>
      <c r="F936" s="3"/>
      <c r="H936" s="3"/>
      <c r="I936" s="2"/>
      <c r="J936" s="2"/>
      <c r="K936" s="2"/>
      <c r="L936" s="2"/>
      <c r="M936" s="2"/>
      <c r="N936" s="2"/>
      <c r="O936" s="2"/>
      <c r="P936" s="3"/>
    </row>
    <row r="937" spans="3:16" ht="13.2" x14ac:dyDescent="0.25">
      <c r="C937" s="2"/>
      <c r="E937" s="2"/>
      <c r="F937" s="3"/>
      <c r="H937" s="3"/>
      <c r="I937" s="2"/>
      <c r="J937" s="2"/>
      <c r="K937" s="2"/>
      <c r="L937" s="2"/>
      <c r="M937" s="2"/>
      <c r="N937" s="2"/>
      <c r="O937" s="2"/>
      <c r="P937" s="3"/>
    </row>
    <row r="938" spans="3:16" ht="13.2" x14ac:dyDescent="0.25">
      <c r="C938" s="2"/>
      <c r="E938" s="2"/>
      <c r="F938" s="3"/>
      <c r="H938" s="3"/>
      <c r="I938" s="2"/>
      <c r="J938" s="2"/>
      <c r="K938" s="2"/>
      <c r="L938" s="2"/>
      <c r="M938" s="2"/>
      <c r="N938" s="2"/>
      <c r="O938" s="2"/>
      <c r="P938" s="3"/>
    </row>
    <row r="939" spans="3:16" ht="13.2" x14ac:dyDescent="0.25">
      <c r="C939" s="2"/>
      <c r="E939" s="2"/>
      <c r="F939" s="3"/>
      <c r="H939" s="3"/>
      <c r="I939" s="2"/>
      <c r="J939" s="2"/>
      <c r="K939" s="2"/>
      <c r="L939" s="2"/>
      <c r="M939" s="2"/>
      <c r="N939" s="2"/>
      <c r="O939" s="2"/>
      <c r="P939" s="3"/>
    </row>
    <row r="940" spans="3:16" ht="13.2" x14ac:dyDescent="0.25">
      <c r="C940" s="2"/>
      <c r="E940" s="2"/>
      <c r="F940" s="3"/>
      <c r="H940" s="3"/>
      <c r="I940" s="2"/>
      <c r="J940" s="2"/>
      <c r="K940" s="2"/>
      <c r="L940" s="2"/>
      <c r="M940" s="2"/>
      <c r="N940" s="2"/>
      <c r="O940" s="2"/>
      <c r="P940" s="3"/>
    </row>
    <row r="941" spans="3:16" ht="13.2" x14ac:dyDescent="0.25">
      <c r="C941" s="2"/>
      <c r="E941" s="2"/>
      <c r="F941" s="3"/>
      <c r="H941" s="3"/>
      <c r="I941" s="2"/>
      <c r="J941" s="2"/>
      <c r="K941" s="2"/>
      <c r="L941" s="2"/>
      <c r="M941" s="2"/>
      <c r="N941" s="2"/>
      <c r="O941" s="2"/>
      <c r="P941" s="3"/>
    </row>
    <row r="942" spans="3:16" ht="13.2" x14ac:dyDescent="0.25">
      <c r="C942" s="2"/>
      <c r="E942" s="2"/>
      <c r="F942" s="3"/>
      <c r="H942" s="3"/>
      <c r="I942" s="2"/>
      <c r="J942" s="2"/>
      <c r="K942" s="2"/>
      <c r="L942" s="2"/>
      <c r="M942" s="2"/>
      <c r="N942" s="2"/>
      <c r="O942" s="2"/>
      <c r="P942" s="3"/>
    </row>
    <row r="943" spans="3:16" ht="13.2" x14ac:dyDescent="0.25">
      <c r="C943" s="2"/>
      <c r="E943" s="2"/>
      <c r="F943" s="3"/>
      <c r="H943" s="3"/>
      <c r="I943" s="2"/>
      <c r="J943" s="2"/>
      <c r="K943" s="2"/>
      <c r="L943" s="2"/>
      <c r="M943" s="2"/>
      <c r="N943" s="2"/>
      <c r="O943" s="2"/>
      <c r="P943" s="3"/>
    </row>
    <row r="944" spans="3:16" ht="13.2" x14ac:dyDescent="0.25">
      <c r="C944" s="2"/>
      <c r="E944" s="2"/>
      <c r="F944" s="3"/>
      <c r="H944" s="3"/>
      <c r="I944" s="2"/>
      <c r="J944" s="2"/>
      <c r="K944" s="2"/>
      <c r="L944" s="2"/>
      <c r="M944" s="2"/>
      <c r="N944" s="2"/>
      <c r="O944" s="2"/>
      <c r="P944" s="3"/>
    </row>
    <row r="945" spans="3:16" ht="13.2" x14ac:dyDescent="0.25">
      <c r="C945" s="2"/>
      <c r="E945" s="2"/>
      <c r="F945" s="3"/>
      <c r="H945" s="3"/>
      <c r="I945" s="2"/>
      <c r="J945" s="2"/>
      <c r="K945" s="2"/>
      <c r="L945" s="2"/>
      <c r="M945" s="2"/>
      <c r="N945" s="2"/>
      <c r="O945" s="2"/>
      <c r="P945" s="3"/>
    </row>
    <row r="946" spans="3:16" ht="13.2" x14ac:dyDescent="0.25">
      <c r="C946" s="2"/>
      <c r="E946" s="2"/>
      <c r="F946" s="3"/>
      <c r="H946" s="3"/>
      <c r="I946" s="2"/>
      <c r="J946" s="2"/>
      <c r="K946" s="2"/>
      <c r="L946" s="2"/>
      <c r="M946" s="2"/>
      <c r="N946" s="2"/>
      <c r="O946" s="2"/>
      <c r="P946" s="3"/>
    </row>
    <row r="947" spans="3:16" ht="13.2" x14ac:dyDescent="0.25">
      <c r="C947" s="2"/>
      <c r="E947" s="2"/>
      <c r="F947" s="3"/>
      <c r="H947" s="3"/>
      <c r="I947" s="2"/>
      <c r="J947" s="2"/>
      <c r="K947" s="2"/>
      <c r="L947" s="2"/>
      <c r="M947" s="2"/>
      <c r="N947" s="2"/>
      <c r="O947" s="2"/>
      <c r="P947" s="3"/>
    </row>
    <row r="948" spans="3:16" ht="13.2" x14ac:dyDescent="0.25">
      <c r="C948" s="2"/>
      <c r="E948" s="2"/>
      <c r="F948" s="3"/>
      <c r="H948" s="3"/>
      <c r="I948" s="2"/>
      <c r="J948" s="2"/>
      <c r="K948" s="2"/>
      <c r="L948" s="2"/>
      <c r="M948" s="2"/>
      <c r="N948" s="2"/>
      <c r="O948" s="2"/>
      <c r="P948" s="3"/>
    </row>
    <row r="949" spans="3:16" ht="13.2" x14ac:dyDescent="0.25">
      <c r="C949" s="2"/>
      <c r="E949" s="2"/>
      <c r="F949" s="3"/>
      <c r="H949" s="3"/>
      <c r="I949" s="2"/>
      <c r="J949" s="2"/>
      <c r="K949" s="2"/>
      <c r="L949" s="2"/>
      <c r="M949" s="2"/>
      <c r="N949" s="2"/>
      <c r="O949" s="2"/>
      <c r="P949" s="3"/>
    </row>
    <row r="950" spans="3:16" ht="13.2" x14ac:dyDescent="0.25">
      <c r="C950" s="2"/>
      <c r="E950" s="2"/>
      <c r="F950" s="3"/>
      <c r="H950" s="3"/>
      <c r="I950" s="2"/>
      <c r="J950" s="2"/>
      <c r="K950" s="2"/>
      <c r="L950" s="2"/>
      <c r="M950" s="2"/>
      <c r="N950" s="2"/>
      <c r="O950" s="2"/>
      <c r="P950" s="3"/>
    </row>
    <row r="951" spans="3:16" ht="13.2" x14ac:dyDescent="0.25">
      <c r="C951" s="2"/>
      <c r="E951" s="2"/>
      <c r="F951" s="3"/>
      <c r="H951" s="3"/>
      <c r="I951" s="2"/>
      <c r="J951" s="2"/>
      <c r="K951" s="2"/>
      <c r="L951" s="2"/>
      <c r="M951" s="2"/>
      <c r="N951" s="2"/>
      <c r="O951" s="2"/>
      <c r="P951" s="3"/>
    </row>
    <row r="952" spans="3:16" ht="13.2" x14ac:dyDescent="0.25">
      <c r="C952" s="2"/>
      <c r="E952" s="2"/>
      <c r="F952" s="3"/>
      <c r="H952" s="3"/>
      <c r="I952" s="2"/>
      <c r="J952" s="2"/>
      <c r="K952" s="2"/>
      <c r="L952" s="2"/>
      <c r="M952" s="2"/>
      <c r="N952" s="2"/>
      <c r="O952" s="2"/>
      <c r="P952" s="3"/>
    </row>
    <row r="953" spans="3:16" ht="13.2" x14ac:dyDescent="0.25">
      <c r="C953" s="2"/>
      <c r="E953" s="2"/>
      <c r="F953" s="3"/>
      <c r="H953" s="3"/>
      <c r="I953" s="2"/>
      <c r="J953" s="2"/>
      <c r="K953" s="2"/>
      <c r="L953" s="2"/>
      <c r="M953" s="2"/>
      <c r="N953" s="2"/>
      <c r="O953" s="2"/>
      <c r="P953" s="3"/>
    </row>
    <row r="954" spans="3:16" ht="13.2" x14ac:dyDescent="0.25">
      <c r="C954" s="2"/>
      <c r="E954" s="2"/>
      <c r="F954" s="3"/>
      <c r="H954" s="3"/>
      <c r="I954" s="2"/>
      <c r="J954" s="2"/>
      <c r="K954" s="2"/>
      <c r="L954" s="2"/>
      <c r="M954" s="2"/>
      <c r="N954" s="2"/>
      <c r="O954" s="2"/>
      <c r="P954" s="3"/>
    </row>
    <row r="955" spans="3:16" ht="13.2" x14ac:dyDescent="0.25">
      <c r="C955" s="2"/>
      <c r="E955" s="2"/>
      <c r="F955" s="3"/>
      <c r="H955" s="3"/>
      <c r="I955" s="2"/>
      <c r="J955" s="2"/>
      <c r="K955" s="2"/>
      <c r="L955" s="2"/>
      <c r="M955" s="2"/>
      <c r="N955" s="2"/>
      <c r="O955" s="2"/>
      <c r="P955" s="3"/>
    </row>
    <row r="956" spans="3:16" ht="13.2" x14ac:dyDescent="0.25">
      <c r="C956" s="2"/>
      <c r="E956" s="2"/>
      <c r="F956" s="3"/>
      <c r="H956" s="3"/>
      <c r="I956" s="2"/>
      <c r="J956" s="2"/>
      <c r="K956" s="2"/>
      <c r="L956" s="2"/>
      <c r="M956" s="2"/>
      <c r="N956" s="2"/>
      <c r="O956" s="2"/>
      <c r="P956" s="3"/>
    </row>
    <row r="957" spans="3:16" ht="13.2" x14ac:dyDescent="0.25">
      <c r="C957" s="2"/>
      <c r="E957" s="2"/>
      <c r="F957" s="3"/>
      <c r="H957" s="3"/>
      <c r="I957" s="2"/>
      <c r="J957" s="2"/>
      <c r="K957" s="2"/>
      <c r="L957" s="2"/>
      <c r="M957" s="2"/>
      <c r="N957" s="2"/>
      <c r="O957" s="2"/>
      <c r="P957" s="3"/>
    </row>
    <row r="958" spans="3:16" ht="13.2" x14ac:dyDescent="0.25">
      <c r="C958" s="2"/>
      <c r="E958" s="2"/>
      <c r="F958" s="3"/>
      <c r="H958" s="3"/>
      <c r="I958" s="2"/>
      <c r="J958" s="2"/>
      <c r="K958" s="2"/>
      <c r="L958" s="2"/>
      <c r="M958" s="2"/>
      <c r="N958" s="2"/>
      <c r="O958" s="2"/>
      <c r="P958" s="3"/>
    </row>
    <row r="959" spans="3:16" ht="13.2" x14ac:dyDescent="0.25">
      <c r="C959" s="2"/>
      <c r="E959" s="2"/>
      <c r="F959" s="3"/>
      <c r="H959" s="3"/>
      <c r="I959" s="2"/>
      <c r="J959" s="2"/>
      <c r="K959" s="2"/>
      <c r="L959" s="2"/>
      <c r="M959" s="2"/>
      <c r="N959" s="2"/>
      <c r="O959" s="2"/>
      <c r="P959" s="3"/>
    </row>
    <row r="960" spans="3:16" ht="13.2" x14ac:dyDescent="0.25">
      <c r="C960" s="2"/>
      <c r="E960" s="2"/>
      <c r="F960" s="3"/>
      <c r="H960" s="3"/>
      <c r="I960" s="2"/>
      <c r="J960" s="2"/>
      <c r="K960" s="2"/>
      <c r="L960" s="2"/>
      <c r="M960" s="2"/>
      <c r="N960" s="2"/>
      <c r="O960" s="2"/>
      <c r="P960" s="3"/>
    </row>
    <row r="961" spans="3:16" ht="13.2" x14ac:dyDescent="0.25">
      <c r="C961" s="2"/>
      <c r="E961" s="2"/>
      <c r="F961" s="3"/>
      <c r="H961" s="3"/>
      <c r="I961" s="2"/>
      <c r="J961" s="2"/>
      <c r="K961" s="2"/>
      <c r="L961" s="2"/>
      <c r="M961" s="2"/>
      <c r="N961" s="2"/>
      <c r="O961" s="2"/>
      <c r="P961" s="3"/>
    </row>
    <row r="962" spans="3:16" ht="13.2" x14ac:dyDescent="0.25">
      <c r="C962" s="2"/>
      <c r="E962" s="2"/>
      <c r="F962" s="3"/>
      <c r="H962" s="3"/>
      <c r="I962" s="2"/>
      <c r="J962" s="2"/>
      <c r="K962" s="2"/>
      <c r="L962" s="2"/>
      <c r="M962" s="2"/>
      <c r="N962" s="2"/>
      <c r="O962" s="2"/>
      <c r="P962" s="3"/>
    </row>
    <row r="963" spans="3:16" ht="13.2" x14ac:dyDescent="0.25">
      <c r="C963" s="2"/>
      <c r="E963" s="2"/>
      <c r="F963" s="3"/>
      <c r="H963" s="3"/>
      <c r="I963" s="2"/>
      <c r="J963" s="2"/>
      <c r="K963" s="2"/>
      <c r="L963" s="2"/>
      <c r="M963" s="2"/>
      <c r="N963" s="2"/>
      <c r="O963" s="2"/>
      <c r="P963" s="3"/>
    </row>
    <row r="964" spans="3:16" ht="13.2" x14ac:dyDescent="0.25">
      <c r="C964" s="2"/>
      <c r="E964" s="2"/>
      <c r="F964" s="3"/>
      <c r="H964" s="3"/>
      <c r="I964" s="2"/>
      <c r="J964" s="2"/>
      <c r="K964" s="2"/>
      <c r="L964" s="2"/>
      <c r="M964" s="2"/>
      <c r="N964" s="2"/>
      <c r="O964" s="2"/>
      <c r="P964" s="3"/>
    </row>
    <row r="965" spans="3:16" ht="13.2" x14ac:dyDescent="0.25">
      <c r="C965" s="2"/>
      <c r="E965" s="2"/>
      <c r="F965" s="3"/>
      <c r="H965" s="3"/>
      <c r="I965" s="2"/>
      <c r="J965" s="2"/>
      <c r="K965" s="2"/>
      <c r="L965" s="2"/>
      <c r="M965" s="2"/>
      <c r="N965" s="2"/>
      <c r="O965" s="2"/>
      <c r="P965" s="3"/>
    </row>
    <row r="966" spans="3:16" ht="13.2" x14ac:dyDescent="0.25">
      <c r="C966" s="2"/>
      <c r="E966" s="2"/>
      <c r="F966" s="3"/>
      <c r="H966" s="3"/>
      <c r="I966" s="2"/>
      <c r="J966" s="2"/>
      <c r="K966" s="2"/>
      <c r="L966" s="2"/>
      <c r="M966" s="2"/>
      <c r="N966" s="2"/>
      <c r="O966" s="2"/>
      <c r="P966" s="3"/>
    </row>
    <row r="967" spans="3:16" ht="13.2" x14ac:dyDescent="0.25">
      <c r="C967" s="2"/>
      <c r="E967" s="2"/>
      <c r="F967" s="3"/>
      <c r="H967" s="3"/>
      <c r="I967" s="2"/>
      <c r="J967" s="2"/>
      <c r="K967" s="2"/>
      <c r="L967" s="2"/>
      <c r="M967" s="2"/>
      <c r="N967" s="2"/>
      <c r="O967" s="2"/>
      <c r="P967" s="3"/>
    </row>
    <row r="968" spans="3:16" ht="13.2" x14ac:dyDescent="0.25">
      <c r="C968" s="2"/>
      <c r="E968" s="2"/>
      <c r="F968" s="3"/>
      <c r="H968" s="3"/>
      <c r="I968" s="2"/>
      <c r="J968" s="2"/>
      <c r="K968" s="2"/>
      <c r="L968" s="2"/>
      <c r="M968" s="2"/>
      <c r="N968" s="2"/>
      <c r="O968" s="2"/>
      <c r="P968" s="3"/>
    </row>
    <row r="969" spans="3:16" ht="13.2" x14ac:dyDescent="0.25">
      <c r="C969" s="2"/>
      <c r="E969" s="2"/>
      <c r="F969" s="3"/>
      <c r="H969" s="3"/>
      <c r="I969" s="2"/>
      <c r="J969" s="2"/>
      <c r="K969" s="2"/>
      <c r="L969" s="2"/>
      <c r="M969" s="2"/>
      <c r="N969" s="2"/>
      <c r="O969" s="2"/>
      <c r="P969" s="3"/>
    </row>
    <row r="970" spans="3:16" ht="13.2" x14ac:dyDescent="0.25">
      <c r="C970" s="2"/>
      <c r="E970" s="2"/>
      <c r="F970" s="3"/>
      <c r="H970" s="3"/>
      <c r="I970" s="2"/>
      <c r="J970" s="2"/>
      <c r="K970" s="2"/>
      <c r="L970" s="2"/>
      <c r="M970" s="2"/>
      <c r="N970" s="2"/>
      <c r="O970" s="2"/>
      <c r="P970" s="3"/>
    </row>
    <row r="971" spans="3:16" ht="13.2" x14ac:dyDescent="0.25">
      <c r="C971" s="2"/>
      <c r="E971" s="2"/>
      <c r="F971" s="3"/>
      <c r="H971" s="3"/>
      <c r="I971" s="2"/>
      <c r="J971" s="2"/>
      <c r="K971" s="2"/>
      <c r="L971" s="2"/>
      <c r="M971" s="2"/>
      <c r="N971" s="2"/>
      <c r="O971" s="2"/>
      <c r="P971" s="3"/>
    </row>
    <row r="972" spans="3:16" ht="13.2" x14ac:dyDescent="0.25">
      <c r="C972" s="2"/>
      <c r="E972" s="2"/>
      <c r="F972" s="3"/>
      <c r="H972" s="3"/>
      <c r="I972" s="2"/>
      <c r="J972" s="2"/>
      <c r="K972" s="2"/>
      <c r="L972" s="2"/>
      <c r="M972" s="2"/>
      <c r="N972" s="2"/>
      <c r="O972" s="2"/>
      <c r="P972" s="3"/>
    </row>
    <row r="973" spans="3:16" ht="13.2" x14ac:dyDescent="0.25">
      <c r="C973" s="2"/>
      <c r="E973" s="2"/>
      <c r="F973" s="3"/>
      <c r="H973" s="3"/>
      <c r="I973" s="2"/>
      <c r="J973" s="2"/>
      <c r="K973" s="2"/>
      <c r="L973" s="2"/>
      <c r="M973" s="2"/>
      <c r="N973" s="2"/>
      <c r="O973" s="2"/>
      <c r="P973" s="3"/>
    </row>
    <row r="974" spans="3:16" ht="13.2" x14ac:dyDescent="0.25">
      <c r="C974" s="2"/>
      <c r="E974" s="2"/>
      <c r="F974" s="3"/>
      <c r="H974" s="3"/>
      <c r="I974" s="2"/>
      <c r="J974" s="2"/>
      <c r="K974" s="2"/>
      <c r="L974" s="2"/>
      <c r="M974" s="2"/>
      <c r="N974" s="2"/>
      <c r="O974" s="2"/>
      <c r="P974" s="3"/>
    </row>
    <row r="975" spans="3:16" ht="13.2" x14ac:dyDescent="0.25">
      <c r="C975" s="2"/>
      <c r="E975" s="2"/>
      <c r="F975" s="3"/>
      <c r="H975" s="3"/>
      <c r="I975" s="2"/>
      <c r="J975" s="2"/>
      <c r="K975" s="2"/>
      <c r="L975" s="2"/>
      <c r="M975" s="2"/>
      <c r="N975" s="2"/>
      <c r="O975" s="2"/>
      <c r="P975" s="3"/>
    </row>
    <row r="976" spans="3:16" ht="13.2" x14ac:dyDescent="0.25">
      <c r="C976" s="2"/>
      <c r="E976" s="2"/>
      <c r="F976" s="3"/>
      <c r="H976" s="3"/>
      <c r="I976" s="2"/>
      <c r="J976" s="2"/>
      <c r="K976" s="2"/>
      <c r="L976" s="2"/>
      <c r="M976" s="2"/>
      <c r="N976" s="2"/>
      <c r="O976" s="2"/>
      <c r="P976" s="3"/>
    </row>
    <row r="977" spans="3:16" ht="13.2" x14ac:dyDescent="0.25">
      <c r="C977" s="2"/>
      <c r="E977" s="2"/>
      <c r="F977" s="3"/>
      <c r="H977" s="3"/>
      <c r="I977" s="2"/>
      <c r="J977" s="2"/>
      <c r="K977" s="2"/>
      <c r="L977" s="2"/>
      <c r="M977" s="2"/>
      <c r="N977" s="2"/>
      <c r="O977" s="2"/>
      <c r="P977" s="3"/>
    </row>
    <row r="978" spans="3:16" ht="13.2" x14ac:dyDescent="0.25">
      <c r="C978" s="2"/>
      <c r="E978" s="2"/>
      <c r="F978" s="3"/>
      <c r="H978" s="3"/>
      <c r="I978" s="2"/>
      <c r="J978" s="2"/>
      <c r="K978" s="2"/>
      <c r="L978" s="2"/>
      <c r="M978" s="2"/>
      <c r="N978" s="2"/>
      <c r="O978" s="2"/>
      <c r="P978" s="3"/>
    </row>
    <row r="979" spans="3:16" ht="13.2" x14ac:dyDescent="0.25">
      <c r="C979" s="2"/>
      <c r="E979" s="2"/>
      <c r="F979" s="3"/>
      <c r="H979" s="3"/>
      <c r="I979" s="2"/>
      <c r="J979" s="2"/>
      <c r="K979" s="2"/>
      <c r="L979" s="2"/>
      <c r="M979" s="2"/>
      <c r="N979" s="2"/>
      <c r="O979" s="2"/>
      <c r="P979" s="3"/>
    </row>
    <row r="980" spans="3:16" ht="13.2" x14ac:dyDescent="0.25">
      <c r="C980" s="2"/>
      <c r="E980" s="2"/>
      <c r="F980" s="3"/>
      <c r="H980" s="3"/>
      <c r="I980" s="2"/>
      <c r="J980" s="2"/>
      <c r="K980" s="2"/>
      <c r="L980" s="2"/>
      <c r="M980" s="2"/>
      <c r="N980" s="2"/>
      <c r="O980" s="2"/>
      <c r="P980" s="3"/>
    </row>
    <row r="981" spans="3:16" ht="13.2" x14ac:dyDescent="0.25">
      <c r="C981" s="2"/>
      <c r="E981" s="2"/>
      <c r="F981" s="3"/>
      <c r="H981" s="3"/>
      <c r="I981" s="2"/>
      <c r="J981" s="2"/>
      <c r="K981" s="2"/>
      <c r="L981" s="2"/>
      <c r="M981" s="2"/>
      <c r="N981" s="2"/>
      <c r="O981" s="2"/>
      <c r="P981" s="3"/>
    </row>
    <row r="982" spans="3:16" ht="13.2" x14ac:dyDescent="0.25">
      <c r="C982" s="2"/>
      <c r="E982" s="2"/>
      <c r="F982" s="3"/>
      <c r="H982" s="3"/>
      <c r="I982" s="2"/>
      <c r="J982" s="2"/>
      <c r="K982" s="2"/>
      <c r="L982" s="2"/>
      <c r="M982" s="2"/>
      <c r="N982" s="2"/>
      <c r="O982" s="2"/>
      <c r="P982" s="3"/>
    </row>
    <row r="983" spans="3:16" ht="13.2" x14ac:dyDescent="0.25">
      <c r="C983" s="2"/>
      <c r="E983" s="2"/>
      <c r="F983" s="3"/>
      <c r="H983" s="3"/>
      <c r="I983" s="2"/>
      <c r="J983" s="2"/>
      <c r="K983" s="2"/>
      <c r="L983" s="2"/>
      <c r="M983" s="2"/>
      <c r="N983" s="2"/>
      <c r="O983" s="2"/>
      <c r="P983" s="3"/>
    </row>
    <row r="984" spans="3:16" ht="13.2" x14ac:dyDescent="0.25">
      <c r="C984" s="2"/>
      <c r="E984" s="2"/>
      <c r="F984" s="3"/>
      <c r="H984" s="3"/>
      <c r="I984" s="2"/>
      <c r="J984" s="2"/>
      <c r="K984" s="2"/>
      <c r="L984" s="2"/>
      <c r="M984" s="2"/>
      <c r="N984" s="2"/>
      <c r="O984" s="2"/>
      <c r="P984" s="3"/>
    </row>
    <row r="985" spans="3:16" ht="13.2" x14ac:dyDescent="0.25">
      <c r="C985" s="2"/>
      <c r="E985" s="2"/>
      <c r="F985" s="3"/>
      <c r="H985" s="3"/>
      <c r="I985" s="2"/>
      <c r="J985" s="2"/>
      <c r="K985" s="2"/>
      <c r="L985" s="2"/>
      <c r="M985" s="2"/>
      <c r="N985" s="2"/>
      <c r="O985" s="2"/>
      <c r="P985" s="3"/>
    </row>
    <row r="986" spans="3:16" ht="13.2" x14ac:dyDescent="0.25">
      <c r="C986" s="2"/>
      <c r="E986" s="2"/>
      <c r="F986" s="3"/>
      <c r="H986" s="3"/>
      <c r="I986" s="2"/>
      <c r="J986" s="2"/>
      <c r="K986" s="2"/>
      <c r="L986" s="2"/>
      <c r="M986" s="2"/>
      <c r="N986" s="2"/>
      <c r="O986" s="2"/>
      <c r="P986" s="3"/>
    </row>
    <row r="987" spans="3:16" ht="13.2" x14ac:dyDescent="0.25">
      <c r="C987" s="2"/>
      <c r="E987" s="2"/>
      <c r="F987" s="3"/>
      <c r="H987" s="3"/>
      <c r="I987" s="2"/>
      <c r="J987" s="2"/>
      <c r="K987" s="2"/>
      <c r="L987" s="2"/>
      <c r="M987" s="2"/>
      <c r="N987" s="2"/>
      <c r="O987" s="2"/>
      <c r="P987" s="3"/>
    </row>
    <row r="988" spans="3:16" ht="13.2" x14ac:dyDescent="0.25">
      <c r="C988" s="2"/>
      <c r="E988" s="2"/>
      <c r="F988" s="3"/>
      <c r="H988" s="3"/>
      <c r="I988" s="2"/>
      <c r="J988" s="2"/>
      <c r="K988" s="2"/>
      <c r="L988" s="2"/>
      <c r="M988" s="2"/>
      <c r="N988" s="2"/>
      <c r="O988" s="2"/>
      <c r="P988" s="3"/>
    </row>
    <row r="989" spans="3:16" ht="13.2" x14ac:dyDescent="0.25">
      <c r="C989" s="2"/>
      <c r="E989" s="2"/>
      <c r="F989" s="3"/>
      <c r="H989" s="3"/>
      <c r="I989" s="2"/>
      <c r="J989" s="2"/>
      <c r="K989" s="2"/>
      <c r="L989" s="2"/>
      <c r="M989" s="2"/>
      <c r="N989" s="2"/>
      <c r="O989" s="2"/>
      <c r="P989" s="3"/>
    </row>
    <row r="990" spans="3:16" ht="13.2" x14ac:dyDescent="0.25">
      <c r="C990" s="2"/>
      <c r="E990" s="2"/>
      <c r="F990" s="3"/>
      <c r="H990" s="3"/>
      <c r="I990" s="2"/>
      <c r="J990" s="2"/>
      <c r="K990" s="2"/>
      <c r="L990" s="2"/>
      <c r="M990" s="2"/>
      <c r="N990" s="2"/>
      <c r="O990" s="2"/>
      <c r="P990" s="3"/>
    </row>
    <row r="991" spans="3:16" ht="13.2" x14ac:dyDescent="0.25">
      <c r="C991" s="2"/>
      <c r="E991" s="2"/>
      <c r="F991" s="3"/>
      <c r="H991" s="3"/>
      <c r="I991" s="2"/>
      <c r="J991" s="2"/>
      <c r="K991" s="2"/>
      <c r="L991" s="2"/>
      <c r="M991" s="2"/>
      <c r="N991" s="2"/>
      <c r="O991" s="2"/>
      <c r="P991" s="3"/>
    </row>
    <row r="992" spans="3:16" ht="13.2" x14ac:dyDescent="0.25">
      <c r="C992" s="2"/>
      <c r="E992" s="2"/>
      <c r="F992" s="3"/>
      <c r="H992" s="3"/>
      <c r="I992" s="2"/>
      <c r="J992" s="2"/>
      <c r="K992" s="2"/>
      <c r="L992" s="2"/>
      <c r="M992" s="2"/>
      <c r="N992" s="2"/>
      <c r="O992" s="2"/>
      <c r="P992" s="3"/>
    </row>
    <row r="993" spans="3:16" ht="13.2" x14ac:dyDescent="0.25">
      <c r="C993" s="2"/>
      <c r="E993" s="2"/>
      <c r="F993" s="3"/>
      <c r="H993" s="3"/>
      <c r="I993" s="2"/>
      <c r="J993" s="2"/>
      <c r="K993" s="2"/>
      <c r="L993" s="2"/>
      <c r="M993" s="2"/>
      <c r="N993" s="2"/>
      <c r="O993" s="2"/>
      <c r="P993" s="3"/>
    </row>
    <row r="994" spans="3:16" ht="13.2" x14ac:dyDescent="0.25">
      <c r="C994" s="2"/>
      <c r="E994" s="2"/>
      <c r="F994" s="3"/>
      <c r="H994" s="3"/>
      <c r="I994" s="2"/>
      <c r="J994" s="2"/>
      <c r="K994" s="2"/>
      <c r="L994" s="2"/>
      <c r="M994" s="2"/>
      <c r="N994" s="2"/>
      <c r="O994" s="2"/>
      <c r="P994" s="3"/>
    </row>
    <row r="995" spans="3:16" ht="13.2" x14ac:dyDescent="0.25">
      <c r="C995" s="2"/>
      <c r="E995" s="2"/>
      <c r="F995" s="3"/>
      <c r="H995" s="3"/>
      <c r="I995" s="2"/>
      <c r="J995" s="2"/>
      <c r="K995" s="2"/>
      <c r="L995" s="2"/>
      <c r="M995" s="2"/>
      <c r="N995" s="2"/>
      <c r="O995" s="2"/>
      <c r="P995" s="3"/>
    </row>
    <row r="996" spans="3:16" ht="13.2" x14ac:dyDescent="0.25">
      <c r="C996" s="2"/>
      <c r="E996" s="2"/>
      <c r="F996" s="3"/>
      <c r="H996" s="3"/>
      <c r="I996" s="2"/>
      <c r="J996" s="2"/>
      <c r="K996" s="2"/>
      <c r="L996" s="2"/>
      <c r="M996" s="2"/>
      <c r="N996" s="2"/>
      <c r="O996" s="2"/>
      <c r="P996" s="3"/>
    </row>
    <row r="997" spans="3:16" ht="13.2" x14ac:dyDescent="0.25">
      <c r="C997" s="2"/>
      <c r="E997" s="2"/>
      <c r="F997" s="3"/>
      <c r="H997" s="3"/>
      <c r="I997" s="2"/>
      <c r="J997" s="2"/>
      <c r="K997" s="2"/>
      <c r="L997" s="2"/>
      <c r="M997" s="2"/>
      <c r="N997" s="2"/>
      <c r="O997" s="2"/>
      <c r="P997" s="3"/>
    </row>
    <row r="998" spans="3:16" ht="13.2" x14ac:dyDescent="0.25">
      <c r="C998" s="2"/>
      <c r="E998" s="2"/>
      <c r="F998" s="3"/>
      <c r="H998" s="3"/>
      <c r="I998" s="2"/>
      <c r="J998" s="2"/>
      <c r="K998" s="2"/>
      <c r="L998" s="2"/>
      <c r="M998" s="2"/>
      <c r="N998" s="2"/>
      <c r="O998" s="2"/>
      <c r="P998" s="3"/>
    </row>
    <row r="999" spans="3:16" ht="13.2" x14ac:dyDescent="0.25">
      <c r="C999" s="2"/>
      <c r="E999" s="2"/>
      <c r="F999" s="3"/>
      <c r="H999" s="3"/>
      <c r="I999" s="2"/>
      <c r="J999" s="2"/>
      <c r="K999" s="2"/>
      <c r="L999" s="2"/>
      <c r="M999" s="2"/>
      <c r="N999" s="2"/>
      <c r="O999" s="2"/>
      <c r="P999" s="3"/>
    </row>
    <row r="1000" spans="3:16" ht="13.2" x14ac:dyDescent="0.25">
      <c r="C1000" s="2"/>
      <c r="E1000" s="2"/>
      <c r="F1000" s="3"/>
      <c r="H1000" s="3"/>
      <c r="I1000" s="2"/>
      <c r="J1000" s="2"/>
      <c r="K1000" s="2"/>
      <c r="L1000" s="2"/>
      <c r="M1000" s="2"/>
      <c r="N1000" s="2"/>
      <c r="O1000" s="2"/>
      <c r="P10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Gharal</cp:lastModifiedBy>
  <dcterms:modified xsi:type="dcterms:W3CDTF">2026-10-17T03:56:51Z</dcterms:modified>
</cp:coreProperties>
</file>